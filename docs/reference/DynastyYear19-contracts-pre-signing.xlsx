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acts" sheetId="1" state="visible" r:id="rId1"/>
    <sheet name="Farm Draft 2025" sheetId="2" state="visible" r:id="rId2"/>
    <sheet name="AC (Dumpster Fires)" sheetId="3" state="visible" r:id="rId3"/>
    <sheet name="AW (Minor)" sheetId="4" state="visible" r:id="rId4"/>
    <sheet name="BL (Brockasauras)" sheetId="5" state="visible" r:id="rId5"/>
    <sheet name="CN (Nygaardians)" sheetId="6" state="visible" r:id="rId6"/>
    <sheet name="CS (Shag Dawgs)" sheetId="7" state="visible" r:id="rId7"/>
    <sheet name="DC (Cliff Lee Was Here)" sheetId="8" state="visible" r:id="rId8"/>
    <sheet name="EP (Winning De)" sheetId="9" state="visible" r:id="rId9"/>
    <sheet name="JM (JMoney)" sheetId="10" state="visible" r:id="rId10"/>
    <sheet name="JJ (metropolitans)" sheetId="11" state="visible" r:id="rId11"/>
    <sheet name="KJ (Stat Sandwich)" sheetId="12" state="visible" r:id="rId12"/>
    <sheet name="MB (Beckers Wreckers)" sheetId="13" state="visible" r:id="rId13"/>
    <sheet name="MH (sabermutrics)" sheetId="14" state="visible" r:id="rId14"/>
    <sheet name="MT (Tradezilla)" sheetId="15" state="visible" r:id="rId15"/>
    <sheet name="SM (Dawsyn)" sheetId="16" state="visible" r:id="rId16"/>
    <sheet name="Draft budget calc" sheetId="17" state="visible" r:id="rId17"/>
    <sheet name="Dropped Contracts" sheetId="18" state="visible" r:id="rId18"/>
  </sheets>
  <definedNames>
    <definedName name="_xlnm._FilterDatabase" localSheetId="16" hidden="1">'Draft budget calc'!$A$20:$D$55</definedName>
    <definedName name="_xlnm._FilterDatabase" localSheetId="17" hidden="1">'Dropped Contracts'!$A$3:$Z$20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_(&quot;$&quot;* #,##0_);_(&quot;$&quot;* \(#,##0\);_(&quot;$&quot;* &quot;-&quot;??_);_(@_)"/>
    <numFmt numFmtId="165" formatCode="&quot;$&quot;#,##0;[Red]\-&quot;$&quot;#,##0"/>
    <numFmt numFmtId="166" formatCode="&quot;$&quot;#,##0_);[Red]\(&quot;$&quot;#,##0\)"/>
    <numFmt numFmtId="167" formatCode="&quot; $&quot;* #,##0\ ;&quot; $&quot;* \(#,##0\);&quot; $&quot;* \-#\ ;\ @\ "/>
    <numFmt numFmtId="168" formatCode="_(\$* #,##0_);_(\$* \(#,##0\);_(\$* \-??_);_(@_)"/>
    <numFmt numFmtId="169" formatCode="&quot;$&quot;#,##0"/>
  </numFmts>
  <fonts count="15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color rgb="FF000000"/>
      <scheme val="minor"/>
    </font>
    <font>
      <name val="Tahoma"/>
      <color rgb="FF333333"/>
    </font>
    <font>
      <name val="Tahoma"/>
      <color theme="1"/>
      <sz val="11"/>
    </font>
    <font>
      <name val="Inherit"/>
      <color theme="1"/>
      <sz val="12"/>
    </font>
    <font>
      <name val="Tahoma"/>
      <b val="1"/>
      <color theme="1"/>
      <sz val="11"/>
    </font>
    <font>
      <name val="&quot;gg sans&quot;"/>
      <color rgb="FFDBDEE1"/>
      <sz val="12"/>
    </font>
    <font>
      <name val="Tahoma"/>
      <color rgb="FF0000FF"/>
      <sz val="11"/>
    </font>
    <font>
      <name val="Tahoma"/>
      <color theme="10"/>
      <sz val="11"/>
    </font>
    <font>
      <name val="Calibri"/>
      <b val="1"/>
      <color theme="1"/>
      <sz val="18"/>
      <u val="single"/>
      <scheme val="minor"/>
    </font>
    <font>
      <name val="Calibri"/>
      <b val="1"/>
      <color theme="1"/>
      <sz val="16"/>
      <u val="single"/>
      <scheme val="minor"/>
    </font>
    <font/>
    <font>
      <name val="Calibri"/>
      <b val="1"/>
      <color theme="1"/>
      <sz val="16"/>
      <u val="single"/>
      <scheme val="minor"/>
    </font>
    <font>
      <name val="Calibri"/>
      <b val="1"/>
      <color theme="1"/>
      <sz val="18"/>
      <u val="single"/>
      <scheme val="minor"/>
    </font>
    <font>
      <name val="Calibri"/>
      <b val="1"/>
      <color theme="1"/>
      <sz val="11"/>
      <u val="single"/>
      <scheme val="minor"/>
    </font>
    <font>
      <name val="Calibri"/>
      <b val="1"/>
      <color theme="1"/>
      <sz val="20"/>
      <u val="single"/>
      <scheme val="minor"/>
    </font>
    <font>
      <name val="Calibri"/>
      <color theme="1"/>
      <sz val="9"/>
      <scheme val="minor"/>
    </font>
    <font>
      <name val="Calibri"/>
      <color theme="1"/>
      <sz val="7"/>
      <scheme val="minor"/>
    </font>
    <font>
      <name val="Calibri"/>
      <b val="1"/>
      <color theme="1"/>
      <sz val="8"/>
      <scheme val="minor"/>
    </font>
    <font>
      <name val="Calibri"/>
      <color theme="1"/>
      <sz val="8"/>
      <scheme val="minor"/>
    </font>
    <font>
      <name val="Calibri"/>
      <color theme="1"/>
      <sz val="12"/>
      <scheme val="minor"/>
    </font>
    <font>
      <name val="Arial Black"/>
      <b val="1"/>
      <color rgb="FF000000"/>
      <sz val="22"/>
    </font>
    <font>
      <name val="Calibri"/>
      <b val="1"/>
      <color theme="1"/>
      <sz val="14"/>
      <u val="single"/>
      <scheme val="minor"/>
    </font>
    <font>
      <name val="Calibri"/>
      <color theme="1"/>
      <sz val="8"/>
      <u val="single"/>
      <scheme val="minor"/>
    </font>
    <font>
      <name val="Calibri"/>
      <b val="1"/>
      <color theme="1"/>
      <sz val="9"/>
      <scheme val="minor"/>
    </font>
    <font>
      <name val="Calibri"/>
      <b val="1"/>
      <color theme="1"/>
      <sz val="14"/>
      <u val="single"/>
      <scheme val="minor"/>
    </font>
    <font>
      <name val="Calibri"/>
      <b val="1"/>
      <color rgb="FFFFFFFF"/>
      <sz val="13"/>
      <scheme val="minor"/>
    </font>
    <font>
      <name val="Calibri"/>
      <color theme="1"/>
      <sz val="9"/>
      <u val="single"/>
      <scheme val="minor"/>
    </font>
    <font>
      <name val="Calibri"/>
      <color theme="1"/>
      <sz val="9"/>
      <u val="single"/>
      <scheme val="minor"/>
    </font>
    <font>
      <name val="Calibri"/>
      <color theme="1"/>
      <sz val="9"/>
      <u val="single"/>
      <scheme val="minor"/>
    </font>
    <font>
      <name val="Calibri"/>
      <b val="1"/>
      <color theme="1"/>
      <sz val="18"/>
      <scheme val="minor"/>
    </font>
    <font>
      <name val="Calibri"/>
      <color rgb="FF31859B"/>
      <sz val="15"/>
      <scheme val="minor"/>
    </font>
    <font>
      <name val="Calibri"/>
      <color theme="1"/>
      <sz val="10"/>
    </font>
    <font>
      <name val="Calibri"/>
      <color theme="1"/>
      <sz val="10"/>
      <scheme val="minor"/>
    </font>
    <font>
      <name val="Calibri"/>
      <b val="1"/>
      <color rgb="FFC00000"/>
      <sz val="15"/>
    </font>
    <font>
      <name val="Calibri"/>
      <color theme="1"/>
      <sz val="11"/>
    </font>
    <font>
      <name val="Calibri"/>
      <color rgb="FFFF0000"/>
      <sz val="13"/>
    </font>
    <font>
      <name val="Calibri"/>
      <i val="1"/>
      <color theme="1"/>
      <sz val="12"/>
    </font>
    <font>
      <name val="Calibri"/>
      <color theme="1"/>
      <sz val="12"/>
    </font>
    <font>
      <name val="Calibri"/>
      <b val="1"/>
      <color rgb="FF00B050"/>
      <sz val="16"/>
    </font>
    <font>
      <name val="Calibri"/>
      <i val="1"/>
      <color rgb="FF00B050"/>
      <sz val="14"/>
      <scheme val="minor"/>
    </font>
    <font>
      <name val="Calibri"/>
      <b val="1"/>
      <color theme="1"/>
      <sz val="9"/>
      <u val="single"/>
      <scheme val="minor"/>
    </font>
    <font>
      <name val="Calibri"/>
      <b val="1"/>
      <color theme="1"/>
      <sz val="9"/>
      <u val="single"/>
      <scheme val="minor"/>
    </font>
    <font>
      <name val="Calibri"/>
      <color rgb="FF4F6128"/>
      <sz val="9"/>
      <scheme val="minor"/>
    </font>
    <font>
      <name val="Calibri"/>
      <color rgb="FFC00000"/>
      <sz val="8"/>
      <scheme val="minor"/>
    </font>
    <font>
      <name val="Calibri"/>
      <b val="1"/>
      <color rgb="FF31859B"/>
      <sz val="22"/>
      <scheme val="minor"/>
    </font>
    <font>
      <name val="Calibri"/>
      <b val="1"/>
      <color rgb="FF31859B"/>
      <sz val="11"/>
      <scheme val="minor"/>
    </font>
    <font>
      <name val="Calibri"/>
      <i val="1"/>
      <color rgb="FF7F7F7F"/>
      <sz val="16"/>
      <scheme val="minor"/>
    </font>
    <font>
      <name val="Calibri"/>
      <b val="1"/>
      <color theme="1"/>
      <sz val="9"/>
      <u val="single"/>
      <scheme val="minor"/>
    </font>
    <font>
      <name val="Calibri"/>
      <b val="1"/>
      <color rgb="FF17365D"/>
      <sz val="11"/>
      <u val="single"/>
      <scheme val="minor"/>
    </font>
    <font>
      <name val="Franklin Gothic"/>
      <color theme="1"/>
      <sz val="18"/>
    </font>
    <font>
      <name val="Calibri"/>
      <color theme="1"/>
      <sz val="20"/>
      <scheme val="minor"/>
    </font>
    <font>
      <name val="Calibri"/>
      <b val="1"/>
      <color rgb="FFFF0000"/>
      <sz val="15"/>
    </font>
    <font>
      <name val="Calibri"/>
      <b val="1"/>
      <color theme="1"/>
      <sz val="14"/>
      <scheme val="minor"/>
    </font>
    <font>
      <name val="Calibri"/>
      <color rgb="FFC00000"/>
      <sz val="15"/>
    </font>
    <font>
      <name val="Calibri"/>
      <b val="1"/>
      <color rgb="FF00B0F0"/>
      <sz val="12"/>
      <u val="single"/>
      <scheme val="minor"/>
    </font>
    <font>
      <name val="Calibri"/>
      <color rgb="FF7F7F7F"/>
      <sz val="18"/>
      <u val="single"/>
      <scheme val="minor"/>
    </font>
    <font>
      <name val="Rockwell"/>
      <color theme="1"/>
      <sz val="18"/>
    </font>
    <font>
      <name val="Calibri"/>
      <b val="1"/>
      <color theme="1"/>
      <sz val="22"/>
      <scheme val="minor"/>
    </font>
    <font>
      <name val="Calibri"/>
      <color theme="1"/>
      <sz val="13"/>
      <scheme val="minor"/>
    </font>
    <font>
      <name val="Calibri"/>
      <color theme="1"/>
      <sz val="22"/>
      <scheme val="minor"/>
    </font>
    <font>
      <name val="Calibri"/>
      <color rgb="FF002060"/>
      <sz val="13"/>
      <scheme val="minor"/>
    </font>
    <font>
      <name val="Calibri"/>
      <color rgb="FFFF0000"/>
      <sz val="15"/>
    </font>
    <font>
      <name val="Calibri"/>
      <b val="1"/>
      <color rgb="FF17365D"/>
      <sz val="11"/>
      <u val="single"/>
      <scheme val="minor"/>
    </font>
    <font>
      <name val="Calibri"/>
      <color rgb="FF000000"/>
      <sz val="10"/>
      <scheme val="minor"/>
    </font>
    <font>
      <name val="Calibri"/>
      <strike val="1"/>
      <color theme="1"/>
      <sz val="7"/>
      <scheme val="minor"/>
    </font>
    <font>
      <name val="Calibri"/>
      <b val="1"/>
      <color rgb="FFC00000"/>
      <sz val="11"/>
      <scheme val="minor"/>
    </font>
    <font>
      <name val="Calibri"/>
      <b val="1"/>
      <color theme="1"/>
      <sz val="22"/>
      <u val="single"/>
      <scheme val="minor"/>
    </font>
    <font>
      <name val="Calibri"/>
      <b val="1"/>
      <color rgb="FFFF0000"/>
      <sz val="13"/>
    </font>
    <font>
      <name val="Calibri"/>
      <b val="1"/>
      <i val="1"/>
      <color theme="1"/>
      <sz val="12"/>
    </font>
    <font>
      <name val="Calibri"/>
      <b val="1"/>
      <color theme="1"/>
      <sz val="12"/>
    </font>
    <font>
      <name val="Calibri"/>
      <b val="1"/>
      <color theme="1"/>
      <sz val="11"/>
    </font>
    <font>
      <name val="Calibri"/>
      <b val="1"/>
      <strike val="1"/>
      <color theme="1"/>
      <sz val="9"/>
      <scheme val="minor"/>
    </font>
    <font>
      <name val="Calibri"/>
      <strike val="1"/>
      <color theme="1"/>
      <sz val="9"/>
      <scheme val="minor"/>
    </font>
    <font>
      <name val="Calibri"/>
      <b val="1"/>
      <color rgb="FF632423"/>
      <sz val="8"/>
      <scheme val="minor"/>
    </font>
    <font>
      <name val="Calibri"/>
      <color rgb="FFC00000"/>
      <sz val="11"/>
      <scheme val="minor"/>
    </font>
    <font>
      <name val="Calibri"/>
      <color rgb="FFFF0000"/>
      <sz val="13"/>
      <scheme val="minor"/>
    </font>
    <font>
      <name val="Calibri"/>
      <i val="1"/>
      <color theme="1"/>
      <sz val="12"/>
      <scheme val="minor"/>
    </font>
    <font>
      <name val="Calibri"/>
      <i val="1"/>
      <color theme="1"/>
      <sz val="14"/>
      <scheme val="minor"/>
    </font>
    <font>
      <name val="Calibri"/>
      <b val="1"/>
      <color rgb="FF00B050"/>
      <sz val="16"/>
      <scheme val="minor"/>
    </font>
    <font>
      <name val="Calibri"/>
      <b val="1"/>
      <color theme="1"/>
      <sz val="8"/>
    </font>
    <font>
      <name val="Courier"/>
      <color theme="1"/>
      <sz val="8"/>
    </font>
    <font>
      <name val="Calibri"/>
      <b val="1"/>
      <color rgb="FF993300"/>
      <sz val="14"/>
      <u val="single"/>
    </font>
    <font>
      <name val="Courier"/>
      <b val="1"/>
      <color theme="1"/>
      <sz val="8"/>
    </font>
    <font>
      <name val="Calibri"/>
      <color rgb="FFFF0000"/>
      <sz val="12"/>
      <scheme val="minor"/>
    </font>
    <font>
      <name val="Calibri"/>
      <b val="1"/>
      <color rgb="FF00B050"/>
      <sz val="14"/>
      <scheme val="minor"/>
    </font>
    <font>
      <name val="Calibri"/>
      <color rgb="FF000000"/>
      <sz val="11"/>
    </font>
    <font>
      <name val="Calibri"/>
      <i val="1"/>
      <color rgb="FF000000"/>
      <sz val="12"/>
    </font>
    <font>
      <name val="Calibri"/>
      <color rgb="FF000000"/>
      <sz val="12"/>
    </font>
    <font>
      <name val="Calibri"/>
      <color theme="1"/>
      <sz val="8"/>
    </font>
    <font>
      <name val="Calibri"/>
      <b val="1"/>
      <color rgb="FF000000"/>
      <sz val="11"/>
    </font>
    <font>
      <name val="Calibri"/>
      <color rgb="FFFF0000"/>
      <sz val="15"/>
      <scheme val="minor"/>
    </font>
    <font>
      <name val="Calibri"/>
      <b val="1"/>
      <color theme="1"/>
      <sz val="24"/>
    </font>
    <font>
      <name val="Calibri"/>
      <b val="1"/>
      <color rgb="FF993300"/>
      <sz val="10"/>
      <u val="single"/>
    </font>
    <font>
      <name val="Calibri"/>
      <color rgb="FF002060"/>
      <sz val="15"/>
    </font>
    <font>
      <name val="Calibri"/>
      <b val="1"/>
      <color rgb="FF002060"/>
      <sz val="14"/>
      <scheme val="minor"/>
    </font>
    <font>
      <name val="Calibri"/>
      <color rgb="FF002060"/>
      <sz val="15"/>
      <scheme val="minor"/>
    </font>
    <font>
      <name val="Calibri"/>
      <i val="1"/>
      <color rgb="FF002060"/>
      <sz val="12"/>
      <scheme val="minor"/>
    </font>
    <font>
      <name val="Calibri"/>
      <i val="1"/>
      <color rgb="FF002060"/>
      <sz val="14"/>
      <scheme val="minor"/>
    </font>
    <font>
      <name val="Calibri"/>
      <color rgb="FF002060"/>
      <sz val="12"/>
      <scheme val="minor"/>
    </font>
    <font>
      <name val="Calibri"/>
      <b val="1"/>
      <color rgb="FF002060"/>
      <sz val="16"/>
      <scheme val="minor"/>
    </font>
    <font>
      <name val="Calibri"/>
      <color rgb="FF002060"/>
      <sz val="10"/>
      <scheme val="minor"/>
    </font>
    <font>
      <name val="Calibri"/>
      <b val="1"/>
      <color theme="1"/>
      <sz val="7"/>
      <scheme val="minor"/>
    </font>
    <font>
      <name val="Calibri"/>
      <b val="1"/>
      <color rgb="FFFF0000"/>
      <sz val="9"/>
      <scheme val="minor"/>
    </font>
    <font>
      <name val="Calibri"/>
      <color rgb="FFFF0000"/>
      <sz val="11"/>
      <scheme val="minor"/>
    </font>
    <font>
      <name val="Calibri"/>
      <b val="1"/>
      <color rgb="FFFF0000"/>
      <sz val="12"/>
      <u val="single"/>
      <scheme val="minor"/>
    </font>
    <font>
      <name val="Calibri"/>
      <b val="1"/>
      <color rgb="FFFF0000"/>
      <sz val="22"/>
      <scheme val="minor"/>
    </font>
    <font>
      <name val="Calibri"/>
      <b val="1"/>
      <color rgb="FF632423"/>
      <sz val="8"/>
    </font>
    <font>
      <name val="Calibri"/>
      <b val="1"/>
      <color rgb="FFC00000"/>
      <sz val="9"/>
      <u val="single"/>
      <scheme val="minor"/>
    </font>
    <font>
      <name val="Calibri"/>
      <b val="1"/>
      <color rgb="FFC00000"/>
      <sz val="9"/>
      <scheme val="minor"/>
    </font>
    <font>
      <name val="Calibri"/>
      <b val="1"/>
      <color rgb="FF000000"/>
      <sz val="8"/>
      <scheme val="minor"/>
    </font>
    <font>
      <name val="Calibri"/>
      <b val="1"/>
      <color theme="1"/>
      <sz val="24"/>
      <scheme val="minor"/>
    </font>
    <font>
      <name val="Calibri"/>
      <b val="1"/>
      <color theme="1"/>
      <sz val="20"/>
      <u val="single"/>
    </font>
    <font>
      <name val="Calibri"/>
      <b val="1"/>
      <color theme="5"/>
      <sz val="8"/>
      <scheme val="minor"/>
    </font>
    <font>
      <name val="Calibri"/>
      <b val="1"/>
      <color rgb="FF632423"/>
      <sz val="14"/>
      <scheme val="minor"/>
    </font>
    <font>
      <name val="Calibri"/>
      <color rgb="FFFF0000"/>
      <sz val="9"/>
      <scheme val="minor"/>
    </font>
    <font>
      <name val="Calibri"/>
      <b val="1"/>
      <color rgb="FF993300"/>
      <sz val="14"/>
      <u val="single"/>
    </font>
    <font>
      <name val="Inconsolata"/>
      <color rgb="FF000000"/>
      <sz val="11"/>
    </font>
    <font>
      <name val="Calibri"/>
      <b val="1"/>
      <color rgb="FF002060"/>
      <sz val="10"/>
      <scheme val="minor"/>
    </font>
    <font>
      <name val="Calibri"/>
      <b val="1"/>
      <color theme="1"/>
      <sz val="20"/>
      <u val="single"/>
      <scheme val="minor"/>
    </font>
    <font>
      <name val="Calibri"/>
      <color rgb="FF002060"/>
      <sz val="13"/>
    </font>
    <font>
      <name val="Calibri"/>
      <i val="1"/>
      <color rgb="FF002060"/>
      <sz val="12"/>
    </font>
    <font>
      <name val="Calibri"/>
      <color rgb="FF002060"/>
      <sz val="12"/>
    </font>
    <font>
      <name val="Calibri"/>
      <b val="1"/>
      <color theme="1"/>
      <sz val="11"/>
      <u val="single"/>
      <scheme val="minor"/>
    </font>
    <font>
      <name val="Calibri"/>
      <b val="1"/>
      <color theme="1"/>
      <sz val="18"/>
      <u val="single"/>
      <scheme val="minor"/>
    </font>
    <font>
      <name val="Calibri"/>
      <color rgb="FF31859B"/>
      <sz val="15"/>
    </font>
    <font>
      <name val="Calibri"/>
      <b val="1"/>
      <color theme="1"/>
      <sz val="14"/>
    </font>
    <font>
      <name val="Calibri"/>
      <i val="1"/>
      <color rgb="FF000000"/>
      <sz val="14"/>
    </font>
    <font>
      <name val="Calibri"/>
      <b val="1"/>
      <color rgb="FF000000"/>
      <sz val="22"/>
      <scheme val="minor"/>
    </font>
    <font>
      <name val="Calibri"/>
      <b val="1"/>
      <color theme="1"/>
      <sz val="16"/>
      <u val="single"/>
      <scheme val="minor"/>
    </font>
    <font>
      <name val="Calibri"/>
      <b val="1"/>
      <color theme="1"/>
      <sz val="18"/>
      <u val="single"/>
      <scheme val="minor"/>
    </font>
    <font>
      <name val="Calibri"/>
      <b val="1"/>
      <color theme="1"/>
      <sz val="11"/>
      <u val="single"/>
      <scheme val="minor"/>
    </font>
    <font>
      <name val="Calibri"/>
      <b val="1"/>
      <color theme="1"/>
      <sz val="16"/>
      <u val="single"/>
      <scheme val="minor"/>
    </font>
    <font>
      <name val="Calibri"/>
      <b val="1"/>
      <color rgb="FF17365D"/>
      <sz val="11"/>
      <u val="single"/>
      <scheme val="minor"/>
    </font>
    <font>
      <name val="Calibri"/>
      <b val="1"/>
      <color rgb="FF00B0F0"/>
      <sz val="12"/>
      <u val="single"/>
      <scheme val="minor"/>
    </font>
    <font>
      <name val="Calibri"/>
      <color rgb="FF7F7F7F"/>
      <sz val="18"/>
      <u val="single"/>
      <scheme val="minor"/>
    </font>
    <font>
      <name val="Calibri"/>
      <color theme="1"/>
      <sz val="18"/>
      <scheme val="minor"/>
    </font>
    <font>
      <name val="Calibri"/>
      <b val="1"/>
      <color theme="1"/>
      <sz val="22"/>
      <u val="single"/>
      <scheme val="minor"/>
    </font>
    <font>
      <name val="Calibri"/>
      <b val="1"/>
      <color rgb="FFC0504D"/>
      <sz val="8"/>
      <scheme val="minor"/>
    </font>
    <font>
      <name val="Calibri"/>
      <color rgb="FF000000"/>
      <sz val="8"/>
      <scheme val="minor"/>
    </font>
    <font>
      <name val="Calibri"/>
      <color rgb="FF33CCCC"/>
      <sz val="15"/>
    </font>
    <font>
      <name val="Calibri"/>
      <b val="1"/>
      <color rgb="FF002060"/>
      <sz val="16"/>
    </font>
    <font>
      <name val="Calibri"/>
      <i val="1"/>
      <color rgb="FF002060"/>
      <sz val="14"/>
    </font>
    <font>
      <name val="Calibri"/>
      <b val="1"/>
      <color rgb="FF31859B"/>
      <sz val="22"/>
    </font>
    <font>
      <name val="Calibri"/>
      <b val="1"/>
      <color theme="1"/>
      <sz val="9"/>
    </font>
    <font>
      <name val="Calibri"/>
      <b val="1"/>
      <color rgb="FFFF0000"/>
      <sz val="9"/>
    </font>
    <font>
      <name val="Calibri"/>
      <b val="1"/>
      <color rgb="FFFF0000"/>
      <sz val="12"/>
      <u val="single"/>
    </font>
    <font>
      <name val="Calibri"/>
      <b val="1"/>
      <color rgb="FFFF0000"/>
      <sz val="22"/>
    </font>
    <font>
      <name val="Calibri"/>
      <b val="1"/>
      <color rgb="FFC00000"/>
      <sz val="9"/>
      <u val="single"/>
    </font>
    <font>
      <name val="Calibri"/>
      <b val="1"/>
      <color rgb="FFC00000"/>
      <sz val="9"/>
    </font>
  </fonts>
  <fills count="25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4A86E8"/>
        <bgColor rgb="FF4A86E8"/>
      </patternFill>
    </fill>
    <fill>
      <patternFill patternType="solid">
        <fgColor rgb="FFC2D69B"/>
        <bgColor rgb="FFC2D69B"/>
      </patternFill>
    </fill>
    <fill>
      <patternFill patternType="solid">
        <fgColor rgb="FF548DD4"/>
        <bgColor rgb="FF548DD4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F2DBDB"/>
        <bgColor rgb="FFF2DBDB"/>
      </patternFill>
    </fill>
    <fill>
      <patternFill patternType="solid">
        <fgColor rgb="FFC0C0C0"/>
        <bgColor rgb="FFC0C0C0"/>
      </patternFill>
    </fill>
    <fill>
      <patternFill patternType="solid">
        <fgColor rgb="FF95B3D7"/>
        <bgColor rgb="FF95B3D7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rgb="FFE5E5E5"/>
        <bgColor rgb="FFE5E5E5"/>
      </patternFill>
    </fill>
    <fill>
      <patternFill patternType="solid">
        <fgColor rgb="FF00B050"/>
        <bgColor rgb="FF00B050"/>
      </patternFill>
    </fill>
    <fill>
      <patternFill patternType="solid">
        <fgColor rgb="FF5F497A"/>
        <bgColor rgb="FF5F497A"/>
      </patternFill>
    </fill>
    <fill>
      <patternFill patternType="solid">
        <fgColor rgb="FFE5DFEC"/>
        <bgColor rgb="FFE5DFEC"/>
      </patternFill>
    </fill>
  </fills>
  <borders count="1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right/>
      <bottom/>
    </border>
    <border>
      <left style="medium">
        <color rgb="FF000000"/>
      </left>
    </border>
    <border>
      <left/>
      <right style="medium">
        <color rgb="FF000000"/>
      </right>
      <bottom/>
    </border>
    <border>
      <left/>
      <right style="medium">
        <color rgb="FF000000"/>
      </right>
      <top/>
    </border>
    <border>
      <left style="medium">
        <color rgb="FF000000"/>
      </left>
      <right/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</border>
    <border>
      <left style="medium">
        <color rgb="FF000000"/>
      </left>
      <right/>
      <top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medium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/>
      <bottom/>
    </border>
    <border>
      <left style="medium">
        <color rgb="FF000000"/>
      </left>
      <right/>
      <bottom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/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bottom style="thin">
        <color rgb="FF000000"/>
      </bottom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</border>
    <border>
      <right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</border>
    <border>
      <left/>
      <right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dotted">
        <color rgb="FF000000"/>
      </left>
      <right style="medium">
        <color rgb="FF000000"/>
      </right>
      <bottom style="dotted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/>
    </border>
    <border>
      <right style="medium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left style="medium">
        <color rgb="FF000000"/>
      </left>
      <bottom/>
    </border>
    <border>
      <right/>
      <top style="medium">
        <color rgb="FF000000"/>
      </top>
      <bottom/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901"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0" fontId="2" fillId="0" borderId="1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2" borderId="0" pivotButton="0" quotePrefix="0" xfId="0"/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3" borderId="2" pivotButton="0" quotePrefix="0" xfId="0"/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4" borderId="3" applyAlignment="1" pivotButton="0" quotePrefix="0" xfId="0">
      <alignment horizontal="right"/>
    </xf>
    <xf numFmtId="0" fontId="13" fillId="4" borderId="4" applyAlignment="1" pivotButton="0" quotePrefix="0" xfId="0">
      <alignment horizontal="left"/>
    </xf>
    <xf numFmtId="0" fontId="14" fillId="0" borderId="5" pivotButton="0" quotePrefix="0" xfId="0"/>
    <xf numFmtId="0" fontId="14" fillId="0" borderId="6" pivotButton="0" quotePrefix="0" xfId="0"/>
    <xf numFmtId="0" fontId="15" fillId="3" borderId="2" pivotButton="0" quotePrefix="0" xfId="0"/>
    <xf numFmtId="0" fontId="16" fillId="4" borderId="4" applyAlignment="1" pivotButton="0" quotePrefix="0" xfId="0">
      <alignment horizontal="center"/>
    </xf>
    <xf numFmtId="0" fontId="17" fillId="3" borderId="2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18" fillId="4" borderId="4" applyAlignment="1" pivotButton="0" quotePrefix="0" xfId="0">
      <alignment horizontal="center"/>
    </xf>
    <xf numFmtId="164" fontId="19" fillId="3" borderId="2" applyAlignment="1" pivotButton="0" quotePrefix="0" xfId="0">
      <alignment wrapText="1"/>
    </xf>
    <xf numFmtId="164" fontId="20" fillId="0" borderId="0" pivotButton="0" quotePrefix="0" xfId="0"/>
    <xf numFmtId="0" fontId="14" fillId="0" borderId="7" pivotButton="0" quotePrefix="0" xfId="0"/>
    <xf numFmtId="0" fontId="14" fillId="0" borderId="8" pivotButton="0" quotePrefix="0" xfId="0"/>
    <xf numFmtId="0" fontId="14" fillId="0" borderId="9" pivotButton="0" quotePrefix="0" xfId="0"/>
    <xf numFmtId="0" fontId="14" fillId="0" borderId="10" pivotButton="0" quotePrefix="0" xfId="0"/>
    <xf numFmtId="0" fontId="14" fillId="0" borderId="11" pivotButton="0" quotePrefix="0" xfId="0"/>
    <xf numFmtId="0" fontId="14" fillId="0" borderId="12" pivotButton="0" quotePrefix="0" xfId="0"/>
    <xf numFmtId="0" fontId="14" fillId="0" borderId="13" pivotButton="0" quotePrefix="0" xfId="0"/>
    <xf numFmtId="0" fontId="21" fillId="0" borderId="0" applyAlignment="1" pivotButton="0" quotePrefix="0" xfId="0">
      <alignment vertical="center"/>
    </xf>
    <xf numFmtId="0" fontId="0" fillId="3" borderId="3" applyAlignment="1" pivotButton="0" quotePrefix="0" xfId="0">
      <alignment horizontal="center"/>
    </xf>
    <xf numFmtId="0" fontId="22" fillId="0" borderId="14" applyAlignment="1" pivotButton="0" quotePrefix="0" xfId="0">
      <alignment horizontal="center" vertical="center" wrapText="1"/>
    </xf>
    <xf numFmtId="0" fontId="14" fillId="0" borderId="15" pivotButton="0" quotePrefix="0" xfId="0"/>
    <xf numFmtId="164" fontId="23" fillId="5" borderId="16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wrapText="1"/>
    </xf>
    <xf numFmtId="0" fontId="22" fillId="3" borderId="3" applyAlignment="1" pivotButton="0" quotePrefix="0" xfId="0">
      <alignment horizontal="center"/>
    </xf>
    <xf numFmtId="164" fontId="19" fillId="0" borderId="0" applyAlignment="1" pivotButton="0" quotePrefix="0" xfId="0">
      <alignment wrapText="1"/>
    </xf>
    <xf numFmtId="0" fontId="27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164" fontId="20" fillId="0" borderId="0" applyAlignment="1" pivotButton="0" quotePrefix="0" xfId="0">
      <alignment wrapText="1"/>
    </xf>
    <xf numFmtId="0" fontId="14" fillId="0" borderId="17" pivotButton="0" quotePrefix="0" xfId="0"/>
    <xf numFmtId="0" fontId="14" fillId="0" borderId="18" pivotButton="0" quotePrefix="0" xfId="0"/>
    <xf numFmtId="0" fontId="14" fillId="0" borderId="19" pivotButton="0" quotePrefix="0" xfId="0"/>
    <xf numFmtId="0" fontId="0" fillId="3" borderId="2" applyAlignment="1" pivotButton="0" quotePrefix="0" xfId="0">
      <alignment horizontal="center"/>
    </xf>
    <xf numFmtId="0" fontId="19" fillId="0" borderId="18" applyAlignment="1" pivotButton="0" quotePrefix="0" xfId="0">
      <alignment horizontal="center" vertical="center" wrapText="1"/>
    </xf>
    <xf numFmtId="164" fontId="23" fillId="5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/>
    </xf>
    <xf numFmtId="0" fontId="28" fillId="3" borderId="22" applyAlignment="1" pivotButton="0" quotePrefix="0" xfId="0">
      <alignment horizontal="center" vertical="top" wrapText="1"/>
    </xf>
    <xf numFmtId="0" fontId="0" fillId="3" borderId="22" applyAlignment="1" pivotButton="0" quotePrefix="0" xfId="0">
      <alignment horizontal="center"/>
    </xf>
    <xf numFmtId="0" fontId="29" fillId="6" borderId="23" applyAlignment="1" pivotButton="0" quotePrefix="0" xfId="0">
      <alignment horizontal="right" wrapText="1"/>
    </xf>
    <xf numFmtId="0" fontId="30" fillId="3" borderId="22" applyAlignment="1" pivotButton="0" quotePrefix="0" xfId="0">
      <alignment horizontal="center" vertical="top" wrapText="1"/>
    </xf>
    <xf numFmtId="0" fontId="31" fillId="3" borderId="24" applyAlignment="1" pivotButton="0" quotePrefix="0" xfId="0">
      <alignment horizontal="center" vertical="top" wrapText="1"/>
    </xf>
    <xf numFmtId="0" fontId="29" fillId="6" borderId="25" applyAlignment="1" pivotButton="0" quotePrefix="0" xfId="0">
      <alignment horizontal="center" wrapText="1"/>
    </xf>
    <xf numFmtId="0" fontId="32" fillId="3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center" wrapText="1"/>
    </xf>
    <xf numFmtId="0" fontId="33" fillId="7" borderId="28" applyAlignment="1" pivotButton="0" quotePrefix="0" xfId="0">
      <alignment horizontal="left"/>
    </xf>
    <xf numFmtId="164" fontId="34" fillId="3" borderId="2" pivotButton="0" quotePrefix="0" xfId="0"/>
    <xf numFmtId="0" fontId="14" fillId="0" borderId="29" pivotButton="0" quotePrefix="0" xfId="0"/>
    <xf numFmtId="0" fontId="33" fillId="7" borderId="30" applyAlignment="1" pivotButton="0" quotePrefix="0" xfId="0">
      <alignment horizontal="left"/>
    </xf>
    <xf numFmtId="0" fontId="35" fillId="8" borderId="31" applyAlignment="1" pivotButton="0" quotePrefix="0" xfId="0">
      <alignment horizontal="center" vertical="center" wrapText="1"/>
    </xf>
    <xf numFmtId="0" fontId="36" fillId="3" borderId="2" pivotButton="0" quotePrefix="0" xfId="0"/>
    <xf numFmtId="0" fontId="37" fillId="0" borderId="0" applyAlignment="1" pivotButton="0" quotePrefix="0" xfId="0">
      <alignment vertical="bottom"/>
    </xf>
    <xf numFmtId="0" fontId="38" fillId="3" borderId="2" applyAlignment="1" pivotButton="0" quotePrefix="0" xfId="0">
      <alignment vertical="bottom"/>
    </xf>
    <xf numFmtId="164" fontId="39" fillId="0" borderId="0" applyAlignment="1" pivotButton="0" quotePrefix="0" xfId="0">
      <alignment horizontal="center" vertical="bottom"/>
    </xf>
    <xf numFmtId="164" fontId="38" fillId="3" borderId="2" applyAlignment="1" pivotButton="0" quotePrefix="0" xfId="0">
      <alignment vertical="bottom"/>
    </xf>
    <xf numFmtId="0" fontId="40" fillId="0" borderId="0" applyAlignment="1" pivotButton="0" quotePrefix="0" xfId="0">
      <alignment horizontal="center" vertical="bottom"/>
    </xf>
    <xf numFmtId="0" fontId="38" fillId="3" borderId="32" applyAlignment="1" pivotButton="0" quotePrefix="0" xfId="0">
      <alignment vertical="bottom"/>
    </xf>
    <xf numFmtId="0" fontId="41" fillId="0" borderId="33" applyAlignment="1" pivotButton="0" quotePrefix="0" xfId="0">
      <alignment horizontal="center" vertical="bottom" wrapText="1"/>
    </xf>
    <xf numFmtId="0" fontId="38" fillId="3" borderId="33" applyAlignment="1" pivotButton="0" quotePrefix="0" xfId="0">
      <alignment vertical="bottom"/>
    </xf>
    <xf numFmtId="0" fontId="33" fillId="7" borderId="30" applyAlignment="1" pivotButton="0" quotePrefix="0" xfId="0">
      <alignment horizontal="left"/>
    </xf>
    <xf numFmtId="0" fontId="42" fillId="0" borderId="34" applyAlignment="1" pivotButton="0" quotePrefix="0" xfId="0">
      <alignment horizontal="center" vertical="bottom" wrapText="1"/>
    </xf>
    <xf numFmtId="0" fontId="0" fillId="3" borderId="35" pivotButton="0" quotePrefix="0" xfId="0"/>
    <xf numFmtId="0" fontId="14" fillId="0" borderId="36" pivotButton="0" quotePrefix="0" xfId="0"/>
    <xf numFmtId="0" fontId="14" fillId="0" borderId="37" pivotButton="0" quotePrefix="0" xfId="0"/>
    <xf numFmtId="0" fontId="14" fillId="0" borderId="38" pivotButton="0" quotePrefix="0" xfId="0"/>
    <xf numFmtId="0" fontId="43" fillId="0" borderId="0" applyAlignment="1" pivotButton="0" quotePrefix="0" xfId="0">
      <alignment horizontal="center"/>
    </xf>
    <xf numFmtId="0" fontId="14" fillId="0" borderId="39" pivotButton="0" quotePrefix="0" xfId="0"/>
    <xf numFmtId="164" fontId="19" fillId="3" borderId="2" applyAlignment="1" pivotButton="0" quotePrefix="0" xfId="0">
      <alignment vertical="center" wrapText="1"/>
    </xf>
    <xf numFmtId="0" fontId="44" fillId="9" borderId="22" applyAlignment="1" pivotButton="0" quotePrefix="0" xfId="0">
      <alignment wrapText="1"/>
    </xf>
    <xf numFmtId="0" fontId="45" fillId="9" borderId="22" applyAlignment="1" pivotButton="0" quotePrefix="0" xfId="0">
      <alignment horizontal="center" vertical="center" wrapText="1"/>
    </xf>
    <xf numFmtId="0" fontId="46" fillId="10" borderId="40" applyAlignment="1" pivotButton="0" quotePrefix="0" xfId="0">
      <alignment horizontal="center" vertical="center"/>
    </xf>
    <xf numFmtId="0" fontId="47" fillId="10" borderId="41" applyAlignment="1" pivotButton="0" quotePrefix="0" xfId="0">
      <alignment horizontal="center" vertical="center"/>
    </xf>
    <xf numFmtId="164" fontId="0" fillId="10" borderId="2" applyAlignment="1" pivotButton="0" quotePrefix="0" xfId="0">
      <alignment vertical="center"/>
    </xf>
    <xf numFmtId="0" fontId="46" fillId="10" borderId="2" applyAlignment="1" pivotButton="0" quotePrefix="0" xfId="0">
      <alignment horizontal="center" vertical="center"/>
    </xf>
    <xf numFmtId="0" fontId="47" fillId="10" borderId="2" applyAlignment="1" pivotButton="0" quotePrefix="0" xfId="0">
      <alignment horizontal="center" vertical="center"/>
    </xf>
    <xf numFmtId="164" fontId="48" fillId="0" borderId="42" applyAlignment="1" pivotButton="0" quotePrefix="0" xfId="0">
      <alignment horizontal="center" wrapText="1"/>
    </xf>
    <xf numFmtId="164" fontId="0" fillId="10" borderId="43" applyAlignment="1" pivotButton="0" quotePrefix="0" xfId="0">
      <alignment vertical="center"/>
    </xf>
    <xf numFmtId="164" fontId="19" fillId="3" borderId="35" applyAlignment="1" pivotButton="0" quotePrefix="0" xfId="0">
      <alignment wrapText="1"/>
    </xf>
    <xf numFmtId="0" fontId="49" fillId="3" borderId="21" applyAlignment="1" pivotButton="0" quotePrefix="0" xfId="0">
      <alignment vertical="center" wrapText="1"/>
    </xf>
    <xf numFmtId="0" fontId="49" fillId="3" borderId="2" applyAlignment="1" pivotButton="0" quotePrefix="0" xfId="0">
      <alignment vertical="center" wrapText="1"/>
    </xf>
    <xf numFmtId="0" fontId="0" fillId="3" borderId="44" applyAlignment="1" pivotButton="0" quotePrefix="0" xfId="0">
      <alignment horizontal="center"/>
    </xf>
    <xf numFmtId="164" fontId="50" fillId="3" borderId="45" applyAlignment="1" pivotButton="0" quotePrefix="0" xfId="0">
      <alignment vertical="center" wrapText="1"/>
    </xf>
    <xf numFmtId="0" fontId="14" fillId="0" borderId="46" pivotButton="0" quotePrefix="0" xfId="0"/>
    <xf numFmtId="0" fontId="14" fillId="0" borderId="47" pivotButton="0" quotePrefix="0" xfId="0"/>
    <xf numFmtId="0" fontId="14" fillId="0" borderId="42" pivotButton="0" quotePrefix="0" xfId="0"/>
    <xf numFmtId="0" fontId="14" fillId="0" borderId="48" pivotButton="0" quotePrefix="0" xfId="0"/>
    <xf numFmtId="0" fontId="51" fillId="11" borderId="49" applyAlignment="1" pivotButton="0" quotePrefix="0" xfId="0">
      <alignment horizontal="center" wrapText="1"/>
    </xf>
    <xf numFmtId="164" fontId="23" fillId="5" borderId="19" applyAlignment="1" pivotButton="0" quotePrefix="0" xfId="0">
      <alignment horizontal="center" vertical="center" wrapText="1"/>
    </xf>
    <xf numFmtId="0" fontId="14" fillId="0" borderId="50" pivotButton="0" quotePrefix="0" xfId="0"/>
    <xf numFmtId="0" fontId="21" fillId="11" borderId="2" applyAlignment="1" pivotButton="0" quotePrefix="0" xfId="0">
      <alignment vertical="center"/>
    </xf>
    <xf numFmtId="0" fontId="14" fillId="0" borderId="51" pivotButton="0" quotePrefix="0" xfId="0"/>
    <xf numFmtId="0" fontId="0" fillId="3" borderId="52" applyAlignment="1" pivotButton="0" quotePrefix="0" xfId="0">
      <alignment horizontal="center"/>
    </xf>
    <xf numFmtId="0" fontId="52" fillId="0" borderId="18" applyAlignment="1" pivotButton="0" quotePrefix="0" xfId="0">
      <alignment horizontal="center" vertical="center" wrapText="1"/>
    </xf>
    <xf numFmtId="164" fontId="53" fillId="5" borderId="53" applyAlignment="1" pivotButton="0" quotePrefix="0" xfId="0">
      <alignment vertical="center" wrapText="1"/>
    </xf>
    <xf numFmtId="0" fontId="14" fillId="0" borderId="54" pivotButton="0" quotePrefix="0" xfId="0"/>
    <xf numFmtId="0" fontId="14" fillId="0" borderId="55" pivotButton="0" quotePrefix="0" xfId="0"/>
    <xf numFmtId="164" fontId="54" fillId="9" borderId="20" applyAlignment="1" pivotButton="0" quotePrefix="0" xfId="0">
      <alignment horizontal="center" vertical="center" wrapText="1"/>
    </xf>
    <xf numFmtId="0" fontId="55" fillId="0" borderId="0" applyAlignment="1" pivotButton="0" quotePrefix="0" xfId="0">
      <alignment vertical="bottom"/>
    </xf>
    <xf numFmtId="0" fontId="36" fillId="3" borderId="21" applyAlignment="1" pivotButton="0" quotePrefix="0" xfId="0">
      <alignment vertical="center"/>
    </xf>
    <xf numFmtId="0" fontId="40" fillId="0" borderId="0" applyAlignment="1" pivotButton="0" quotePrefix="0" xfId="0">
      <alignment horizontal="center" vertical="bottom"/>
    </xf>
    <xf numFmtId="0" fontId="38" fillId="3" borderId="40" applyAlignment="1" pivotButton="0" quotePrefix="0" xfId="0">
      <alignment vertical="bottom"/>
    </xf>
    <xf numFmtId="0" fontId="38" fillId="3" borderId="0" applyAlignment="1" pivotButton="0" quotePrefix="0" xfId="0">
      <alignment vertical="bottom"/>
    </xf>
    <xf numFmtId="0" fontId="41" fillId="0" borderId="34" applyAlignment="1" pivotButton="0" quotePrefix="0" xfId="0">
      <alignment horizontal="center" vertical="bottom" wrapText="1"/>
    </xf>
    <xf numFmtId="0" fontId="38" fillId="3" borderId="56" applyAlignment="1" pivotButton="0" quotePrefix="0" xfId="0">
      <alignment vertical="bottom"/>
    </xf>
    <xf numFmtId="0" fontId="0" fillId="3" borderId="45" pivotButton="0" quotePrefix="0" xfId="0"/>
    <xf numFmtId="0" fontId="14" fillId="0" borderId="57" pivotButton="0" quotePrefix="0" xfId="0"/>
    <xf numFmtId="0" fontId="56" fillId="3" borderId="35" pivotButton="0" quotePrefix="0" xfId="0"/>
    <xf numFmtId="0" fontId="57" fillId="0" borderId="0" applyAlignment="1" pivotButton="0" quotePrefix="0" xfId="0">
      <alignment vertical="bottom"/>
    </xf>
    <xf numFmtId="0" fontId="42" fillId="0" borderId="33" applyAlignment="1" pivotButton="0" quotePrefix="0" xfId="0">
      <alignment horizontal="center" vertical="bottom" wrapText="1"/>
    </xf>
    <xf numFmtId="164" fontId="0" fillId="12" borderId="22" applyAlignment="1" pivotButton="0" quotePrefix="0" xfId="0">
      <alignment vertical="center"/>
    </xf>
    <xf numFmtId="164" fontId="0" fillId="12" borderId="22" applyAlignment="1" pivotButton="0" quotePrefix="0" xfId="0">
      <alignment horizontal="center" vertical="center"/>
    </xf>
    <xf numFmtId="0" fontId="46" fillId="12" borderId="22" applyAlignment="1" pivotButton="0" quotePrefix="0" xfId="0">
      <alignment horizontal="center" vertical="center"/>
    </xf>
    <xf numFmtId="0" fontId="14" fillId="0" borderId="58" pivotButton="0" quotePrefix="0" xfId="0"/>
    <xf numFmtId="0" fontId="47" fillId="12" borderId="22" applyAlignment="1" pivotButton="0" quotePrefix="0" xfId="0">
      <alignment horizontal="center" vertical="center"/>
    </xf>
    <xf numFmtId="0" fontId="14" fillId="0" borderId="59" pivotButton="0" quotePrefix="0" xfId="0"/>
    <xf numFmtId="0" fontId="58" fillId="3" borderId="2" applyAlignment="1" pivotButton="0" quotePrefix="0" xfId="0">
      <alignment vertical="center" wrapText="1"/>
    </xf>
    <xf numFmtId="164" fontId="59" fillId="3" borderId="2" applyAlignment="1" pivotButton="0" quotePrefix="0" xfId="0">
      <alignment vertical="center" wrapText="1"/>
    </xf>
    <xf numFmtId="0" fontId="38" fillId="3" borderId="60" applyAlignment="1" pivotButton="0" quotePrefix="0" xfId="0">
      <alignment vertical="bottom"/>
    </xf>
    <xf numFmtId="0" fontId="56" fillId="3" borderId="2" pivotButton="0" quotePrefix="0" xfId="0"/>
    <xf numFmtId="0" fontId="60" fillId="13" borderId="4" applyAlignment="1" pivotButton="0" quotePrefix="0" xfId="0">
      <alignment horizontal="center" vertical="center" textRotation="255"/>
    </xf>
    <xf numFmtId="0" fontId="43" fillId="3" borderId="2" applyAlignment="1" pivotButton="0" quotePrefix="0" xfId="0">
      <alignment horizontal="left"/>
    </xf>
    <xf numFmtId="0" fontId="14" fillId="0" borderId="61" pivotButton="0" quotePrefix="0" xfId="0"/>
    <xf numFmtId="164" fontId="61" fillId="3" borderId="45" applyAlignment="1" pivotButton="0" quotePrefix="0" xfId="0">
      <alignment wrapText="1"/>
    </xf>
    <xf numFmtId="0" fontId="0" fillId="0" borderId="38" applyAlignment="1" pivotButton="0" quotePrefix="0" xfId="0">
      <alignment vertical="center"/>
    </xf>
    <xf numFmtId="0" fontId="36" fillId="0" borderId="14" applyAlignment="1" pivotButton="0" quotePrefix="0" xfId="0">
      <alignment horizontal="center" vertical="center" wrapText="1"/>
    </xf>
    <xf numFmtId="164" fontId="38" fillId="3" borderId="0" applyAlignment="1" pivotButton="0" quotePrefix="0" xfId="0">
      <alignment vertical="bottom"/>
    </xf>
    <xf numFmtId="0" fontId="27" fillId="0" borderId="62" applyAlignment="1" pivotButton="0" quotePrefix="0" xfId="0">
      <alignment horizontal="left" vertical="center"/>
    </xf>
    <xf numFmtId="0" fontId="14" fillId="0" borderId="63" pivotButton="0" quotePrefix="0" xfId="0"/>
    <xf numFmtId="0" fontId="14" fillId="0" borderId="34" pivotButton="0" quotePrefix="0" xfId="0"/>
    <xf numFmtId="164" fontId="62" fillId="14" borderId="16" applyAlignment="1" pivotButton="0" quotePrefix="0" xfId="0">
      <alignment horizontal="center" vertical="center" wrapText="1"/>
    </xf>
    <xf numFmtId="164" fontId="36" fillId="0" borderId="18" applyAlignment="1" pivotButton="0" quotePrefix="0" xfId="0">
      <alignment horizontal="center" vertical="center" wrapText="1"/>
    </xf>
    <xf numFmtId="164" fontId="62" fillId="14" borderId="20" applyAlignment="1" pivotButton="0" quotePrefix="0" xfId="0">
      <alignment horizontal="center" vertical="center" wrapText="1"/>
    </xf>
    <xf numFmtId="0" fontId="61" fillId="3" borderId="45" applyAlignment="1" pivotButton="0" quotePrefix="0" xfId="0">
      <alignment wrapText="1"/>
    </xf>
    <xf numFmtId="0" fontId="14" fillId="0" borderId="64" pivotButton="0" quotePrefix="0" xfId="0"/>
    <xf numFmtId="0" fontId="14" fillId="0" borderId="33" pivotButton="0" quotePrefix="0" xfId="0"/>
    <xf numFmtId="0" fontId="55" fillId="0" borderId="0" applyAlignment="1" pivotButton="0" quotePrefix="0" xfId="0">
      <alignment vertical="bottom"/>
    </xf>
    <xf numFmtId="164" fontId="39" fillId="0" borderId="0" applyAlignment="1" pivotButton="0" quotePrefix="0" xfId="0">
      <alignment horizontal="right" vertical="bottom"/>
    </xf>
    <xf numFmtId="164" fontId="0" fillId="0" borderId="56" applyAlignment="1" pivotButton="0" quotePrefix="0" xfId="0">
      <alignment vertical="center"/>
    </xf>
    <xf numFmtId="0" fontId="41" fillId="0" borderId="33" applyAlignment="1" pivotButton="0" quotePrefix="0" xfId="0">
      <alignment horizontal="center" vertical="bottom" wrapText="1"/>
    </xf>
    <xf numFmtId="0" fontId="19" fillId="0" borderId="56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164" fontId="62" fillId="14" borderId="20" applyAlignment="1" pivotButton="0" quotePrefix="0" xfId="0">
      <alignment horizontal="center" vertical="center" wrapText="1"/>
    </xf>
    <xf numFmtId="0" fontId="63" fillId="3" borderId="45" pivotButton="0" quotePrefix="0" xfId="0"/>
    <xf numFmtId="0" fontId="38" fillId="3" borderId="2" applyAlignment="1" pivotButton="0" quotePrefix="0" xfId="0">
      <alignment vertical="bottom"/>
    </xf>
    <xf numFmtId="164" fontId="64" fillId="14" borderId="20" applyAlignment="1" pivotButton="0" quotePrefix="0" xfId="0">
      <alignment horizontal="center" vertical="center" wrapText="1"/>
    </xf>
    <xf numFmtId="0" fontId="65" fillId="0" borderId="0" applyAlignment="1" pivotButton="0" quotePrefix="0" xfId="0">
      <alignment vertical="bottom"/>
    </xf>
    <xf numFmtId="0" fontId="66" fillId="0" borderId="14" applyAlignment="1" pivotButton="0" quotePrefix="0" xfId="0">
      <alignment horizontal="center" vertical="center" wrapText="1"/>
    </xf>
    <xf numFmtId="164" fontId="54" fillId="9" borderId="16" applyAlignment="1" pivotButton="0" quotePrefix="0" xfId="0">
      <alignment horizontal="center" vertical="center" wrapText="1"/>
    </xf>
    <xf numFmtId="164" fontId="63" fillId="3" borderId="45" pivotButton="0" quotePrefix="0" xfId="0"/>
    <xf numFmtId="0" fontId="67" fillId="0" borderId="18" applyAlignment="1" pivotButton="0" quotePrefix="0" xfId="0">
      <alignment horizontal="center" vertical="center" wrapText="1"/>
    </xf>
    <xf numFmtId="0" fontId="0" fillId="3" borderId="21" pivotButton="0" quotePrefix="0" xfId="0"/>
    <xf numFmtId="164" fontId="68" fillId="0" borderId="0" applyAlignment="1" pivotButton="0" quotePrefix="0" xfId="0">
      <alignment wrapText="1"/>
    </xf>
    <xf numFmtId="164" fontId="69" fillId="9" borderId="14" applyAlignment="1" pivotButton="0" quotePrefix="0" xfId="0">
      <alignment horizontal="center" vertical="center" wrapText="1"/>
    </xf>
    <xf numFmtId="0" fontId="38" fillId="15" borderId="2" applyAlignment="1" pivotButton="0" quotePrefix="0" xfId="0">
      <alignment vertical="bottom"/>
    </xf>
    <xf numFmtId="164" fontId="70" fillId="9" borderId="16" applyAlignment="1" pivotButton="0" quotePrefix="0" xfId="0">
      <alignment horizontal="center" vertical="center"/>
    </xf>
    <xf numFmtId="164" fontId="38" fillId="15" borderId="2" applyAlignment="1" pivotButton="0" quotePrefix="0" xfId="0">
      <alignment vertical="bottom"/>
    </xf>
    <xf numFmtId="0" fontId="38" fillId="15" borderId="32" applyAlignment="1" pivotButton="0" quotePrefix="0" xfId="0">
      <alignment vertical="bottom"/>
    </xf>
    <xf numFmtId="0" fontId="14" fillId="0" borderId="65" pivotButton="0" quotePrefix="0" xfId="0"/>
    <xf numFmtId="164" fontId="71" fillId="0" borderId="0" applyAlignment="1" pivotButton="0" quotePrefix="0" xfId="0">
      <alignment horizontal="center" vertical="bottom"/>
    </xf>
    <xf numFmtId="0" fontId="72" fillId="0" borderId="0" applyAlignment="1" pivotButton="0" quotePrefix="0" xfId="0">
      <alignment horizontal="center" vertical="bottom"/>
    </xf>
    <xf numFmtId="0" fontId="73" fillId="0" borderId="33" applyAlignment="1" pivotButton="0" quotePrefix="0" xfId="0">
      <alignment horizontal="center" vertical="bottom" wrapText="1"/>
    </xf>
    <xf numFmtId="0" fontId="38" fillId="0" borderId="56" applyAlignment="1" pivotButton="0" quotePrefix="0" xfId="0">
      <alignment vertical="bottom"/>
    </xf>
    <xf numFmtId="0" fontId="55" fillId="0" borderId="0" applyAlignment="1" pivotButton="0" quotePrefix="0" xfId="0">
      <alignment vertical="bottom"/>
    </xf>
    <xf numFmtId="0" fontId="74" fillId="3" borderId="2" applyAlignment="1" pivotButton="0" quotePrefix="0" xfId="0">
      <alignment vertical="bottom"/>
    </xf>
    <xf numFmtId="164" fontId="39" fillId="0" borderId="0" applyAlignment="1" pivotButton="0" quotePrefix="0" xfId="0">
      <alignment horizontal="center" vertical="bottom"/>
    </xf>
    <xf numFmtId="0" fontId="0" fillId="3" borderId="4" applyAlignment="1" pivotButton="0" quotePrefix="0" xfId="0">
      <alignment horizontal="center"/>
    </xf>
    <xf numFmtId="0" fontId="40" fillId="0" borderId="0" applyAlignment="1" pivotButton="0" quotePrefix="0" xfId="0">
      <alignment horizontal="center" vertical="bottom"/>
    </xf>
    <xf numFmtId="0" fontId="41" fillId="0" borderId="33" applyAlignment="1" pivotButton="0" quotePrefix="0" xfId="0">
      <alignment horizontal="center" vertical="bottom" wrapText="1"/>
    </xf>
    <xf numFmtId="0" fontId="75" fillId="0" borderId="0" applyAlignment="1" pivotButton="0" quotePrefix="0" xfId="0">
      <alignment wrapText="1"/>
    </xf>
    <xf numFmtId="164" fontId="76" fillId="0" borderId="0" applyAlignment="1" pivotButton="0" quotePrefix="0" xfId="0">
      <alignment wrapText="1"/>
    </xf>
    <xf numFmtId="0" fontId="36" fillId="13" borderId="66" applyAlignment="1" pivotButton="0" quotePrefix="0" xfId="0">
      <alignment horizontal="center" vertical="center"/>
    </xf>
    <xf numFmtId="0" fontId="14" fillId="0" borderId="67" pivotButton="0" quotePrefix="0" xfId="0"/>
    <xf numFmtId="0" fontId="14" fillId="0" borderId="68" pivotButton="0" quotePrefix="0" xfId="0"/>
    <xf numFmtId="0" fontId="27" fillId="3" borderId="2" applyAlignment="1" pivotButton="0" quotePrefix="0" xfId="0">
      <alignment wrapText="1"/>
    </xf>
    <xf numFmtId="0" fontId="36" fillId="16" borderId="69" applyAlignment="1" pivotButton="0" quotePrefix="0" xfId="0">
      <alignment horizontal="center" vertical="center"/>
    </xf>
    <xf numFmtId="0" fontId="14" fillId="0" borderId="70" pivotButton="0" quotePrefix="0" xfId="0"/>
    <xf numFmtId="0" fontId="14" fillId="0" borderId="71" pivotButton="0" quotePrefix="0" xfId="0"/>
    <xf numFmtId="0" fontId="77" fillId="17" borderId="72" applyAlignment="1" pivotButton="0" quotePrefix="0" xfId="0">
      <alignment vertical="center"/>
    </xf>
    <xf numFmtId="49" fontId="21" fillId="0" borderId="18" applyAlignment="1" pivotButton="0" quotePrefix="0" xfId="0">
      <alignment horizontal="left" vertical="center"/>
    </xf>
    <xf numFmtId="0" fontId="74" fillId="3" borderId="0" applyAlignment="1" pivotButton="0" quotePrefix="0" xfId="0">
      <alignment vertical="bottom"/>
    </xf>
    <xf numFmtId="0" fontId="36" fillId="0" borderId="58" applyAlignment="1" pivotButton="0" quotePrefix="0" xfId="0">
      <alignment horizontal="center" vertical="center"/>
    </xf>
    <xf numFmtId="164" fontId="74" fillId="3" borderId="0" applyAlignment="1" pivotButton="0" quotePrefix="0" xfId="0">
      <alignment vertical="bottom"/>
    </xf>
    <xf numFmtId="0" fontId="14" fillId="0" borderId="73" pivotButton="0" quotePrefix="0" xfId="0"/>
    <xf numFmtId="0" fontId="74" fillId="3" borderId="33" applyAlignment="1" pivotButton="0" quotePrefix="0" xfId="0">
      <alignment vertical="bottom"/>
    </xf>
    <xf numFmtId="0" fontId="78" fillId="3" borderId="2" pivotButton="0" quotePrefix="0" xfId="0"/>
    <xf numFmtId="0" fontId="0" fillId="3" borderId="17" applyAlignment="1" pivotButton="0" quotePrefix="0" xfId="0">
      <alignment vertical="center"/>
    </xf>
    <xf numFmtId="0" fontId="0" fillId="3" borderId="17" pivotButton="0" quotePrefix="0" xfId="0"/>
    <xf numFmtId="164" fontId="22" fillId="0" borderId="42" applyAlignment="1" pivotButton="0" quotePrefix="0" xfId="0">
      <alignment vertical="center"/>
    </xf>
    <xf numFmtId="164" fontId="21" fillId="3" borderId="24" applyAlignment="1" pivotButton="0" quotePrefix="0" xfId="0">
      <alignment horizontal="center" vertical="center" wrapText="1"/>
    </xf>
    <xf numFmtId="0" fontId="57" fillId="0" borderId="0" pivotButton="0" quotePrefix="0" xfId="0"/>
    <xf numFmtId="165" fontId="0" fillId="3" borderId="2" pivotButton="0" quotePrefix="0" xfId="0"/>
    <xf numFmtId="164" fontId="79" fillId="0" borderId="0" applyAlignment="1" pivotButton="0" quotePrefix="0" xfId="0">
      <alignment horizontal="center"/>
    </xf>
    <xf numFmtId="0" fontId="80" fillId="0" borderId="0" applyAlignment="1" pivotButton="0" quotePrefix="0" xfId="0">
      <alignment horizontal="center"/>
    </xf>
    <xf numFmtId="0" fontId="81" fillId="3" borderId="2" pivotButton="0" quotePrefix="0" xfId="0"/>
    <xf numFmtId="0" fontId="23" fillId="0" borderId="27" applyAlignment="1" pivotButton="0" quotePrefix="0" xfId="0">
      <alignment horizontal="center" vertical="center" wrapText="1"/>
    </xf>
    <xf numFmtId="0" fontId="82" fillId="0" borderId="27" applyAlignment="1" pivotButton="0" quotePrefix="0" xfId="0">
      <alignment horizontal="center" wrapText="1"/>
    </xf>
    <xf numFmtId="164" fontId="34" fillId="3" borderId="21" pivotButton="0" quotePrefix="0" xfId="0"/>
    <xf numFmtId="49" fontId="21" fillId="3" borderId="74" applyAlignment="1" pivotButton="0" quotePrefix="0" xfId="0">
      <alignment horizontal="center" vertical="center"/>
    </xf>
    <xf numFmtId="164" fontId="21" fillId="3" borderId="2" applyAlignment="1" pivotButton="0" quotePrefix="0" xfId="0">
      <alignment horizontal="left" vertical="center"/>
    </xf>
    <xf numFmtId="0" fontId="14" fillId="0" borderId="75" pivotButton="0" quotePrefix="0" xfId="0"/>
    <xf numFmtId="0" fontId="77" fillId="18" borderId="76" applyAlignment="1" pivotButton="0" quotePrefix="0" xfId="0">
      <alignment vertical="center"/>
    </xf>
    <xf numFmtId="0" fontId="83" fillId="0" borderId="18" pivotButton="0" quotePrefix="0" xfId="0"/>
    <xf numFmtId="164" fontId="83" fillId="0" borderId="0" applyAlignment="1" pivotButton="0" quotePrefix="0" xfId="0">
      <alignment horizontal="right"/>
    </xf>
    <xf numFmtId="0" fontId="65" fillId="0" borderId="0" applyAlignment="1" pivotButton="0" quotePrefix="0" xfId="0">
      <alignment vertical="bottom"/>
    </xf>
    <xf numFmtId="0" fontId="83" fillId="0" borderId="0" applyAlignment="1" pivotButton="0" quotePrefix="0" xfId="0">
      <alignment horizontal="center"/>
    </xf>
    <xf numFmtId="164" fontId="83" fillId="0" borderId="0" pivotButton="0" quotePrefix="0" xfId="0"/>
    <xf numFmtId="164" fontId="39" fillId="0" borderId="0" applyAlignment="1" pivotButton="0" quotePrefix="0" xfId="0">
      <alignment horizontal="right" vertical="bottom"/>
    </xf>
    <xf numFmtId="164" fontId="38" fillId="19" borderId="77" applyAlignment="1" pivotButton="0" quotePrefix="0" xfId="0">
      <alignment vertical="bottom"/>
    </xf>
    <xf numFmtId="0" fontId="0" fillId="3" borderId="2" applyAlignment="1" pivotButton="0" quotePrefix="0" xfId="0">
      <alignment vertical="center"/>
    </xf>
    <xf numFmtId="0" fontId="77" fillId="18" borderId="72" applyAlignment="1" pivotButton="0" quotePrefix="0" xfId="0">
      <alignment vertical="center"/>
    </xf>
    <xf numFmtId="0" fontId="21" fillId="0" borderId="18" applyAlignment="1" pivotButton="0" quotePrefix="0" xfId="0">
      <alignment horizontal="left" vertical="center"/>
    </xf>
    <xf numFmtId="164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164" fontId="21" fillId="0" borderId="0" applyAlignment="1" pivotButton="0" quotePrefix="0" xfId="0">
      <alignment horizontal="left" vertical="center"/>
    </xf>
    <xf numFmtId="164" fontId="84" fillId="19" borderId="78" pivotButton="0" quotePrefix="0" xfId="0"/>
    <xf numFmtId="0" fontId="85" fillId="8" borderId="31" applyAlignment="1" pivotButton="0" quotePrefix="0" xfId="0">
      <alignment horizontal="center" vertical="center" wrapText="1"/>
    </xf>
    <xf numFmtId="0" fontId="83" fillId="0" borderId="18" applyAlignment="1" pivotButton="0" quotePrefix="0" xfId="0">
      <alignment vertical="bottom"/>
    </xf>
    <xf numFmtId="164" fontId="83" fillId="0" borderId="0" applyAlignment="1" pivotButton="0" quotePrefix="0" xfId="0">
      <alignment horizontal="right" vertical="bottom"/>
    </xf>
    <xf numFmtId="0" fontId="83" fillId="0" borderId="0" applyAlignment="1" pivotButton="0" quotePrefix="0" xfId="0">
      <alignment horizontal="center" vertical="bottom"/>
    </xf>
    <xf numFmtId="164" fontId="83" fillId="0" borderId="79" applyAlignment="1" pivotButton="0" quotePrefix="0" xfId="0">
      <alignment vertical="bottom"/>
    </xf>
    <xf numFmtId="164" fontId="86" fillId="19" borderId="78" pivotButton="0" quotePrefix="0" xfId="0"/>
    <xf numFmtId="0" fontId="83" fillId="0" borderId="18" pivotButton="0" quotePrefix="0" xfId="0"/>
    <xf numFmtId="164" fontId="83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center"/>
    </xf>
    <xf numFmtId="0" fontId="65" fillId="3" borderId="2" pivotButton="0" quotePrefix="0" xfId="0"/>
    <xf numFmtId="164" fontId="79" fillId="3" borderId="2" applyAlignment="1" pivotButton="0" quotePrefix="0" xfId="0">
      <alignment horizontal="left"/>
    </xf>
    <xf numFmtId="0" fontId="80" fillId="3" borderId="2" applyAlignment="1" pivotButton="0" quotePrefix="0" xfId="0">
      <alignment horizontal="left"/>
    </xf>
    <xf numFmtId="164" fontId="34" fillId="3" borderId="31" pivotButton="0" quotePrefix="0" xfId="0"/>
    <xf numFmtId="0" fontId="87" fillId="3" borderId="2" applyAlignment="1" pivotButton="0" quotePrefix="0" xfId="0">
      <alignment vertical="center" wrapText="1"/>
    </xf>
    <xf numFmtId="0" fontId="88" fillId="3" borderId="2" applyAlignment="1" pivotButton="0" quotePrefix="0" xfId="0">
      <alignment wrapText="1"/>
    </xf>
    <xf numFmtId="0" fontId="36" fillId="0" borderId="18" applyAlignment="1" pivotButton="0" quotePrefix="0" xfId="0">
      <alignment horizontal="center" vertical="center"/>
    </xf>
    <xf numFmtId="0" fontId="65" fillId="0" borderId="0" pivotButton="0" quotePrefix="0" xfId="0"/>
    <xf numFmtId="0" fontId="87" fillId="3" borderId="80" applyAlignment="1" pivotButton="0" quotePrefix="0" xfId="0">
      <alignment vertical="center" wrapText="1"/>
    </xf>
    <xf numFmtId="0" fontId="88" fillId="3" borderId="17" applyAlignment="1" pivotButton="0" quotePrefix="0" xfId="0">
      <alignment wrapText="1"/>
    </xf>
    <xf numFmtId="164" fontId="22" fillId="0" borderId="0" applyAlignment="1" pivotButton="0" quotePrefix="0" xfId="0">
      <alignment vertical="center"/>
    </xf>
    <xf numFmtId="164" fontId="34" fillId="3" borderId="0" pivotButton="0" quotePrefix="0" xfId="0"/>
    <xf numFmtId="0" fontId="0" fillId="3" borderId="0" pivotButton="0" quotePrefix="0" xfId="0"/>
    <xf numFmtId="164" fontId="21" fillId="3" borderId="0" applyAlignment="1" pivotButton="0" quotePrefix="0" xfId="0">
      <alignment horizontal="center" vertical="center" wrapText="1"/>
    </xf>
    <xf numFmtId="0" fontId="89" fillId="3" borderId="0" applyAlignment="1" pivotButton="0" quotePrefix="0" xfId="0">
      <alignment vertical="bottom"/>
    </xf>
    <xf numFmtId="164" fontId="89" fillId="3" borderId="0" applyAlignment="1" pivotButton="0" quotePrefix="0" xfId="0">
      <alignment vertical="bottom"/>
    </xf>
    <xf numFmtId="0" fontId="83" fillId="0" borderId="18" pivotButton="0" quotePrefix="0" xfId="0"/>
    <xf numFmtId="0" fontId="90" fillId="0" borderId="0" applyAlignment="1" pivotButton="0" quotePrefix="0" xfId="0">
      <alignment horizontal="center" vertical="bottom"/>
    </xf>
    <xf numFmtId="164" fontId="83" fillId="0" borderId="79" pivotButton="0" quotePrefix="0" xfId="0"/>
    <xf numFmtId="0" fontId="91" fillId="0" borderId="27" applyAlignment="1" pivotButton="0" quotePrefix="0" xfId="0">
      <alignment horizontal="center" wrapText="1"/>
    </xf>
    <xf numFmtId="164" fontId="0" fillId="3" borderId="2" pivotButton="0" quotePrefix="0" xfId="0"/>
    <xf numFmtId="0" fontId="21" fillId="0" borderId="18" applyAlignment="1" pivotButton="0" quotePrefix="0" xfId="0">
      <alignment horizontal="left" vertical="center"/>
    </xf>
    <xf numFmtId="0" fontId="55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center" vertical="center"/>
    </xf>
    <xf numFmtId="0" fontId="89" fillId="3" borderId="0" applyAlignment="1" pivotButton="0" quotePrefix="0" xfId="0">
      <alignment vertical="bottom"/>
    </xf>
    <xf numFmtId="164" fontId="39" fillId="0" borderId="0" applyAlignment="1" pivotButton="0" quotePrefix="0" xfId="0">
      <alignment horizontal="center" vertical="bottom"/>
    </xf>
    <xf numFmtId="164" fontId="89" fillId="3" borderId="0" applyAlignment="1" pivotButton="0" quotePrefix="0" xfId="0">
      <alignment vertical="bottom"/>
    </xf>
    <xf numFmtId="0" fontId="90" fillId="0" borderId="0" applyAlignment="1" pivotButton="0" quotePrefix="0" xfId="0">
      <alignment horizontal="center" vertical="bottom"/>
    </xf>
    <xf numFmtId="0" fontId="89" fillId="3" borderId="33" applyAlignment="1" pivotButton="0" quotePrefix="0" xfId="0">
      <alignment vertical="bottom"/>
    </xf>
    <xf numFmtId="0" fontId="91" fillId="0" borderId="33" applyAlignment="1" pivotButton="0" quotePrefix="0" xfId="0">
      <alignment horizontal="center" vertical="bottom"/>
    </xf>
    <xf numFmtId="0" fontId="21" fillId="0" borderId="9" applyAlignment="1" pivotButton="0" quotePrefix="0" xfId="0">
      <alignment vertical="center"/>
    </xf>
    <xf numFmtId="164" fontId="22" fillId="0" borderId="9" applyAlignment="1" pivotButton="0" quotePrefix="0" xfId="0">
      <alignment vertical="center"/>
    </xf>
    <xf numFmtId="49" fontId="22" fillId="0" borderId="18" applyAlignment="1" pivotButton="0" quotePrefix="0" xfId="0">
      <alignment horizontal="left" vertical="center"/>
    </xf>
    <xf numFmtId="49" fontId="21" fillId="3" borderId="9" applyAlignment="1" pivotButton="0" quotePrefix="0" xfId="0">
      <alignment horizontal="center" vertical="center"/>
    </xf>
    <xf numFmtId="164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164" fontId="21" fillId="3" borderId="9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164" fontId="21" fillId="3" borderId="35" applyAlignment="1" pivotButton="0" quotePrefix="0" xfId="0">
      <alignment horizontal="left" vertical="center"/>
    </xf>
    <xf numFmtId="0" fontId="83" fillId="0" borderId="18" applyAlignment="1" pivotButton="0" quotePrefix="0" xfId="0">
      <alignment vertical="bottom"/>
    </xf>
    <xf numFmtId="164" fontId="92" fillId="0" borderId="0" applyAlignment="1" pivotButton="0" quotePrefix="0" xfId="0">
      <alignment horizontal="right" vertical="bottom"/>
    </xf>
    <xf numFmtId="0" fontId="83" fillId="0" borderId="0" applyAlignment="1" pivotButton="0" quotePrefix="0" xfId="0">
      <alignment horizontal="center" vertical="bottom"/>
    </xf>
    <xf numFmtId="164" fontId="83" fillId="0" borderId="79" applyAlignment="1" pivotButton="0" quotePrefix="0" xfId="0">
      <alignment vertical="bottom"/>
    </xf>
    <xf numFmtId="164" fontId="86" fillId="19" borderId="81" pivotButton="0" quotePrefix="0" xfId="0"/>
    <xf numFmtId="0" fontId="93" fillId="3" borderId="0" applyAlignment="1" pivotButton="0" quotePrefix="0" xfId="0">
      <alignment vertical="bottom"/>
    </xf>
    <xf numFmtId="0" fontId="87" fillId="3" borderId="17" applyAlignment="1" pivotButton="0" quotePrefix="0" xfId="0">
      <alignment vertical="center" wrapText="1"/>
    </xf>
    <xf numFmtId="0" fontId="89" fillId="3" borderId="56" applyAlignment="1" pivotButton="0" quotePrefix="0" xfId="0">
      <alignment vertical="bottom"/>
    </xf>
    <xf numFmtId="164" fontId="22" fillId="3" borderId="2" applyAlignment="1" pivotButton="0" quotePrefix="0" xfId="0">
      <alignment vertical="center"/>
    </xf>
    <xf numFmtId="0" fontId="0" fillId="3" borderId="82" pivotButton="0" quotePrefix="0" xfId="0"/>
    <xf numFmtId="0" fontId="94" fillId="0" borderId="0" applyAlignment="1" pivotButton="0" quotePrefix="0" xfId="0">
      <alignment horizontal="left"/>
    </xf>
    <xf numFmtId="0" fontId="0" fillId="3" borderId="83" pivotButton="0" quotePrefix="0" xfId="0"/>
    <xf numFmtId="164" fontId="79" fillId="0" borderId="0" pivotButton="0" quotePrefix="0" xfId="0"/>
    <xf numFmtId="0" fontId="0" fillId="3" borderId="84" pivotButton="0" quotePrefix="0" xfId="0"/>
    <xf numFmtId="164" fontId="84" fillId="19" borderId="78" pivotButton="0" quotePrefix="0" xfId="0"/>
    <xf numFmtId="0" fontId="65" fillId="3" borderId="22" pivotButton="0" quotePrefix="0" xfId="0"/>
    <xf numFmtId="0" fontId="65" fillId="3" borderId="3" pivotButton="0" quotePrefix="0" xfId="0"/>
    <xf numFmtId="164" fontId="79" fillId="3" borderId="3" applyAlignment="1" pivotButton="0" quotePrefix="0" xfId="0">
      <alignment horizontal="center"/>
    </xf>
    <xf numFmtId="0" fontId="80" fillId="3" borderId="3" applyAlignment="1" pivotButton="0" quotePrefix="0" xfId="0">
      <alignment horizontal="center"/>
    </xf>
    <xf numFmtId="0" fontId="23" fillId="3" borderId="3" applyAlignment="1" pivotButton="0" quotePrefix="0" xfId="0">
      <alignment horizontal="center" vertical="center" wrapText="1"/>
    </xf>
    <xf numFmtId="0" fontId="43" fillId="3" borderId="3" applyAlignment="1" pivotButton="0" quotePrefix="0" xfId="0">
      <alignment horizontal="center"/>
    </xf>
    <xf numFmtId="0" fontId="22" fillId="0" borderId="18" applyAlignment="1" pivotButton="0" quotePrefix="0" xfId="0">
      <alignment horizontal="left" vertical="center"/>
    </xf>
    <xf numFmtId="0" fontId="95" fillId="3" borderId="3" applyAlignment="1" pivotButton="0" quotePrefix="0" xfId="0">
      <alignment horizontal="center"/>
    </xf>
    <xf numFmtId="0" fontId="14" fillId="0" borderId="80" pivotButton="0" quotePrefix="0" xfId="0"/>
    <xf numFmtId="164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164" fontId="21" fillId="0" borderId="0" applyAlignment="1" pivotButton="0" quotePrefix="0" xfId="0">
      <alignment horizontal="left" vertical="center"/>
    </xf>
    <xf numFmtId="164" fontId="27" fillId="0" borderId="0" applyAlignment="1" pivotButton="0" quotePrefix="0" xfId="0">
      <alignment wrapText="1"/>
    </xf>
    <xf numFmtId="164" fontId="86" fillId="0" borderId="42" applyAlignment="1" pivotButton="0" quotePrefix="0" xfId="0">
      <alignment horizontal="left" vertical="center"/>
    </xf>
    <xf numFmtId="0" fontId="0" fillId="3" borderId="85" pivotButton="0" quotePrefix="0" xfId="0"/>
    <xf numFmtId="0" fontId="0" fillId="3" borderId="86" pivotButton="0" quotePrefix="0" xfId="0"/>
    <xf numFmtId="0" fontId="22" fillId="3" borderId="86" pivotButton="0" quotePrefix="0" xfId="0"/>
    <xf numFmtId="0" fontId="22" fillId="3" borderId="24" applyAlignment="1" pivotButton="0" quotePrefix="0" xfId="0">
      <alignment horizontal="center"/>
    </xf>
    <xf numFmtId="0" fontId="22" fillId="3" borderId="86" applyAlignment="1" pivotButton="0" quotePrefix="0" xfId="0">
      <alignment horizontal="center"/>
    </xf>
    <xf numFmtId="0" fontId="22" fillId="3" borderId="87" applyAlignment="1" pivotButton="0" quotePrefix="0" xfId="0">
      <alignment horizontal="center"/>
    </xf>
    <xf numFmtId="0" fontId="96" fillId="20" borderId="23" applyAlignment="1" pivotButton="0" quotePrefix="0" xfId="0">
      <alignment horizontal="center" vertical="center" wrapText="1"/>
    </xf>
    <xf numFmtId="0" fontId="36" fillId="3" borderId="22" applyAlignment="1" pivotButton="0" quotePrefix="0" xfId="0">
      <alignment vertical="center"/>
    </xf>
    <xf numFmtId="0" fontId="97" fillId="0" borderId="15" applyAlignment="1" pivotButton="0" quotePrefix="0" xfId="0">
      <alignment vertical="center"/>
    </xf>
    <xf numFmtId="0" fontId="98" fillId="3" borderId="22" applyAlignment="1" pivotButton="0" quotePrefix="0" xfId="0">
      <alignment vertical="center"/>
    </xf>
    <xf numFmtId="164" fontId="64" fillId="0" borderId="15" applyAlignment="1" pivotButton="0" quotePrefix="0" xfId="0">
      <alignment horizontal="center" vertical="center"/>
    </xf>
    <xf numFmtId="164" fontId="99" fillId="3" borderId="22" applyAlignment="1" pivotButton="0" quotePrefix="0" xfId="0">
      <alignment vertical="center"/>
    </xf>
    <xf numFmtId="0" fontId="100" fillId="0" borderId="15" applyAlignment="1" pivotButton="0" quotePrefix="0" xfId="0">
      <alignment horizontal="center" vertical="center"/>
    </xf>
    <xf numFmtId="0" fontId="101" fillId="3" borderId="22" applyAlignment="1" pivotButton="0" quotePrefix="0" xfId="0">
      <alignment vertical="center"/>
    </xf>
    <xf numFmtId="0" fontId="102" fillId="0" borderId="15" applyAlignment="1" pivotButton="0" quotePrefix="0" xfId="0">
      <alignment horizontal="center" vertical="center" wrapText="1"/>
    </xf>
    <xf numFmtId="0" fontId="77" fillId="18" borderId="69" applyAlignment="1" pivotButton="0" quotePrefix="0" xfId="0">
      <alignment vertical="center"/>
    </xf>
    <xf numFmtId="0" fontId="83" fillId="0" borderId="18" applyAlignment="1" pivotButton="0" quotePrefix="0" xfId="0">
      <alignment vertical="bottom"/>
    </xf>
    <xf numFmtId="0" fontId="103" fillId="0" borderId="15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bottom"/>
    </xf>
    <xf numFmtId="164" fontId="83" fillId="0" borderId="0" applyAlignment="1" pivotButton="0" quotePrefix="0" xfId="0">
      <alignment vertical="bottom"/>
    </xf>
    <xf numFmtId="0" fontId="101" fillId="0" borderId="15" applyAlignment="1" pivotButton="0" quotePrefix="0" xfId="0">
      <alignment horizontal="center" vertical="center"/>
    </xf>
    <xf numFmtId="0" fontId="104" fillId="3" borderId="22" applyAlignment="1" pivotButton="0" quotePrefix="0" xfId="0">
      <alignment vertical="center"/>
    </xf>
    <xf numFmtId="164" fontId="105" fillId="0" borderId="0" applyAlignment="1" pivotButton="0" quotePrefix="0" xfId="0">
      <alignment wrapText="1"/>
    </xf>
    <xf numFmtId="0" fontId="36" fillId="3" borderId="2" applyAlignment="1" pivotButton="0" quotePrefix="0" xfId="0">
      <alignment vertical="center"/>
    </xf>
    <xf numFmtId="0" fontId="14" fillId="0" borderId="56" pivotButton="0" quotePrefix="0" xfId="0"/>
    <xf numFmtId="0" fontId="98" fillId="3" borderId="2" applyAlignment="1" pivotButton="0" quotePrefix="0" xfId="0">
      <alignment vertical="center"/>
    </xf>
    <xf numFmtId="164" fontId="99" fillId="3" borderId="2" applyAlignment="1" pivotButton="0" quotePrefix="0" xfId="0">
      <alignment vertical="center"/>
    </xf>
    <xf numFmtId="0" fontId="101" fillId="3" borderId="2" applyAlignment="1" pivotButton="0" quotePrefix="0" xfId="0">
      <alignment vertical="center"/>
    </xf>
    <xf numFmtId="0" fontId="104" fillId="3" borderId="2" applyAlignment="1" pivotButton="0" quotePrefix="0" xfId="0">
      <alignment vertical="center"/>
    </xf>
    <xf numFmtId="0" fontId="77" fillId="18" borderId="88" applyAlignment="1" pivotButton="0" quotePrefix="0" xfId="0">
      <alignment vertical="center"/>
    </xf>
    <xf numFmtId="0" fontId="27" fillId="0" borderId="89" applyAlignment="1" pivotButton="0" quotePrefix="0" xfId="0">
      <alignment horizontal="right" vertical="center"/>
    </xf>
    <xf numFmtId="0" fontId="27" fillId="0" borderId="0" applyAlignment="1" pivotButton="0" quotePrefix="0" xfId="0">
      <alignment horizontal="center" vertical="center"/>
    </xf>
    <xf numFmtId="164" fontId="106" fillId="0" borderId="62" applyAlignment="1" pivotButton="0" quotePrefix="0" xfId="0">
      <alignment horizontal="center" vertical="center" wrapText="1"/>
    </xf>
    <xf numFmtId="0" fontId="107" fillId="0" borderId="63" applyAlignment="1" pivotButton="0" quotePrefix="0" xfId="0">
      <alignment horizontal="center" vertical="center"/>
    </xf>
    <xf numFmtId="9" fontId="106" fillId="0" borderId="63" applyAlignment="1" pivotButton="0" quotePrefix="0" xfId="0">
      <alignment horizontal="center" vertical="center"/>
    </xf>
    <xf numFmtId="0" fontId="108" fillId="0" borderId="63" applyAlignment="1" pivotButton="0" quotePrefix="0" xfId="0">
      <alignment horizontal="center" vertical="center" wrapText="1"/>
    </xf>
    <xf numFmtId="164" fontId="92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center"/>
    </xf>
    <xf numFmtId="164" fontId="83" fillId="0" borderId="0" pivotButton="0" quotePrefix="0" xfId="0"/>
    <xf numFmtId="164" fontId="86" fillId="19" borderId="90" pivotButton="0" quotePrefix="0" xfId="0"/>
    <xf numFmtId="164" fontId="109" fillId="0" borderId="91" applyAlignment="1" pivotButton="0" quotePrefix="0" xfId="0">
      <alignment horizontal="center" wrapText="1"/>
    </xf>
    <xf numFmtId="0" fontId="110" fillId="18" borderId="88" pivotButton="0" quotePrefix="0" xfId="0"/>
    <xf numFmtId="0" fontId="21" fillId="3" borderId="12" applyAlignment="1" pivotButton="0" quotePrefix="0" xfId="0">
      <alignment horizontal="left" vertical="center"/>
    </xf>
    <xf numFmtId="0" fontId="14" fillId="0" borderId="92" pivotButton="0" quotePrefix="0" xfId="0"/>
    <xf numFmtId="164" fontId="74" fillId="0" borderId="12" pivotButton="0" quotePrefix="0" xfId="0"/>
    <xf numFmtId="0" fontId="21" fillId="3" borderId="12" applyAlignment="1" pivotButton="0" quotePrefix="0" xfId="0">
      <alignment horizontal="center" vertical="top"/>
    </xf>
    <xf numFmtId="164" fontId="38" fillId="0" borderId="93" pivotButton="0" quotePrefix="0" xfId="0"/>
    <xf numFmtId="0" fontId="27" fillId="0" borderId="18" applyAlignment="1" pivotButton="0" quotePrefix="0" xfId="0">
      <alignment horizontal="right" vertical="center"/>
    </xf>
    <xf numFmtId="164" fontId="86" fillId="19" borderId="94" pivotButton="0" quotePrefix="0" xfId="0"/>
    <xf numFmtId="0" fontId="27" fillId="0" borderId="0" applyAlignment="1" pivotButton="0" quotePrefix="0" xfId="0">
      <alignment horizontal="center" vertical="center"/>
    </xf>
    <xf numFmtId="0" fontId="14" fillId="0" borderId="95" pivotButton="0" quotePrefix="0" xfId="0"/>
    <xf numFmtId="0" fontId="22" fillId="3" borderId="12" applyAlignment="1" pivotButton="0" quotePrefix="0" xfId="0">
      <alignment horizontal="left" vertical="center"/>
    </xf>
    <xf numFmtId="164" fontId="38" fillId="0" borderId="12" pivotButton="0" quotePrefix="0" xfId="0"/>
    <xf numFmtId="164" fontId="22" fillId="0" borderId="0" applyAlignment="1" pivotButton="0" quotePrefix="0" xfId="0">
      <alignment vertical="center"/>
    </xf>
    <xf numFmtId="0" fontId="77" fillId="3" borderId="5" applyAlignment="1" pivotButton="0" quotePrefix="0" xfId="0">
      <alignment vertical="center"/>
    </xf>
    <xf numFmtId="0" fontId="21" fillId="3" borderId="12" applyAlignment="1" pivotButton="0" quotePrefix="0" xfId="0">
      <alignment horizontal="left" vertical="center"/>
    </xf>
    <xf numFmtId="0" fontId="21" fillId="3" borderId="12" applyAlignment="1" pivotButton="0" quotePrefix="0" xfId="0">
      <alignment horizontal="center" vertical="top"/>
    </xf>
    <xf numFmtId="0" fontId="77" fillId="3" borderId="2" applyAlignment="1" pivotButton="0" quotePrefix="0" xfId="0">
      <alignment vertical="center"/>
    </xf>
    <xf numFmtId="0" fontId="21" fillId="3" borderId="4" applyAlignment="1" pivotButton="0" quotePrefix="0" xfId="0">
      <alignment horizontal="left" vertical="center"/>
    </xf>
    <xf numFmtId="0" fontId="21" fillId="3" borderId="2" applyAlignment="1" pivotButton="0" quotePrefix="0" xfId="0">
      <alignment horizontal="center" vertical="top"/>
    </xf>
    <xf numFmtId="0" fontId="21" fillId="3" borderId="4" applyAlignment="1" pivotButton="0" quotePrefix="0" xfId="0">
      <alignment horizontal="center" vertical="top"/>
    </xf>
    <xf numFmtId="0" fontId="14" fillId="0" borderId="96" pivotButton="0" quotePrefix="0" xfId="0"/>
    <xf numFmtId="0" fontId="14" fillId="0" borderId="97" pivotButton="0" quotePrefix="0" xfId="0"/>
    <xf numFmtId="0" fontId="77" fillId="14" borderId="76" applyAlignment="1" pivotButton="0" quotePrefix="0" xfId="0">
      <alignment vertical="center"/>
    </xf>
    <xf numFmtId="0" fontId="21" fillId="0" borderId="58" applyAlignment="1" pivotButton="0" quotePrefix="0" xfId="0">
      <alignment horizontal="left" vertical="center"/>
    </xf>
    <xf numFmtId="164" fontId="22" fillId="0" borderId="7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49" fontId="21" fillId="3" borderId="98" applyAlignment="1" pivotButton="0" quotePrefix="0" xfId="0">
      <alignment horizontal="center" vertical="center"/>
    </xf>
    <xf numFmtId="0" fontId="14" fillId="0" borderId="99" pivotButton="0" quotePrefix="0" xfId="0"/>
    <xf numFmtId="164" fontId="21" fillId="3" borderId="83" applyAlignment="1" pivotButton="0" quotePrefix="0" xfId="0">
      <alignment horizontal="left" vertical="center"/>
    </xf>
    <xf numFmtId="164" fontId="92" fillId="0" borderId="0" applyAlignment="1" pivotButton="0" quotePrefix="0" xfId="0">
      <alignment horizontal="right" vertical="top"/>
    </xf>
    <xf numFmtId="0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left" vertical="center"/>
    </xf>
    <xf numFmtId="164" fontId="92" fillId="0" borderId="15" applyAlignment="1" pivotButton="0" quotePrefix="0" xfId="0">
      <alignment horizontal="right" vertical="top"/>
    </xf>
    <xf numFmtId="164" fontId="92" fillId="0" borderId="0" applyAlignment="1" pivotButton="0" quotePrefix="0" xfId="0">
      <alignment horizontal="right" vertical="bottom"/>
    </xf>
    <xf numFmtId="0" fontId="92" fillId="0" borderId="0" applyAlignment="1" pivotButton="0" quotePrefix="0" xfId="0">
      <alignment horizontal="center" vertical="bottom"/>
    </xf>
    <xf numFmtId="164" fontId="92" fillId="0" borderId="0" applyAlignment="1" pivotButton="0" quotePrefix="0" xfId="0">
      <alignment vertical="bottom"/>
    </xf>
    <xf numFmtId="164" fontId="38" fillId="19" borderId="94" pivotButton="0" quotePrefix="0" xfId="0"/>
    <xf numFmtId="164" fontId="92" fillId="0" borderId="100" applyAlignment="1" pivotButton="0" quotePrefix="0" xfId="0">
      <alignment horizontal="right" vertical="top"/>
    </xf>
    <xf numFmtId="0" fontId="27" fillId="0" borderId="58" applyAlignment="1" pivotButton="0" quotePrefix="0" xfId="0">
      <alignment horizontal="right" vertical="center"/>
    </xf>
    <xf numFmtId="0" fontId="27" fillId="0" borderId="9" applyAlignment="1" pivotButton="0" quotePrefix="0" xfId="0">
      <alignment horizontal="center" vertical="center"/>
    </xf>
    <xf numFmtId="0" fontId="65" fillId="3" borderId="101" applyAlignment="1" pivotButton="0" quotePrefix="0" xfId="0">
      <alignment vertical="center"/>
    </xf>
    <xf numFmtId="0" fontId="22" fillId="0" borderId="63" applyAlignment="1" pivotButton="0" quotePrefix="0" xfId="0">
      <alignment horizontal="center" vertical="center" wrapText="1"/>
    </xf>
    <xf numFmtId="0" fontId="27" fillId="0" borderId="63" applyAlignment="1" pivotButton="0" quotePrefix="0" xfId="0">
      <alignment vertical="center" wrapText="1"/>
    </xf>
    <xf numFmtId="164" fontId="21" fillId="0" borderId="63" applyAlignment="1" pivotButton="0" quotePrefix="0" xfId="0">
      <alignment vertical="center" wrapText="1"/>
    </xf>
    <xf numFmtId="0" fontId="92" fillId="0" borderId="18" applyAlignment="1" pivotButton="0" quotePrefix="0" xfId="0">
      <alignment vertical="bottom"/>
    </xf>
    <xf numFmtId="164" fontId="92" fillId="0" borderId="79" applyAlignment="1" pivotButton="0" quotePrefix="0" xfId="0">
      <alignment vertical="bottom"/>
    </xf>
    <xf numFmtId="164" fontId="21" fillId="0" borderId="91" applyAlignment="1" pivotButton="0" quotePrefix="0" xfId="0">
      <alignment vertical="center" wrapText="1"/>
    </xf>
    <xf numFmtId="0" fontId="77" fillId="14" borderId="72" applyAlignment="1" pivotButton="0" quotePrefix="0" xfId="0">
      <alignment vertical="center"/>
    </xf>
    <xf numFmtId="0" fontId="92" fillId="0" borderId="0" applyAlignment="1" pivotButton="0" quotePrefix="0" xfId="0">
      <alignment horizontal="center"/>
    </xf>
    <xf numFmtId="164" fontId="92" fillId="0" borderId="0" pivotButton="0" quotePrefix="0" xfId="0"/>
    <xf numFmtId="0" fontId="21" fillId="0" borderId="0" applyAlignment="1" pivotButton="0" quotePrefix="0" xfId="0">
      <alignment horizontal="center" vertical="center"/>
    </xf>
    <xf numFmtId="164" fontId="92" fillId="0" borderId="0" applyAlignment="1" pivotButton="0" quotePrefix="0" xfId="0">
      <alignment horizontal="center" vertical="top"/>
    </xf>
    <xf numFmtId="164" fontId="22" fillId="3" borderId="21" applyAlignment="1" pivotButton="0" quotePrefix="0" xfId="0">
      <alignment vertical="center"/>
    </xf>
    <xf numFmtId="164" fontId="92" fillId="0" borderId="0" applyAlignment="1" pivotButton="0" quotePrefix="0" xfId="0">
      <alignment vertical="top"/>
    </xf>
    <xf numFmtId="164" fontId="92" fillId="0" borderId="42" applyAlignment="1" pivotButton="0" quotePrefix="0" xfId="0">
      <alignment vertical="top"/>
    </xf>
    <xf numFmtId="0" fontId="65" fillId="3" borderId="2" applyAlignment="1" pivotButton="0" quotePrefix="0" xfId="0">
      <alignment vertical="center"/>
    </xf>
    <xf numFmtId="0" fontId="0" fillId="3" borderId="82" applyAlignment="1" pivotButton="0" quotePrefix="0" xfId="0">
      <alignment vertical="center"/>
    </xf>
    <xf numFmtId="0" fontId="21" fillId="0" borderId="18" applyAlignment="1" pivotButton="0" quotePrefix="0" xfId="0">
      <alignment horizontal="left" vertical="center"/>
    </xf>
    <xf numFmtId="0" fontId="22" fillId="0" borderId="9" applyAlignment="1" pivotButton="0" quotePrefix="0" xfId="0">
      <alignment horizontal="center" vertical="center" wrapText="1"/>
    </xf>
    <xf numFmtId="0" fontId="27" fillId="0" borderId="9" applyAlignment="1" pivotButton="0" quotePrefix="0" xfId="0">
      <alignment vertical="center" wrapText="1"/>
    </xf>
    <xf numFmtId="164" fontId="22" fillId="3" borderId="35" applyAlignment="1" pivotButton="0" quotePrefix="0" xfId="0">
      <alignment vertical="center"/>
    </xf>
    <xf numFmtId="0" fontId="92" fillId="0" borderId="18" applyAlignment="1" pivotButton="0" quotePrefix="0" xfId="0">
      <alignment vertical="bottom"/>
    </xf>
    <xf numFmtId="0" fontId="92" fillId="0" borderId="0" applyAlignment="1" pivotButton="0" quotePrefix="0" xfId="0">
      <alignment horizontal="center" vertical="bottom"/>
    </xf>
    <xf numFmtId="164" fontId="21" fillId="0" borderId="9" applyAlignment="1" pivotButton="0" quotePrefix="0" xfId="0">
      <alignment vertical="center" wrapText="1"/>
    </xf>
    <xf numFmtId="164" fontId="92" fillId="0" borderId="79" applyAlignment="1" pivotButton="0" quotePrefix="0" xfId="0">
      <alignment vertical="bottom"/>
    </xf>
    <xf numFmtId="0" fontId="111" fillId="0" borderId="9" applyAlignment="1" pivotButton="0" quotePrefix="0" xfId="0">
      <alignment horizontal="center" vertical="center" wrapText="1"/>
    </xf>
    <xf numFmtId="164" fontId="112" fillId="3" borderId="84" applyAlignment="1" pivotButton="0" quotePrefix="0" xfId="0">
      <alignment vertical="center" wrapText="1"/>
    </xf>
    <xf numFmtId="0" fontId="92" fillId="0" borderId="18" pivotButton="0" quotePrefix="0" xfId="0"/>
    <xf numFmtId="0" fontId="94" fillId="3" borderId="2" pivotButton="0" quotePrefix="0" xfId="0"/>
    <xf numFmtId="0" fontId="79" fillId="3" borderId="2" applyAlignment="1" pivotButton="0" quotePrefix="0" xfId="0">
      <alignment horizontal="left"/>
    </xf>
    <xf numFmtId="0" fontId="34" fillId="3" borderId="2" pivotButton="0" quotePrefix="0" xfId="0"/>
    <xf numFmtId="164" fontId="92" fillId="0" borderId="0" applyAlignment="1" pivotButton="0" quotePrefix="0" xfId="0">
      <alignment horizontal="right"/>
    </xf>
    <xf numFmtId="0" fontId="21" fillId="0" borderId="56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/>
    </xf>
    <xf numFmtId="164" fontId="86" fillId="19" borderId="42" pivotButton="0" quotePrefix="0" xfId="0"/>
    <xf numFmtId="164" fontId="92" fillId="0" borderId="56" applyAlignment="1" pivotButton="0" quotePrefix="0" xfId="0">
      <alignment vertical="top"/>
    </xf>
    <xf numFmtId="0" fontId="94" fillId="3" borderId="22" pivotButton="0" quotePrefix="0" xfId="0"/>
    <xf numFmtId="164" fontId="92" fillId="0" borderId="56" applyAlignment="1" pivotButton="0" quotePrefix="0" xfId="0">
      <alignment horizontal="center" vertical="top"/>
    </xf>
    <xf numFmtId="0" fontId="94" fillId="3" borderId="3" applyAlignment="1" pivotButton="0" quotePrefix="0" xfId="0">
      <alignment horizontal="left"/>
    </xf>
    <xf numFmtId="164" fontId="79" fillId="3" borderId="3" pivotButton="0" quotePrefix="0" xfId="0"/>
    <xf numFmtId="164" fontId="92" fillId="0" borderId="97" applyAlignment="1" pivotButton="0" quotePrefix="0" xfId="0">
      <alignment vertical="top"/>
    </xf>
    <xf numFmtId="0" fontId="0" fillId="3" borderId="3" pivotButton="0" quotePrefix="0" xfId="0"/>
    <xf numFmtId="0" fontId="77" fillId="14" borderId="88" applyAlignment="1" pivotButton="0" quotePrefix="0" xfId="0">
      <alignment vertical="center"/>
    </xf>
    <xf numFmtId="0" fontId="21" fillId="0" borderId="54" applyAlignment="1" pivotButton="0" quotePrefix="0" xfId="0">
      <alignment horizontal="center" vertical="center"/>
    </xf>
    <xf numFmtId="164" fontId="92" fillId="0" borderId="9" applyAlignment="1" pivotButton="0" quotePrefix="0" xfId="0">
      <alignment vertical="top"/>
    </xf>
    <xf numFmtId="164" fontId="92" fillId="0" borderId="9" applyAlignment="1" pivotButton="0" quotePrefix="0" xfId="0">
      <alignment horizontal="center" vertical="top"/>
    </xf>
    <xf numFmtId="164" fontId="92" fillId="0" borderId="73" applyAlignment="1" pivotButton="0" quotePrefix="0" xfId="0">
      <alignment vertical="top"/>
    </xf>
    <xf numFmtId="0" fontId="113" fillId="0" borderId="18" applyAlignment="1" pivotButton="0" quotePrefix="0" xfId="0">
      <alignment horizontal="left" vertical="center"/>
    </xf>
    <xf numFmtId="0" fontId="21" fillId="0" borderId="18" applyAlignment="1" pivotButton="0" quotePrefix="0" xfId="0">
      <alignment horizontal="left" vertical="center"/>
    </xf>
    <xf numFmtId="164" fontId="86" fillId="0" borderId="10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4" fontId="86" fillId="0" borderId="42" applyAlignment="1" pivotButton="0" quotePrefix="0" xfId="0">
      <alignment horizontal="left" vertical="center"/>
    </xf>
    <xf numFmtId="0" fontId="114" fillId="3" borderId="3" applyAlignment="1" pivotButton="0" quotePrefix="0" xfId="0">
      <alignment horizontal="center"/>
    </xf>
    <xf numFmtId="0" fontId="21" fillId="3" borderId="102" applyAlignment="1" pivotButton="0" quotePrefix="0" xfId="0">
      <alignment horizontal="left" vertical="center"/>
    </xf>
    <xf numFmtId="0" fontId="14" fillId="0" borderId="35" pivotButton="0" quotePrefix="0" xfId="0"/>
    <xf numFmtId="0" fontId="21" fillId="3" borderId="2" applyAlignment="1" pivotButton="0" quotePrefix="0" xfId="0">
      <alignment vertical="center"/>
    </xf>
    <xf numFmtId="0" fontId="115" fillId="3" borderId="14" applyAlignment="1" pivotButton="0" quotePrefix="0" xfId="0">
      <alignment horizontal="center"/>
    </xf>
    <xf numFmtId="0" fontId="14" fillId="0" borderId="100" pivotButton="0" quotePrefix="0" xfId="0"/>
    <xf numFmtId="164" fontId="22" fillId="0" borderId="0" applyAlignment="1" pivotButton="0" quotePrefix="0" xfId="0">
      <alignment horizontal="center" vertical="top"/>
    </xf>
    <xf numFmtId="164" fontId="22" fillId="0" borderId="42" applyAlignment="1" pivotButton="0" quotePrefix="0" xfId="0">
      <alignment vertical="top"/>
    </xf>
    <xf numFmtId="0" fontId="107" fillId="0" borderId="63" applyAlignment="1" pivotButton="0" quotePrefix="0" xfId="0">
      <alignment vertical="center"/>
    </xf>
    <xf numFmtId="0" fontId="94" fillId="0" borderId="0" applyAlignment="1" pivotButton="0" quotePrefix="0" xfId="0">
      <alignment horizontal="left"/>
    </xf>
    <xf numFmtId="164" fontId="79" fillId="0" borderId="0" pivotButton="0" quotePrefix="0" xfId="0"/>
    <xf numFmtId="0" fontId="80" fillId="0" borderId="0" applyAlignment="1" pivotButton="0" quotePrefix="0" xfId="0">
      <alignment horizontal="center"/>
    </xf>
    <xf numFmtId="0" fontId="116" fillId="0" borderId="18" applyAlignment="1" pivotButton="0" quotePrefix="0" xfId="0">
      <alignment horizontal="left" vertical="center"/>
    </xf>
    <xf numFmtId="0" fontId="23" fillId="0" borderId="27" applyAlignment="1" pivotButton="0" quotePrefix="0" xfId="0">
      <alignment horizontal="center" vertical="center" wrapText="1"/>
    </xf>
    <xf numFmtId="164" fontId="86" fillId="19" borderId="45" applyAlignment="1" pivotButton="0" quotePrefix="0" xfId="0">
      <alignment horizontal="left" vertical="center"/>
    </xf>
    <xf numFmtId="0" fontId="14" fillId="0" borderId="103" pivotButton="0" quotePrefix="0" xfId="0"/>
    <xf numFmtId="0" fontId="106" fillId="0" borderId="56" applyAlignment="1" pivotButton="0" quotePrefix="0" xfId="0">
      <alignment vertical="center" wrapText="1"/>
    </xf>
    <xf numFmtId="0" fontId="117" fillId="0" borderId="18" applyAlignment="1" pivotButton="0" quotePrefix="0" xfId="0">
      <alignment horizontal="center" vertical="center"/>
    </xf>
    <xf numFmtId="166" fontId="117" fillId="0" borderId="0" applyAlignment="1" pivotButton="0" quotePrefix="0" xfId="0">
      <alignment horizontal="center" vertical="center"/>
    </xf>
    <xf numFmtId="0" fontId="0" fillId="3" borderId="45" applyAlignment="1" pivotButton="0" quotePrefix="0" xfId="0">
      <alignment horizontal="center"/>
    </xf>
    <xf numFmtId="0" fontId="21" fillId="0" borderId="9" applyAlignment="1" pivotButton="0" quotePrefix="0" xfId="0">
      <alignment horizontal="center" vertical="center"/>
    </xf>
    <xf numFmtId="164" fontId="21" fillId="0" borderId="9" applyAlignment="1" pivotButton="0" quotePrefix="0" xfId="0">
      <alignment horizontal="left" vertical="center"/>
    </xf>
    <xf numFmtId="164" fontId="86" fillId="0" borderId="73" applyAlignment="1" pivotButton="0" quotePrefix="0" xfId="0">
      <alignment horizontal="left" vertical="center"/>
    </xf>
    <xf numFmtId="0" fontId="65" fillId="0" borderId="0" pivotButton="0" quotePrefix="0" xfId="0"/>
    <xf numFmtId="164" fontId="79" fillId="0" borderId="0" applyAlignment="1" pivotButton="0" quotePrefix="0" xfId="0">
      <alignment horizontal="center"/>
    </xf>
    <xf numFmtId="0" fontId="97" fillId="0" borderId="15" applyAlignment="1" pivotButton="0" quotePrefix="0" xfId="0">
      <alignment vertical="center"/>
    </xf>
    <xf numFmtId="0" fontId="21" fillId="3" borderId="102" applyAlignment="1" pivotButton="0" quotePrefix="0" xfId="0">
      <alignment horizontal="center" vertical="top"/>
    </xf>
    <xf numFmtId="0" fontId="77" fillId="14" borderId="52" applyAlignment="1" pivotButton="0" quotePrefix="0" xfId="0">
      <alignment vertical="center"/>
    </xf>
    <xf numFmtId="0" fontId="0" fillId="3" borderId="83" applyAlignment="1" pivotButton="0" quotePrefix="0" xfId="0">
      <alignment horizontal="center"/>
    </xf>
    <xf numFmtId="0" fontId="0" fillId="3" borderId="84" applyAlignment="1" pivotButton="0" quotePrefix="0" xfId="0">
      <alignment horizontal="center"/>
    </xf>
    <xf numFmtId="0" fontId="21" fillId="0" borderId="14" applyAlignment="1" pivotButton="0" quotePrefix="0" xfId="0">
      <alignment horizontal="left" vertical="center"/>
    </xf>
    <xf numFmtId="164" fontId="22" fillId="0" borderId="15" applyAlignment="1" pivotButton="0" quotePrefix="0" xfId="0">
      <alignment vertical="top"/>
    </xf>
    <xf numFmtId="0" fontId="21" fillId="3" borderId="22" applyAlignment="1" pivotButton="0" quotePrefix="0" xfId="0">
      <alignment horizontal="center" vertical="top"/>
    </xf>
    <xf numFmtId="164" fontId="22" fillId="0" borderId="100" applyAlignment="1" pivotButton="0" quotePrefix="0" xfId="0">
      <alignment vertical="top"/>
    </xf>
    <xf numFmtId="164" fontId="118" fillId="0" borderId="0" applyAlignment="1" pivotButton="0" quotePrefix="0" xfId="0">
      <alignment wrapText="1"/>
    </xf>
    <xf numFmtId="0" fontId="77" fillId="14" borderId="21" applyAlignment="1" pivotButton="0" quotePrefix="0" xfId="0">
      <alignment vertical="center"/>
    </xf>
    <xf numFmtId="164" fontId="22" fillId="0" borderId="0" applyAlignment="1" pivotButton="0" quotePrefix="0" xfId="0">
      <alignment vertical="top"/>
    </xf>
    <xf numFmtId="0" fontId="119" fillId="20" borderId="23" applyAlignment="1" pivotButton="0" quotePrefix="0" xfId="0">
      <alignment horizontal="center" vertical="center" wrapText="1"/>
    </xf>
    <xf numFmtId="164" fontId="64" fillId="0" borderId="15" applyAlignment="1" pivotButton="0" quotePrefix="0" xfId="0">
      <alignment horizontal="center" vertical="center"/>
    </xf>
    <xf numFmtId="0" fontId="77" fillId="14" borderId="82" applyAlignment="1" pivotButton="0" quotePrefix="0" xfId="0">
      <alignment vertical="center"/>
    </xf>
    <xf numFmtId="164" fontId="22" fillId="0" borderId="9" applyAlignment="1" pivotButton="0" quotePrefix="0" xfId="0">
      <alignment vertical="top"/>
    </xf>
    <xf numFmtId="164" fontId="22" fillId="0" borderId="9" applyAlignment="1" pivotButton="0" quotePrefix="0" xfId="0">
      <alignment horizontal="center" vertical="top"/>
    </xf>
    <xf numFmtId="164" fontId="22" fillId="0" borderId="73" applyAlignment="1" pivotButton="0" quotePrefix="0" xfId="0">
      <alignment vertical="top"/>
    </xf>
    <xf numFmtId="0" fontId="41" fillId="0" borderId="27" applyAlignment="1" pivotButton="0" quotePrefix="0" xfId="0">
      <alignment horizontal="center" wrapText="1"/>
    </xf>
    <xf numFmtId="0" fontId="98" fillId="3" borderId="104" applyAlignment="1" pivotButton="0" quotePrefix="0" xfId="0">
      <alignment vertical="center"/>
    </xf>
    <xf numFmtId="164" fontId="120" fillId="21" borderId="0" pivotButton="0" quotePrefix="0" xfId="0"/>
    <xf numFmtId="0" fontId="98" fillId="3" borderId="35" applyAlignment="1" pivotButton="0" quotePrefix="0" xfId="0">
      <alignment vertical="center"/>
    </xf>
    <xf numFmtId="164" fontId="121" fillId="0" borderId="97" applyAlignment="1" pivotButton="0" quotePrefix="0" xfId="0">
      <alignment horizontal="center" vertical="center" wrapText="1"/>
    </xf>
    <xf numFmtId="0" fontId="122" fillId="3" borderId="14" applyAlignment="1" pivotButton="0" quotePrefix="0" xfId="0">
      <alignment horizontal="center"/>
    </xf>
    <xf numFmtId="0" fontId="100" fillId="0" borderId="15" applyAlignment="1" pivotButton="0" quotePrefix="0" xfId="0">
      <alignment horizontal="center" vertical="center"/>
    </xf>
    <xf numFmtId="0" fontId="102" fillId="0" borderId="15" applyAlignment="1" pivotButton="0" quotePrefix="0" xfId="0">
      <alignment horizontal="center" vertical="center" wrapText="1"/>
    </xf>
    <xf numFmtId="0" fontId="97" fillId="0" borderId="15" pivotButton="0" quotePrefix="0" xfId="0"/>
    <xf numFmtId="0" fontId="38" fillId="3" borderId="22" pivotButton="0" quotePrefix="0" xfId="0"/>
    <xf numFmtId="164" fontId="123" fillId="0" borderId="15" applyAlignment="1" pivotButton="0" quotePrefix="0" xfId="0">
      <alignment horizontal="center"/>
    </xf>
    <xf numFmtId="164" fontId="38" fillId="3" borderId="22" pivotButton="0" quotePrefix="0" xfId="0"/>
    <xf numFmtId="0" fontId="124" fillId="0" borderId="15" applyAlignment="1" pivotButton="0" quotePrefix="0" xfId="0">
      <alignment horizontal="center"/>
    </xf>
    <xf numFmtId="0" fontId="125" fillId="0" borderId="15" applyAlignment="1" pivotButton="0" quotePrefix="0" xfId="0">
      <alignment horizontal="center" wrapText="1"/>
    </xf>
    <xf numFmtId="0" fontId="38" fillId="3" borderId="2" pivotButton="0" quotePrefix="0" xfId="0"/>
    <xf numFmtId="164" fontId="38" fillId="3" borderId="2" pivotButton="0" quotePrefix="0" xfId="0"/>
    <xf numFmtId="0" fontId="14" fillId="0" borderId="105" pivotButton="0" quotePrefix="0" xfId="0"/>
    <xf numFmtId="0" fontId="0" fillId="0" borderId="51" applyAlignment="1" pivotButton="0" quotePrefix="0" xfId="0">
      <alignment vertical="center"/>
    </xf>
    <xf numFmtId="0" fontId="19" fillId="0" borderId="9" applyAlignment="1" pivotButton="0" quotePrefix="0" xfId="0">
      <alignment horizontal="center" vertical="center"/>
    </xf>
    <xf numFmtId="0" fontId="0" fillId="12" borderId="22" applyAlignment="1" pivotButton="0" quotePrefix="0" xfId="0">
      <alignment vertical="center"/>
    </xf>
    <xf numFmtId="164" fontId="0" fillId="12" borderId="24" applyAlignment="1" pivotButton="0" quotePrefix="0" xfId="0">
      <alignment vertical="center"/>
    </xf>
    <xf numFmtId="0" fontId="46" fillId="12" borderId="24" applyAlignment="1" pivotButton="0" quotePrefix="0" xfId="0">
      <alignment horizontal="center" vertical="center"/>
    </xf>
    <xf numFmtId="0" fontId="47" fillId="12" borderId="24" applyAlignment="1" pivotButton="0" quotePrefix="0" xfId="0">
      <alignment horizontal="center" vertical="center"/>
    </xf>
    <xf numFmtId="0" fontId="60" fillId="22" borderId="24" applyAlignment="1" pivotButton="0" quotePrefix="0" xfId="0">
      <alignment horizontal="center" vertical="center" textRotation="255"/>
    </xf>
    <xf numFmtId="0" fontId="126" fillId="0" borderId="106" applyAlignment="1" pivotButton="0" quotePrefix="0" xfId="0">
      <alignment horizontal="center" vertical="center" textRotation="90"/>
    </xf>
    <xf numFmtId="0" fontId="0" fillId="0" borderId="28" applyAlignment="1" pivotButton="0" quotePrefix="0" xfId="0">
      <alignment vertical="center"/>
    </xf>
    <xf numFmtId="0" fontId="27" fillId="0" borderId="89" applyAlignment="1" pivotButton="0" quotePrefix="0" xfId="0">
      <alignment horizontal="left" vertical="center"/>
    </xf>
    <xf numFmtId="0" fontId="27" fillId="0" borderId="28" applyAlignment="1" pivotButton="0" quotePrefix="0" xfId="0">
      <alignment horizontal="left" vertical="center"/>
    </xf>
    <xf numFmtId="0" fontId="14" fillId="0" borderId="106" pivotButton="0" quotePrefix="0" xfId="0"/>
    <xf numFmtId="0" fontId="0" fillId="0" borderId="95" applyAlignment="1" pivotButton="0" quotePrefix="0" xfId="0">
      <alignment vertical="center"/>
    </xf>
    <xf numFmtId="164" fontId="0" fillId="0" borderId="107" applyAlignment="1" pivotButton="0" quotePrefix="0" xfId="0">
      <alignment vertical="center"/>
    </xf>
    <xf numFmtId="164" fontId="19" fillId="0" borderId="56" applyAlignment="1" pivotButton="0" quotePrefix="0" xfId="0">
      <alignment horizontal="center" vertical="center"/>
    </xf>
    <xf numFmtId="0" fontId="94" fillId="3" borderId="2" applyAlignment="1" pivotButton="0" quotePrefix="0" xfId="0">
      <alignment horizontal="left"/>
    </xf>
    <xf numFmtId="0" fontId="38" fillId="3" borderId="2" applyAlignment="1" pivotButton="0" quotePrefix="0" xfId="0">
      <alignment vertical="bottom"/>
    </xf>
    <xf numFmtId="0" fontId="63" fillId="3" borderId="45" applyAlignment="1" pivotButton="0" quotePrefix="0" xfId="0">
      <alignment horizontal="center"/>
    </xf>
    <xf numFmtId="164" fontId="61" fillId="3" borderId="45" applyAlignment="1" pivotButton="0" quotePrefix="0" xfId="0">
      <alignment horizontal="center" wrapText="1"/>
    </xf>
    <xf numFmtId="0" fontId="0" fillId="3" borderId="80" applyAlignment="1" pivotButton="0" quotePrefix="0" xfId="0">
      <alignment vertical="center"/>
    </xf>
    <xf numFmtId="0" fontId="65" fillId="0" borderId="0" applyAlignment="1" pivotButton="0" quotePrefix="0" xfId="0">
      <alignment vertical="bottom"/>
    </xf>
    <xf numFmtId="0" fontId="83" fillId="0" borderId="18" applyAlignment="1" pivotButton="0" quotePrefix="0" xfId="0">
      <alignment vertical="bottom"/>
    </xf>
    <xf numFmtId="164" fontId="84" fillId="19" borderId="94" pivotButton="0" quotePrefix="0" xfId="0"/>
    <xf numFmtId="0" fontId="83" fillId="0" borderId="18" pivotButton="0" quotePrefix="0" xfId="0"/>
    <xf numFmtId="0" fontId="92" fillId="0" borderId="0" applyAlignment="1" pivotButton="0" quotePrefix="0" xfId="0">
      <alignment horizontal="center"/>
    </xf>
    <xf numFmtId="164" fontId="92" fillId="0" borderId="0" pivotButton="0" quotePrefix="0" xfId="0"/>
    <xf numFmtId="164" fontId="38" fillId="19" borderId="108" applyAlignment="1" pivotButton="0" quotePrefix="0" xfId="0">
      <alignment vertical="bottom"/>
    </xf>
    <xf numFmtId="164" fontId="83" fillId="0" borderId="79" pivotButton="0" quotePrefix="0" xfId="0"/>
    <xf numFmtId="164" fontId="38" fillId="19" borderId="108" pivotButton="0" quotePrefix="0" xfId="0"/>
    <xf numFmtId="164" fontId="86" fillId="19" borderId="45" applyAlignment="1" pivotButton="0" quotePrefix="0" xfId="0">
      <alignment horizontal="left" vertical="center"/>
    </xf>
    <xf numFmtId="164" fontId="22" fillId="19" borderId="45" applyAlignment="1" pivotButton="0" quotePrefix="0" xfId="0">
      <alignment vertical="top"/>
    </xf>
    <xf numFmtId="0" fontId="38" fillId="3" borderId="56" pivotButton="0" quotePrefix="0" xfId="0"/>
    <xf numFmtId="0" fontId="21" fillId="0" borderId="9" applyAlignment="1" pivotButton="0" quotePrefix="0" xfId="0">
      <alignment horizontal="left" vertical="center"/>
    </xf>
    <xf numFmtId="0" fontId="41" fillId="0" borderId="34" applyAlignment="1" pivotButton="0" quotePrefix="0" xfId="0">
      <alignment horizontal="center" vertical="bottom" wrapText="1"/>
    </xf>
    <xf numFmtId="0" fontId="38" fillId="15" borderId="0" applyAlignment="1" pivotButton="0" quotePrefix="0" xfId="0">
      <alignment vertical="bottom"/>
    </xf>
    <xf numFmtId="164" fontId="38" fillId="15" borderId="0" applyAlignment="1" pivotButton="0" quotePrefix="0" xfId="0">
      <alignment vertical="bottom"/>
    </xf>
    <xf numFmtId="0" fontId="38" fillId="15" borderId="33" applyAlignment="1" pivotButton="0" quotePrefix="0" xfId="0">
      <alignment vertical="bottom"/>
    </xf>
    <xf numFmtId="0" fontId="38" fillId="3" borderId="32" applyAlignment="1" pivotButton="0" quotePrefix="0" xfId="0">
      <alignment horizontal="right" vertical="bottom"/>
    </xf>
    <xf numFmtId="0" fontId="65" fillId="0" borderId="15" applyAlignment="1" pivotButton="0" quotePrefix="0" xfId="0">
      <alignment vertical="center"/>
    </xf>
    <xf numFmtId="164" fontId="0" fillId="3" borderId="45" pivotButton="0" quotePrefix="0" xfId="0"/>
    <xf numFmtId="0" fontId="27" fillId="0" borderId="95" applyAlignment="1" pivotButton="0" quotePrefix="0" xfId="0">
      <alignment horizontal="left" vertical="center"/>
    </xf>
    <xf numFmtId="0" fontId="22" fillId="0" borderId="0" pivotButton="0" quotePrefix="0" xfId="0"/>
    <xf numFmtId="49" fontId="27" fillId="0" borderId="89" applyAlignment="1" pivotButton="0" quotePrefix="0" xfId="0">
      <alignment horizontal="left" vertical="center"/>
    </xf>
    <xf numFmtId="0" fontId="22" fillId="0" borderId="18" applyAlignment="1" pivotButton="0" quotePrefix="0" xfId="0">
      <alignment horizontal="left" vertical="center"/>
    </xf>
    <xf numFmtId="0" fontId="77" fillId="18" borderId="48" applyAlignment="1" pivotButton="0" quotePrefix="0" xfId="0">
      <alignment vertical="center"/>
    </xf>
    <xf numFmtId="164" fontId="86" fillId="19" borderId="94" pivotButton="0" quotePrefix="0" xfId="0"/>
    <xf numFmtId="0" fontId="22" fillId="0" borderId="0" applyAlignment="1" pivotButton="0" quotePrefix="0" xfId="0">
      <alignment horizontal="left" vertical="center"/>
    </xf>
    <xf numFmtId="164" fontId="92" fillId="0" borderId="0" applyAlignment="1" pivotButton="0" quotePrefix="0" xfId="0">
      <alignment vertical="bottom"/>
    </xf>
    <xf numFmtId="0" fontId="92" fillId="0" borderId="18" pivotButton="0" quotePrefix="0" xfId="0"/>
    <xf numFmtId="164" fontId="92" fillId="0" borderId="79" pivotButton="0" quotePrefix="0" xfId="0"/>
    <xf numFmtId="164" fontId="84" fillId="19" borderId="108" pivotButton="0" quotePrefix="0" xfId="0"/>
    <xf numFmtId="164" fontId="84" fillId="0" borderId="42" applyAlignment="1" pivotButton="0" quotePrefix="0" xfId="0">
      <alignment horizontal="left" vertical="center"/>
    </xf>
    <xf numFmtId="0" fontId="21" fillId="0" borderId="58" applyAlignment="1" pivotButton="0" quotePrefix="0" xfId="0">
      <alignment horizontal="left" vertical="center"/>
    </xf>
    <xf numFmtId="164" fontId="22" fillId="0" borderId="9" applyAlignment="1" pivotButton="0" quotePrefix="0" xfId="0">
      <alignment vertical="center"/>
    </xf>
    <xf numFmtId="0" fontId="21" fillId="0" borderId="9" applyAlignment="1" pivotButton="0" quotePrefix="0" xfId="0">
      <alignment horizontal="center" vertical="center"/>
    </xf>
    <xf numFmtId="0" fontId="21" fillId="0" borderId="9" applyAlignment="1" pivotButton="0" quotePrefix="0" xfId="0">
      <alignment horizontal="left" vertical="center"/>
    </xf>
    <xf numFmtId="0" fontId="27" fillId="0" borderId="18" applyAlignment="1" pivotButton="0" quotePrefix="0" xfId="0">
      <alignment horizontal="left" vertical="center"/>
    </xf>
    <xf numFmtId="164" fontId="0" fillId="0" borderId="9" applyAlignment="1" pivotButton="0" quotePrefix="0" xfId="0">
      <alignment vertical="center"/>
    </xf>
    <xf numFmtId="0" fontId="46" fillId="12" borderId="83" applyAlignment="1" pivotButton="0" quotePrefix="0" xfId="0">
      <alignment horizontal="center" vertical="center"/>
    </xf>
    <xf numFmtId="0" fontId="0" fillId="12" borderId="83" applyAlignment="1" pivotButton="0" quotePrefix="0" xfId="0">
      <alignment vertical="center"/>
    </xf>
    <xf numFmtId="164" fontId="0" fillId="12" borderId="2" applyAlignment="1" pivotButton="0" quotePrefix="0" xfId="0">
      <alignment vertical="center"/>
    </xf>
    <xf numFmtId="0" fontId="46" fillId="12" borderId="17" applyAlignment="1" pivotButton="0" quotePrefix="0" xfId="0">
      <alignment horizontal="center" vertical="center"/>
    </xf>
    <xf numFmtId="0" fontId="47" fillId="12" borderId="17" applyAlignment="1" pivotButton="0" quotePrefix="0" xfId="0">
      <alignment horizontal="center" vertical="center"/>
    </xf>
    <xf numFmtId="0" fontId="46" fillId="12" borderId="2" applyAlignment="1" pivotButton="0" quotePrefix="0" xfId="0">
      <alignment horizontal="center" vertical="center"/>
    </xf>
    <xf numFmtId="0" fontId="47" fillId="12" borderId="2" applyAlignment="1" pivotButton="0" quotePrefix="0" xfId="0">
      <alignment horizontal="center" vertical="center"/>
    </xf>
    <xf numFmtId="0" fontId="127" fillId="23" borderId="30" applyAlignment="1" pivotButton="0" quotePrefix="0" xfId="0">
      <alignment horizontal="center" vertical="center" wrapText="1"/>
    </xf>
    <xf numFmtId="0" fontId="0" fillId="0" borderId="109" applyAlignment="1" pivotButton="0" quotePrefix="0" xfId="0">
      <alignment vertical="center"/>
    </xf>
    <xf numFmtId="49" fontId="27" fillId="24" borderId="110" applyAlignment="1" pivotButton="0" quotePrefix="0" xfId="0">
      <alignment horizontal="left" vertical="center"/>
    </xf>
    <xf numFmtId="0" fontId="14" fillId="0" borderId="111" pivotButton="0" quotePrefix="0" xfId="0"/>
    <xf numFmtId="0" fontId="14" fillId="0" borderId="112" pivotButton="0" quotePrefix="0" xfId="0"/>
    <xf numFmtId="0" fontId="27" fillId="24" borderId="113" applyAlignment="1" pivotButton="0" quotePrefix="0" xfId="0">
      <alignment horizontal="left" vertical="center"/>
    </xf>
    <xf numFmtId="0" fontId="14" fillId="0" borderId="114" pivotButton="0" quotePrefix="0" xfId="0"/>
    <xf numFmtId="164" fontId="0" fillId="24" borderId="43" applyAlignment="1" pivotButton="0" quotePrefix="0" xfId="0">
      <alignment vertical="center"/>
    </xf>
    <xf numFmtId="0" fontId="19" fillId="24" borderId="115" applyAlignment="1" pivotButton="0" quotePrefix="0" xfId="0">
      <alignment horizontal="center" vertical="center"/>
    </xf>
    <xf numFmtId="0" fontId="14" fillId="0" borderId="116" pivotButton="0" quotePrefix="0" xfId="0"/>
    <xf numFmtId="0" fontId="27" fillId="24" borderId="110" applyAlignment="1" pivotButton="0" quotePrefix="0" xfId="0">
      <alignment horizontal="left" vertical="center"/>
    </xf>
    <xf numFmtId="0" fontId="46" fillId="24" borderId="115" applyAlignment="1" pivotButton="0" quotePrefix="0" xfId="0">
      <alignment horizontal="center" vertical="center"/>
    </xf>
    <xf numFmtId="0" fontId="14" fillId="0" borderId="117" pivotButton="0" quotePrefix="0" xfId="0"/>
    <xf numFmtId="164" fontId="0" fillId="24" borderId="118" applyAlignment="1" pivotButton="0" quotePrefix="0" xfId="0">
      <alignment vertical="center"/>
    </xf>
    <xf numFmtId="0" fontId="46" fillId="24" borderId="49" applyAlignment="1" pivotButton="0" quotePrefix="0" xfId="0">
      <alignment horizontal="center" vertical="center"/>
    </xf>
    <xf numFmtId="0" fontId="14" fillId="0" borderId="119" pivotButton="0" quotePrefix="0" xfId="0"/>
    <xf numFmtId="0" fontId="46" fillId="12" borderId="86" applyAlignment="1" pivotButton="0" quotePrefix="0" xfId="0">
      <alignment horizontal="center" vertical="center"/>
    </xf>
    <xf numFmtId="0" fontId="0" fillId="12" borderId="86" applyAlignment="1" pivotButton="0" quotePrefix="0" xfId="0">
      <alignment vertical="center"/>
    </xf>
    <xf numFmtId="164" fontId="0" fillId="12" borderId="83" applyAlignment="1" pivotButton="0" quotePrefix="0" xfId="0">
      <alignment vertical="center"/>
    </xf>
    <xf numFmtId="0" fontId="47" fillId="12" borderId="83" applyAlignment="1" pivotButton="0" quotePrefix="0" xfId="0">
      <alignment horizontal="center" vertical="center"/>
    </xf>
    <xf numFmtId="0" fontId="47" fillId="12" borderId="8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164" fontId="0" fillId="0" borderId="0" pivotButton="0" quotePrefix="0" xfId="0"/>
    <xf numFmtId="0" fontId="3" fillId="0" borderId="42" pivotButton="0" quotePrefix="0" xfId="0"/>
    <xf numFmtId="164" fontId="19" fillId="3" borderId="35" applyAlignment="1" pivotButton="0" quotePrefix="0" xfId="0">
      <alignment vertical="center" wrapText="1"/>
    </xf>
    <xf numFmtId="0" fontId="0" fillId="3" borderId="6" applyAlignment="1" pivotButton="0" quotePrefix="0" xfId="0">
      <alignment horizontal="center"/>
    </xf>
    <xf numFmtId="0" fontId="0" fillId="3" borderId="35" applyAlignment="1" pivotButton="0" quotePrefix="0" xfId="0">
      <alignment horizontal="center"/>
    </xf>
    <xf numFmtId="164" fontId="34" fillId="3" borderId="35" pivotButton="0" quotePrefix="0" xfId="0"/>
    <xf numFmtId="167" fontId="39" fillId="0" borderId="0" applyAlignment="1" pivotButton="0" quotePrefix="0" xfId="0">
      <alignment horizontal="center" vertical="bottom"/>
    </xf>
    <xf numFmtId="167" fontId="38" fillId="3" borderId="2" applyAlignment="1" pivotButton="0" quotePrefix="0" xfId="0">
      <alignment vertical="bottom"/>
    </xf>
    <xf numFmtId="164" fontId="19" fillId="0" borderId="0" applyAlignment="1" pivotButton="0" quotePrefix="0" xfId="0">
      <alignment wrapText="1"/>
    </xf>
    <xf numFmtId="0" fontId="38" fillId="0" borderId="0" pivotButton="0" quotePrefix="0" xfId="0"/>
    <xf numFmtId="167" fontId="39" fillId="0" borderId="0" applyAlignment="1" pivotButton="0" quotePrefix="0" xfId="0">
      <alignment horizontal="center" vertical="bottom"/>
    </xf>
    <xf numFmtId="0" fontId="21" fillId="0" borderId="18" applyAlignment="1" pivotButton="0" quotePrefix="0" xfId="0">
      <alignment vertical="center"/>
    </xf>
    <xf numFmtId="0" fontId="21" fillId="11" borderId="21" applyAlignment="1" pivotButton="0" quotePrefix="0" xfId="0">
      <alignment vertical="center"/>
    </xf>
    <xf numFmtId="0" fontId="65" fillId="0" borderId="65" applyAlignment="1" pivotButton="0" quotePrefix="0" xfId="0">
      <alignment vertical="bottom"/>
    </xf>
    <xf numFmtId="164" fontId="39" fillId="0" borderId="65" applyAlignment="1" pivotButton="0" quotePrefix="0" xfId="0">
      <alignment horizontal="center" vertical="bottom"/>
    </xf>
    <xf numFmtId="0" fontId="40" fillId="0" borderId="65" applyAlignment="1" pivotButton="0" quotePrefix="0" xfId="0">
      <alignment horizontal="center" vertical="bottom"/>
    </xf>
    <xf numFmtId="168" fontId="39" fillId="0" borderId="0" applyAlignment="1" pivotButton="0" quotePrefix="0" xfId="0">
      <alignment horizontal="center" vertical="bottom"/>
    </xf>
    <xf numFmtId="164" fontId="21" fillId="0" borderId="42" applyAlignment="1" pivotButton="0" quotePrefix="0" xfId="0">
      <alignment vertical="center"/>
    </xf>
    <xf numFmtId="168" fontId="38" fillId="3" borderId="2" applyAlignment="1" pivotButton="0" quotePrefix="0" xfId="0">
      <alignment vertical="bottom"/>
    </xf>
    <xf numFmtId="0" fontId="87" fillId="3" borderId="2" applyAlignment="1" pivotButton="0" quotePrefix="0" xfId="0">
      <alignment horizontal="left"/>
    </xf>
    <xf numFmtId="0" fontId="38" fillId="3" borderId="0" applyAlignment="1" pivotButton="0" quotePrefix="0" xfId="0">
      <alignment vertical="bottom"/>
    </xf>
    <xf numFmtId="0" fontId="21" fillId="0" borderId="0" applyAlignment="1" pivotButton="0" quotePrefix="0" xfId="0">
      <alignment horizontal="left" vertical="center"/>
    </xf>
    <xf numFmtId="164" fontId="86" fillId="0" borderId="0" applyAlignment="1" pivotButton="0" quotePrefix="0" xfId="0">
      <alignment horizontal="left" vertical="center"/>
    </xf>
    <xf numFmtId="0" fontId="0" fillId="0" borderId="42" pivotButton="0" quotePrefix="0" xfId="0"/>
    <xf numFmtId="0" fontId="88" fillId="3" borderId="3" applyAlignment="1" pivotButton="0" quotePrefix="0" xfId="0">
      <alignment wrapText="1"/>
    </xf>
    <xf numFmtId="0" fontId="38" fillId="3" borderId="80" pivotButton="0" quotePrefix="0" xfId="0"/>
    <xf numFmtId="0" fontId="0" fillId="3" borderId="2" pivotButton="0" quotePrefix="0" xfId="0"/>
    <xf numFmtId="0" fontId="0" fillId="3" borderId="80" pivotButton="0" quotePrefix="0" xfId="0"/>
    <xf numFmtId="164" fontId="128" fillId="3" borderId="0" applyAlignment="1" pivotButton="0" quotePrefix="0" xfId="0">
      <alignment horizontal="right" vertical="bottom"/>
    </xf>
    <xf numFmtId="0" fontId="77" fillId="18" borderId="66" applyAlignment="1" pivotButton="0" quotePrefix="0" xfId="0">
      <alignment vertical="center"/>
    </xf>
    <xf numFmtId="49" fontId="21" fillId="3" borderId="69" applyAlignment="1" pivotButton="0" quotePrefix="0" xfId="0">
      <alignment horizontal="center" vertical="center"/>
    </xf>
    <xf numFmtId="0" fontId="21" fillId="0" borderId="14" applyAlignment="1" pivotButton="0" quotePrefix="0" xfId="0">
      <alignment horizontal="left" vertical="center"/>
    </xf>
    <xf numFmtId="164" fontId="22" fillId="0" borderId="15" applyAlignment="1" pivotButton="0" quotePrefix="0" xfId="0">
      <alignment vertical="center"/>
    </xf>
    <xf numFmtId="0" fontId="21" fillId="0" borderId="15" applyAlignment="1" pivotButton="0" quotePrefix="0" xfId="0">
      <alignment horizontal="center" vertical="center"/>
    </xf>
    <xf numFmtId="164" fontId="21" fillId="0" borderId="15" applyAlignment="1" pivotButton="0" quotePrefix="0" xfId="0">
      <alignment horizontal="left" vertical="center"/>
    </xf>
    <xf numFmtId="164" fontId="86" fillId="0" borderId="63" applyAlignment="1" pivotButton="0" quotePrefix="0" xfId="0">
      <alignment horizontal="left" vertical="center"/>
    </xf>
    <xf numFmtId="0" fontId="87" fillId="3" borderId="3" applyAlignment="1" pivotButton="0" quotePrefix="0" xfId="0">
      <alignment vertical="center" wrapText="1"/>
    </xf>
    <xf numFmtId="0" fontId="94" fillId="0" borderId="0" pivotButton="0" quotePrefix="0" xfId="0"/>
    <xf numFmtId="0" fontId="14" fillId="0" borderId="120" pivotButton="0" quotePrefix="0" xfId="0"/>
    <xf numFmtId="0" fontId="129" fillId="3" borderId="2" pivotButton="0" quotePrefix="0" xfId="0"/>
    <xf numFmtId="164" fontId="39" fillId="0" borderId="0" applyAlignment="1" pivotButton="0" quotePrefix="0" xfId="0">
      <alignment horizontal="center"/>
    </xf>
    <xf numFmtId="164" fontId="128" fillId="3" borderId="2" pivotButton="0" quotePrefix="0" xfId="0"/>
    <xf numFmtId="0" fontId="40" fillId="0" borderId="0" applyAlignment="1" pivotButton="0" quotePrefix="0" xfId="0">
      <alignment horizontal="center"/>
    </xf>
    <xf numFmtId="0" fontId="130" fillId="3" borderId="2" pivotButton="0" quotePrefix="0" xfId="0"/>
    <xf numFmtId="0" fontId="41" fillId="0" borderId="27" applyAlignment="1" pivotButton="0" quotePrefix="0" xfId="0">
      <alignment horizontal="center" vertical="center" wrapText="1"/>
    </xf>
    <xf numFmtId="164" fontId="79" fillId="0" borderId="15" applyAlignment="1" pivotButton="0" quotePrefix="0" xfId="0">
      <alignment horizontal="center" vertical="center"/>
    </xf>
    <xf numFmtId="164" fontId="131" fillId="21" borderId="0" pivotButton="0" quotePrefix="0" xfId="0"/>
    <xf numFmtId="0" fontId="36" fillId="3" borderId="102" pivotButton="0" quotePrefix="0" xfId="0"/>
    <xf numFmtId="0" fontId="41" fillId="0" borderId="34" applyAlignment="1" pivotButton="0" quotePrefix="0" xfId="0">
      <alignment horizontal="center" vertical="bottom" wrapText="1"/>
    </xf>
    <xf numFmtId="0" fontId="0" fillId="3" borderId="102" pivotButton="0" quotePrefix="0" xfId="0"/>
    <xf numFmtId="164" fontId="84" fillId="19" borderId="94" applyAlignment="1" pivotButton="0" quotePrefix="0" xfId="0">
      <alignment vertical="bottom"/>
    </xf>
    <xf numFmtId="164" fontId="84" fillId="0" borderId="100" applyAlignment="1" pivotButton="0" quotePrefix="0" xfId="0">
      <alignment horizontal="left" vertical="center"/>
    </xf>
    <xf numFmtId="0" fontId="132" fillId="3" borderId="52" pivotButton="0" quotePrefix="0" xfId="0"/>
    <xf numFmtId="0" fontId="133" fillId="4" borderId="30" applyAlignment="1" pivotButton="0" quotePrefix="0" xfId="0">
      <alignment horizontal="center"/>
    </xf>
    <xf numFmtId="0" fontId="134" fillId="3" borderId="35" pivotButton="0" quotePrefix="0" xfId="0"/>
    <xf numFmtId="0" fontId="135" fillId="3" borderId="31" pivotButton="0" quotePrefix="0" xfId="0"/>
    <xf numFmtId="164" fontId="19" fillId="3" borderId="18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 wrapText="1"/>
    </xf>
    <xf numFmtId="164" fontId="23" fillId="5" borderId="42" applyAlignment="1" pivotButton="0" quotePrefix="0" xfId="0">
      <alignment horizontal="center" vertical="center" wrapText="1"/>
    </xf>
    <xf numFmtId="0" fontId="0" fillId="3" borderId="18" applyAlignment="1" pivotButton="0" quotePrefix="0" xfId="0">
      <alignment horizontal="center"/>
    </xf>
    <xf numFmtId="0" fontId="19" fillId="0" borderId="0" applyAlignment="1" pivotButton="0" quotePrefix="0" xfId="0">
      <alignment horizontal="center" vertical="center" wrapText="1"/>
    </xf>
    <xf numFmtId="164" fontId="34" fillId="3" borderId="18" pivotButton="0" quotePrefix="0" xfId="0"/>
    <xf numFmtId="0" fontId="49" fillId="3" borderId="0" applyAlignment="1" pivotButton="0" quotePrefix="0" xfId="0">
      <alignment vertical="center" wrapText="1"/>
    </xf>
    <xf numFmtId="164" fontId="50" fillId="3" borderId="42" applyAlignment="1" pivotButton="0" quotePrefix="0" xfId="0">
      <alignment vertical="center" wrapText="1"/>
    </xf>
    <xf numFmtId="0" fontId="136" fillId="0" borderId="0" applyAlignment="1" pivotButton="0" quotePrefix="0" xfId="0">
      <alignment horizontal="center" vertical="center" wrapText="1"/>
    </xf>
    <xf numFmtId="164" fontId="54" fillId="9" borderId="42" applyAlignment="1" pivotButton="0" quotePrefix="0" xfId="0">
      <alignment horizontal="center" vertical="center" wrapText="1"/>
    </xf>
    <xf numFmtId="0" fontId="137" fillId="3" borderId="0" applyAlignment="1" pivotButton="0" quotePrefix="0" xfId="0">
      <alignment vertical="center" wrapText="1"/>
    </xf>
    <xf numFmtId="164" fontId="138" fillId="3" borderId="42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 wrapText="1"/>
    </xf>
    <xf numFmtId="164" fontId="62" fillId="14" borderId="42" applyAlignment="1" pivotButton="0" quotePrefix="0" xfId="0">
      <alignment horizontal="center" vertical="center" wrapText="1"/>
    </xf>
    <xf numFmtId="164" fontId="36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164" fontId="64" fillId="14" borderId="42" applyAlignment="1" pivotButton="0" quotePrefix="0" xfId="0">
      <alignment horizontal="center" vertical="center" wrapText="1"/>
    </xf>
    <xf numFmtId="0" fontId="38" fillId="0" borderId="56" pivotButton="0" quotePrefix="0" xfId="0"/>
    <xf numFmtId="164" fontId="139" fillId="9" borderId="16" applyAlignment="1" pivotButton="0" quotePrefix="0" xfId="0">
      <alignment horizontal="center" vertical="center" wrapText="1"/>
    </xf>
    <xf numFmtId="0" fontId="0" fillId="3" borderId="42" pivotButton="0" quotePrefix="0" xfId="0"/>
    <xf numFmtId="164" fontId="69" fillId="9" borderId="0" applyAlignment="1" pivotButton="0" quotePrefix="0" xfId="0">
      <alignment horizontal="center" vertical="center" wrapText="1"/>
    </xf>
    <xf numFmtId="164" fontId="140" fillId="9" borderId="42" applyAlignment="1" pivotButton="0" quotePrefix="0" xfId="0">
      <alignment horizontal="center" vertical="center"/>
    </xf>
    <xf numFmtId="0" fontId="41" fillId="0" borderId="33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36" fillId="13" borderId="0" applyAlignment="1" pivotButton="0" quotePrefix="0" xfId="0">
      <alignment horizontal="center" vertical="center"/>
    </xf>
    <xf numFmtId="0" fontId="36" fillId="16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49" fontId="21" fillId="3" borderId="58" applyAlignment="1" pivotButton="0" quotePrefix="0" xfId="0">
      <alignment horizontal="center" vertical="center"/>
    </xf>
    <xf numFmtId="164" fontId="21" fillId="3" borderId="73" applyAlignment="1" pivotButton="0" quotePrefix="0" xfId="0">
      <alignment horizontal="left" vertical="center"/>
    </xf>
    <xf numFmtId="0" fontId="3" fillId="0" borderId="42" pivotButton="0" quotePrefix="0" xfId="0"/>
    <xf numFmtId="164" fontId="92" fillId="0" borderId="79" pivotButton="0" quotePrefix="0" xfId="0"/>
    <xf numFmtId="0" fontId="141" fillId="0" borderId="18" applyAlignment="1" pivotButton="0" quotePrefix="0" xfId="0">
      <alignment horizontal="left" vertical="center"/>
    </xf>
    <xf numFmtId="0" fontId="65" fillId="3" borderId="2" pivotButton="0" quotePrefix="0" xfId="0"/>
    <xf numFmtId="0" fontId="38" fillId="0" borderId="0" applyAlignment="1" pivotButton="0" quotePrefix="0" xfId="0">
      <alignment vertical="bottom"/>
    </xf>
    <xf numFmtId="164" fontId="38" fillId="0" borderId="0" applyAlignment="1" pivotButton="0" quotePrefix="0" xfId="0">
      <alignment vertical="bottom"/>
    </xf>
    <xf numFmtId="0" fontId="38" fillId="0" borderId="33" applyAlignment="1" pivotButton="0" quotePrefix="0" xfId="0">
      <alignment vertical="bottom"/>
    </xf>
    <xf numFmtId="164" fontId="86" fillId="19" borderId="42" applyAlignment="1" pivotButton="0" quotePrefix="0" xfId="0">
      <alignment horizontal="left" vertical="center"/>
    </xf>
    <xf numFmtId="0" fontId="92" fillId="0" borderId="18" pivotButton="0" quotePrefix="0" xfId="0"/>
    <xf numFmtId="0" fontId="92" fillId="0" borderId="18" applyAlignment="1" pivotButton="0" quotePrefix="0" xfId="0">
      <alignment vertical="bottom"/>
    </xf>
    <xf numFmtId="164" fontId="83" fillId="0" borderId="0" applyAlignment="1" pivotButton="0" quotePrefix="0" xfId="0">
      <alignment horizontal="right" vertical="bottom"/>
    </xf>
    <xf numFmtId="0" fontId="142" fillId="0" borderId="18" applyAlignment="1" pivotButton="0" quotePrefix="0" xfId="0">
      <alignment horizontal="left" vertical="center"/>
    </xf>
    <xf numFmtId="0" fontId="0" fillId="3" borderId="7" pivotButton="0" quotePrefix="0" xfId="0"/>
    <xf numFmtId="0" fontId="65" fillId="0" borderId="0" pivotButton="0" quotePrefix="0" xfId="0"/>
    <xf numFmtId="0" fontId="129" fillId="15" borderId="2" pivotButton="0" quotePrefix="0" xfId="0"/>
    <xf numFmtId="164" fontId="143" fillId="15" borderId="2" pivotButton="0" quotePrefix="0" xfId="0"/>
    <xf numFmtId="0" fontId="130" fillId="15" borderId="2" pivotButton="0" quotePrefix="0" xfId="0"/>
    <xf numFmtId="0" fontId="55" fillId="0" borderId="65" applyAlignment="1" pivotButton="0" quotePrefix="0" xfId="0">
      <alignment vertical="bottom"/>
    </xf>
    <xf numFmtId="164" fontId="39" fillId="0" borderId="65" applyAlignment="1" pivotButton="0" quotePrefix="0" xfId="0">
      <alignment horizontal="right" vertical="bottom"/>
    </xf>
    <xf numFmtId="0" fontId="40" fillId="0" borderId="65" applyAlignment="1" pivotButton="0" quotePrefix="0" xfId="0">
      <alignment horizontal="center" vertical="bottom"/>
    </xf>
    <xf numFmtId="0" fontId="0" fillId="0" borderId="18" pivotButton="0" quotePrefix="0" xfId="0"/>
    <xf numFmtId="0" fontId="77" fillId="14" borderId="98" applyAlignment="1" pivotButton="0" quotePrefix="0" xfId="0">
      <alignment vertical="center"/>
    </xf>
    <xf numFmtId="0" fontId="113" fillId="0" borderId="0" pivotButton="0" quotePrefix="0" xfId="0"/>
    <xf numFmtId="0" fontId="21" fillId="3" borderId="11" applyAlignment="1" pivotButton="0" quotePrefix="0" xfId="0">
      <alignment horizontal="left" vertical="center"/>
    </xf>
    <xf numFmtId="0" fontId="97" fillId="0" borderId="15" pivotButton="0" quotePrefix="0" xfId="0"/>
    <xf numFmtId="0" fontId="38" fillId="3" borderId="15" pivotButton="0" quotePrefix="0" xfId="0"/>
    <xf numFmtId="164" fontId="123" fillId="0" borderId="15" applyAlignment="1" pivotButton="0" quotePrefix="0" xfId="0">
      <alignment horizontal="center"/>
    </xf>
    <xf numFmtId="164" fontId="38" fillId="3" borderId="15" pivotButton="0" quotePrefix="0" xfId="0"/>
    <xf numFmtId="0" fontId="124" fillId="0" borderId="15" applyAlignment="1" pivotButton="0" quotePrefix="0" xfId="0">
      <alignment horizontal="center"/>
    </xf>
    <xf numFmtId="0" fontId="125" fillId="0" borderId="15" applyAlignment="1" pivotButton="0" quotePrefix="0" xfId="0">
      <alignment horizontal="center" wrapText="1"/>
    </xf>
    <xf numFmtId="164" fontId="38" fillId="3" borderId="56" pivotButton="0" quotePrefix="0" xfId="0"/>
    <xf numFmtId="0" fontId="97" fillId="0" borderId="15" applyAlignment="1" pivotButton="0" quotePrefix="0" xfId="0">
      <alignment vertical="bottom"/>
    </xf>
    <xf numFmtId="0" fontId="38" fillId="3" borderId="15" applyAlignment="1" pivotButton="0" quotePrefix="0" xfId="0">
      <alignment vertical="bottom"/>
    </xf>
    <xf numFmtId="164" fontId="123" fillId="0" borderId="15" applyAlignment="1" pivotButton="0" quotePrefix="0" xfId="0">
      <alignment horizontal="center" vertical="bottom"/>
    </xf>
    <xf numFmtId="164" fontId="38" fillId="3" borderId="15" applyAlignment="1" pivotButton="0" quotePrefix="0" xfId="0">
      <alignment vertical="bottom"/>
    </xf>
    <xf numFmtId="0" fontId="124" fillId="0" borderId="15" applyAlignment="1" pivotButton="0" quotePrefix="0" xfId="0">
      <alignment horizontal="center" vertical="bottom"/>
    </xf>
    <xf numFmtId="0" fontId="125" fillId="0" borderId="15" applyAlignment="1" pivotButton="0" quotePrefix="0" xfId="0">
      <alignment horizontal="center" vertical="bottom" wrapText="1"/>
    </xf>
    <xf numFmtId="0" fontId="144" fillId="0" borderId="15" applyAlignment="1" pivotButton="0" quotePrefix="0" xfId="0">
      <alignment horizontal="center" wrapText="1"/>
    </xf>
    <xf numFmtId="0" fontId="145" fillId="0" borderId="15" applyAlignment="1" pivotButton="0" quotePrefix="0" xfId="0">
      <alignment horizontal="center"/>
    </xf>
    <xf numFmtId="164" fontId="146" fillId="0" borderId="42" applyAlignment="1" pivotButton="0" quotePrefix="0" xfId="0">
      <alignment horizontal="center" vertical="bottom" wrapText="1"/>
    </xf>
    <xf numFmtId="164" fontId="38" fillId="3" borderId="56" applyAlignment="1" pivotButton="0" quotePrefix="0" xfId="0">
      <alignment vertical="bottom"/>
    </xf>
    <xf numFmtId="0" fontId="147" fillId="0" borderId="33" applyAlignment="1" pivotButton="0" quotePrefix="0" xfId="0">
      <alignment horizontal="center"/>
    </xf>
    <xf numFmtId="164" fontId="148" fillId="0" borderId="0" applyAlignment="1" pivotButton="0" quotePrefix="0" xfId="0">
      <alignment horizontal="center" wrapText="1"/>
    </xf>
    <xf numFmtId="9" fontId="148" fillId="0" borderId="0" applyAlignment="1" pivotButton="0" quotePrefix="0" xfId="0">
      <alignment horizontal="center"/>
    </xf>
    <xf numFmtId="0" fontId="149" fillId="0" borderId="0" applyAlignment="1" pivotButton="0" quotePrefix="0" xfId="0">
      <alignment horizontal="center" wrapText="1"/>
    </xf>
    <xf numFmtId="164" fontId="150" fillId="0" borderId="42" applyAlignment="1" pivotButton="0" quotePrefix="0" xfId="0">
      <alignment horizontal="center" vertical="bottom" wrapText="1"/>
    </xf>
    <xf numFmtId="0" fontId="147" fillId="0" borderId="33" applyAlignment="1" pivotButton="0" quotePrefix="0" xfId="0">
      <alignment horizontal="center"/>
    </xf>
    <xf numFmtId="0" fontId="147" fillId="0" borderId="105" applyAlignment="1" pivotButton="0" quotePrefix="0" xfId="0">
      <alignment horizontal="center"/>
    </xf>
    <xf numFmtId="0" fontId="38" fillId="3" borderId="0" pivotButton="0" quotePrefix="0" xfId="0"/>
    <xf numFmtId="0" fontId="92" fillId="0" borderId="0" applyAlignment="1" pivotButton="0" quotePrefix="0" xfId="0">
      <alignment horizontal="center" wrapText="1"/>
    </xf>
    <xf numFmtId="164" fontId="83" fillId="0" borderId="0" applyAlignment="1" pivotButton="0" quotePrefix="0" xfId="0">
      <alignment horizontal="right" wrapText="1"/>
    </xf>
    <xf numFmtId="164" fontId="83" fillId="0" borderId="42" applyAlignment="1" pivotButton="0" quotePrefix="0" xfId="0">
      <alignment horizontal="right" wrapText="1"/>
    </xf>
    <xf numFmtId="0" fontId="38" fillId="3" borderId="42" pivotButton="0" quotePrefix="0" xfId="0"/>
    <xf numFmtId="0" fontId="38" fillId="3" borderId="9" pivotButton="0" quotePrefix="0" xfId="0"/>
    <xf numFmtId="0" fontId="92" fillId="0" borderId="9" applyAlignment="1" pivotButton="0" quotePrefix="0" xfId="0">
      <alignment horizontal="center" wrapText="1"/>
    </xf>
    <xf numFmtId="0" fontId="38" fillId="0" borderId="9" pivotButton="0" quotePrefix="0" xfId="0"/>
    <xf numFmtId="164" fontId="83" fillId="0" borderId="9" applyAlignment="1" pivotButton="0" quotePrefix="0" xfId="0">
      <alignment horizontal="right" wrapText="1"/>
    </xf>
    <xf numFmtId="0" fontId="151" fillId="0" borderId="9" applyAlignment="1" pivotButton="0" quotePrefix="0" xfId="0">
      <alignment horizontal="center" wrapText="1"/>
    </xf>
    <xf numFmtId="164" fontId="152" fillId="3" borderId="73" applyAlignment="1" pivotButton="0" quotePrefix="0" xfId="0">
      <alignment horizontal="right" wrapText="1"/>
    </xf>
    <xf numFmtId="0" fontId="3" fillId="0" borderId="0" pivotButton="0" quotePrefix="0" xfId="0"/>
    <xf numFmtId="0" fontId="1" fillId="0" borderId="0" pivotButton="0" quotePrefix="0" xfId="0"/>
    <xf numFmtId="169" fontId="3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8" fillId="0" borderId="0" applyAlignment="1" pivotButton="0" quotePrefix="0" xfId="0">
      <alignment horizontal="right" vertical="bottom"/>
    </xf>
    <xf numFmtId="0" fontId="38" fillId="0" borderId="0" applyAlignment="1" pivotButton="0" quotePrefix="0" xfId="0">
      <alignment vertical="bottom"/>
    </xf>
    <xf numFmtId="0" fontId="38" fillId="0" borderId="0" applyAlignment="1" pivotButton="0" quotePrefix="0" xfId="0">
      <alignment vertical="bottom"/>
    </xf>
    <xf numFmtId="0" fontId="29" fillId="6" borderId="85" applyAlignment="1" pivotButton="0" quotePrefix="0" xfId="0">
      <alignment horizontal="right" wrapText="1"/>
    </xf>
    <xf numFmtId="0" fontId="29" fillId="6" borderId="125" applyAlignment="1" pivotButton="0" quotePrefix="0" xfId="0">
      <alignment horizontal="center" wrapText="1"/>
    </xf>
    <xf numFmtId="0" fontId="0" fillId="0" borderId="126" applyAlignment="1" pivotButton="0" quotePrefix="0" xfId="0">
      <alignment horizontal="center" vertical="center" wrapText="1"/>
    </xf>
    <xf numFmtId="0" fontId="33" fillId="7" borderId="127" applyAlignment="1" pivotButton="0" quotePrefix="0" xfId="0">
      <alignment horizontal="left"/>
    </xf>
    <xf numFmtId="0" fontId="0" fillId="0" borderId="15" pivotButton="0" quotePrefix="0" xfId="0"/>
    <xf numFmtId="0" fontId="33" fillId="7" borderId="86" applyAlignment="1" pivotButton="0" quotePrefix="0" xfId="0">
      <alignment horizontal="left"/>
    </xf>
    <xf numFmtId="0" fontId="0" fillId="0" borderId="58" pivotButton="0" quotePrefix="0" xfId="0"/>
    <xf numFmtId="0" fontId="0" fillId="0" borderId="105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9" pivotButton="0" quotePrefix="0" xfId="0"/>
    <xf numFmtId="0" fontId="51" fillId="11" borderId="129" applyAlignment="1" pivotButton="0" quotePrefix="0" xfId="0">
      <alignment horizontal="center" wrapText="1"/>
    </xf>
    <xf numFmtId="0" fontId="0" fillId="0" borderId="51" pivotButton="0" quotePrefix="0" xfId="0"/>
    <xf numFmtId="164" fontId="53" fillId="5" borderId="126" applyAlignment="1" pivotButton="0" quotePrefix="0" xfId="0">
      <alignment vertical="center" wrapText="1"/>
    </xf>
    <xf numFmtId="0" fontId="0" fillId="0" borderId="54" pivotButton="0" quotePrefix="0" xfId="0"/>
    <xf numFmtId="0" fontId="0" fillId="0" borderId="55" pivotButton="0" quotePrefix="0" xfId="0"/>
    <xf numFmtId="0" fontId="60" fillId="13" borderId="129" applyAlignment="1" pivotButton="0" quotePrefix="0" xfId="0">
      <alignment horizontal="center" vertical="center" textRotation="255"/>
    </xf>
    <xf numFmtId="0" fontId="0" fillId="0" borderId="33" pivotButton="0" quotePrefix="0" xfId="0"/>
    <xf numFmtId="0" fontId="27" fillId="0" borderId="27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34" pivotButton="0" quotePrefix="0" xfId="0"/>
    <xf numFmtId="0" fontId="19" fillId="0" borderId="47" applyAlignment="1" pivotButton="0" quotePrefix="0" xfId="0">
      <alignment horizontal="center" vertical="center"/>
    </xf>
    <xf numFmtId="0" fontId="0" fillId="0" borderId="47" pivotButton="0" quotePrefix="0" xfId="0"/>
    <xf numFmtId="0" fontId="19" fillId="0" borderId="105" applyAlignment="1" pivotButton="0" quotePrefix="0" xfId="0">
      <alignment horizontal="center" vertical="center"/>
    </xf>
    <xf numFmtId="0" fontId="60" fillId="22" borderId="86" applyAlignment="1" pivotButton="0" quotePrefix="0" xfId="0">
      <alignment horizontal="center" vertical="center" textRotation="255"/>
    </xf>
    <xf numFmtId="0" fontId="126" fillId="0" borderId="128" applyAlignment="1" pivotButton="0" quotePrefix="0" xfId="0">
      <alignment horizontal="center" vertical="center" textRotation="90"/>
    </xf>
    <xf numFmtId="0" fontId="27" fillId="0" borderId="121" applyAlignment="1" pivotButton="0" quotePrefix="0" xfId="0">
      <alignment horizontal="left" vertical="center"/>
    </xf>
    <xf numFmtId="0" fontId="27" fillId="0" borderId="109" applyAlignment="1" pivotButton="0" quotePrefix="0" xfId="0">
      <alignment horizontal="left" vertical="center"/>
    </xf>
    <xf numFmtId="0" fontId="0" fillId="0" borderId="106" pivotButton="0" quotePrefix="0" xfId="0"/>
    <xf numFmtId="164" fontId="19" fillId="0" borderId="47" applyAlignment="1" pivotButton="0" quotePrefix="0" xfId="0">
      <alignment horizontal="center" vertical="center"/>
    </xf>
    <xf numFmtId="0" fontId="0" fillId="0" borderId="56" pivotButton="0" quotePrefix="0" xfId="0"/>
    <xf numFmtId="0" fontId="27" fillId="0" borderId="38" applyAlignment="1" pivotButton="0" quotePrefix="0" xfId="0">
      <alignment horizontal="left" vertical="center"/>
    </xf>
    <xf numFmtId="49" fontId="27" fillId="0" borderId="121" applyAlignment="1" pivotButton="0" quotePrefix="0" xfId="0">
      <alignment horizontal="left" vertical="center"/>
    </xf>
    <xf numFmtId="0" fontId="27" fillId="0" borderId="123" applyAlignment="1" pivotButton="0" quotePrefix="0" xfId="0">
      <alignment horizontal="left" vertical="center"/>
    </xf>
    <xf numFmtId="0" fontId="127" fillId="23" borderId="125" applyAlignment="1" pivotButton="0" quotePrefix="0" xfId="0">
      <alignment horizontal="center" vertical="center" wrapText="1"/>
    </xf>
    <xf numFmtId="49" fontId="27" fillId="24" borderId="122" applyAlignment="1" pivotButton="0" quotePrefix="0" xfId="0">
      <alignment horizontal="left" vertical="center"/>
    </xf>
    <xf numFmtId="0" fontId="27" fillId="24" borderId="130" applyAlignment="1" pivotButton="0" quotePrefix="0" xfId="0">
      <alignment horizontal="left" vertical="center"/>
    </xf>
    <xf numFmtId="0" fontId="19" fillId="24" borderId="41" applyAlignment="1" pivotButton="0" quotePrefix="0" xfId="0">
      <alignment horizontal="center" vertical="center"/>
    </xf>
    <xf numFmtId="0" fontId="27" fillId="24" borderId="122" applyAlignment="1" pivotButton="0" quotePrefix="0" xfId="0">
      <alignment horizontal="left" vertical="center"/>
    </xf>
    <xf numFmtId="0" fontId="46" fillId="24" borderId="41" applyAlignment="1" pivotButton="0" quotePrefix="0" xfId="0">
      <alignment horizontal="center" vertical="center"/>
    </xf>
    <xf numFmtId="0" fontId="27" fillId="24" borderId="124" applyAlignment="1" pivotButton="0" quotePrefix="0" xfId="0">
      <alignment horizontal="left" vertical="center"/>
    </xf>
    <xf numFmtId="0" fontId="0" fillId="0" borderId="91" pivotButton="0" quotePrefix="0" xfId="0"/>
    <xf numFmtId="0" fontId="46" fillId="24" borderId="129" applyAlignment="1" pivotButton="0" quotePrefix="0" xfId="0">
      <alignment horizontal="center" vertical="center"/>
    </xf>
    <xf numFmtId="0" fontId="46" fillId="24" borderId="84" applyAlignment="1" pivotButton="0" quotePrefix="0" xfId="0">
      <alignment horizontal="center" vertical="center"/>
    </xf>
    <xf numFmtId="0" fontId="0" fillId="0" borderId="73" pivotButton="0" quotePrefix="0" xfId="0"/>
    <xf numFmtId="0" fontId="12" fillId="4" borderId="83" applyAlignment="1" pivotButton="0" quotePrefix="0" xfId="0">
      <alignment horizontal="right"/>
    </xf>
    <xf numFmtId="0" fontId="13" fillId="4" borderId="83" applyAlignment="1" pivotButton="0" quotePrefix="0" xfId="0">
      <alignment horizontal="left"/>
    </xf>
    <xf numFmtId="0" fontId="16" fillId="4" borderId="2" applyAlignment="1" pivotButton="0" quotePrefix="0" xfId="0">
      <alignment horizontal="center"/>
    </xf>
    <xf numFmtId="0" fontId="18" fillId="4" borderId="2" applyAlignment="1" pivotButton="0" quotePrefix="0" xfId="0">
      <alignment horizontal="center"/>
    </xf>
    <xf numFmtId="164" fontId="23" fillId="5" borderId="26" applyAlignment="1" pivotButton="0" quotePrefix="0" xfId="0">
      <alignment horizontal="center" vertical="center" wrapText="1"/>
    </xf>
    <xf numFmtId="0" fontId="24" fillId="3" borderId="83" applyAlignment="1" pivotButton="0" quotePrefix="0" xfId="0">
      <alignment horizontal="center" vertical="center"/>
    </xf>
    <xf numFmtId="0" fontId="22" fillId="3" borderId="2" applyAlignment="1" pivotButton="0" quotePrefix="0" xfId="0">
      <alignment horizontal="center"/>
    </xf>
    <xf numFmtId="164" fontId="23" fillId="5" borderId="45" applyAlignment="1" pivotButton="0" quotePrefix="0" xfId="0">
      <alignment horizontal="center" vertical="center" wrapText="1"/>
    </xf>
    <xf numFmtId="0" fontId="35" fillId="8" borderId="21" applyAlignment="1" pivotButton="0" quotePrefix="0" xfId="0">
      <alignment horizontal="center" vertical="center" wrapText="1"/>
    </xf>
    <xf numFmtId="0" fontId="41" fillId="0" borderId="47" applyAlignment="1" pivotButton="0" quotePrefix="0" xfId="0">
      <alignment horizontal="center" vertical="bottom" wrapText="1"/>
    </xf>
    <xf numFmtId="0" fontId="42" fillId="0" borderId="135" applyAlignment="1" pivotButton="0" quotePrefix="0" xfId="0">
      <alignment horizontal="center" vertical="bottom" wrapText="1"/>
    </xf>
    <xf numFmtId="0" fontId="52" fillId="0" borderId="58" applyAlignment="1" pivotButton="0" quotePrefix="0" xfId="0">
      <alignment horizontal="center" vertical="center" wrapText="1"/>
    </xf>
    <xf numFmtId="164" fontId="54" fillId="9" borderId="84" applyAlignment="1" pivotButton="0" quotePrefix="0" xfId="0">
      <alignment horizontal="center" vertical="center" wrapText="1"/>
    </xf>
    <xf numFmtId="0" fontId="42" fillId="0" borderId="47" applyAlignment="1" pivotButton="0" quotePrefix="0" xfId="0">
      <alignment horizontal="center" vertical="bottom" wrapText="1"/>
    </xf>
    <xf numFmtId="164" fontId="62" fillId="14" borderId="26" applyAlignment="1" pivotButton="0" quotePrefix="0" xfId="0">
      <alignment horizontal="center" vertical="center" wrapText="1"/>
    </xf>
    <xf numFmtId="164" fontId="62" fillId="14" borderId="45" applyAlignment="1" pivotButton="0" quotePrefix="0" xfId="0">
      <alignment horizontal="center" vertical="center" wrapText="1"/>
    </xf>
    <xf numFmtId="164" fontId="64" fillId="14" borderId="45" applyAlignment="1" pivotButton="0" quotePrefix="0" xfId="0">
      <alignment horizontal="center" vertical="center" wrapText="1"/>
    </xf>
    <xf numFmtId="0" fontId="66" fillId="0" borderId="136" applyAlignment="1" pivotButton="0" quotePrefix="0" xfId="0">
      <alignment horizontal="center" vertical="center" wrapText="1"/>
    </xf>
    <xf numFmtId="164" fontId="54" fillId="9" borderId="87" applyAlignment="1" pivotButton="0" quotePrefix="0" xfId="0">
      <alignment horizontal="center" vertical="center" wrapText="1"/>
    </xf>
    <xf numFmtId="164" fontId="69" fillId="9" borderId="85" applyAlignment="1" pivotButton="0" quotePrefix="0" xfId="0">
      <alignment horizontal="center" vertical="center" wrapText="1"/>
    </xf>
    <xf numFmtId="164" fontId="70" fillId="9" borderId="87" applyAlignment="1" pivotButton="0" quotePrefix="0" xfId="0">
      <alignment horizontal="center" vertical="center"/>
    </xf>
    <xf numFmtId="0" fontId="36" fillId="13" borderId="76" applyAlignment="1" pivotButton="0" quotePrefix="0" xfId="0">
      <alignment horizontal="center" vertical="center"/>
    </xf>
    <xf numFmtId="0" fontId="0" fillId="0" borderId="100" pivotButton="0" quotePrefix="0" xfId="0"/>
    <xf numFmtId="0" fontId="36" fillId="16" borderId="72" applyAlignment="1" pivotButton="0" quotePrefix="0" xfId="0">
      <alignment horizontal="center" vertical="center"/>
    </xf>
    <xf numFmtId="0" fontId="36" fillId="0" borderId="137" applyAlignment="1" pivotButton="0" quotePrefix="0" xfId="0">
      <alignment horizontal="center" vertical="center"/>
    </xf>
    <xf numFmtId="164" fontId="21" fillId="3" borderId="22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82" fillId="0" borderId="1" applyAlignment="1" pivotButton="0" quotePrefix="0" xfId="0">
      <alignment horizontal="center" wrapText="1"/>
    </xf>
    <xf numFmtId="49" fontId="21" fillId="3" borderId="31" applyAlignment="1" pivotButton="0" quotePrefix="0" xfId="0">
      <alignment horizontal="center" vertical="center"/>
    </xf>
    <xf numFmtId="0" fontId="0" fillId="0" borderId="75" pivotButton="0" quotePrefix="0" xfId="0"/>
    <xf numFmtId="0" fontId="85" fillId="8" borderId="21" applyAlignment="1" pivotButton="0" quotePrefix="0" xfId="0">
      <alignment horizontal="center" vertical="center" wrapText="1"/>
    </xf>
    <xf numFmtId="164" fontId="79" fillId="3" borderId="2" applyAlignment="1" pivotButton="0" quotePrefix="0" xfId="0">
      <alignment horizontal="center"/>
    </xf>
    <xf numFmtId="0" fontId="80" fillId="3" borderId="2" applyAlignment="1" pivotButton="0" quotePrefix="0" xfId="0">
      <alignment horizontal="center"/>
    </xf>
    <xf numFmtId="0" fontId="23" fillId="3" borderId="2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/>
    </xf>
    <xf numFmtId="0" fontId="95" fillId="3" borderId="83" applyAlignment="1" pivotButton="0" quotePrefix="0" xfId="0">
      <alignment horizontal="center"/>
    </xf>
    <xf numFmtId="0" fontId="96" fillId="20" borderId="52" applyAlignment="1" pivotButton="0" quotePrefix="0" xfId="0">
      <alignment horizontal="center" vertical="center" wrapText="1"/>
    </xf>
    <xf numFmtId="0" fontId="97" fillId="0" borderId="131" applyAlignment="1" pivotButton="0" quotePrefix="0" xfId="0">
      <alignment vertical="center"/>
    </xf>
    <xf numFmtId="164" fontId="64" fillId="0" borderId="131" applyAlignment="1" pivotButton="0" quotePrefix="0" xfId="0">
      <alignment horizontal="center" vertical="center"/>
    </xf>
    <xf numFmtId="0" fontId="100" fillId="0" borderId="131" applyAlignment="1" pivotButton="0" quotePrefix="0" xfId="0">
      <alignment horizontal="center" vertical="center"/>
    </xf>
    <xf numFmtId="0" fontId="102" fillId="0" borderId="131" applyAlignment="1" pivotButton="0" quotePrefix="0" xfId="0">
      <alignment horizontal="center" vertical="center" wrapText="1"/>
    </xf>
    <xf numFmtId="0" fontId="103" fillId="0" borderId="131" applyAlignment="1" pivotButton="0" quotePrefix="0" xfId="0">
      <alignment horizontal="center" vertical="center" wrapText="1"/>
    </xf>
    <xf numFmtId="0" fontId="101" fillId="0" borderId="131" applyAlignment="1" pivotButton="0" quotePrefix="0" xfId="0">
      <alignment horizontal="center" vertical="center"/>
    </xf>
    <xf numFmtId="164" fontId="106" fillId="0" borderId="132" applyAlignment="1" pivotButton="0" quotePrefix="0" xfId="0">
      <alignment horizontal="center" vertical="center" wrapText="1"/>
    </xf>
    <xf numFmtId="0" fontId="107" fillId="0" borderId="133" applyAlignment="1" pivotButton="0" quotePrefix="0" xfId="0">
      <alignment horizontal="center" vertical="center"/>
    </xf>
    <xf numFmtId="9" fontId="106" fillId="0" borderId="133" applyAlignment="1" pivotButton="0" quotePrefix="0" xfId="0">
      <alignment horizontal="center" vertical="center"/>
    </xf>
    <xf numFmtId="0" fontId="108" fillId="0" borderId="133" applyAlignment="1" pivotButton="0" quotePrefix="0" xfId="0">
      <alignment horizontal="center" vertical="center" wrapText="1"/>
    </xf>
    <xf numFmtId="164" fontId="109" fillId="0" borderId="134" applyAlignment="1" pivotButton="0" quotePrefix="0" xfId="0">
      <alignment horizontal="center" wrapText="1"/>
    </xf>
    <xf numFmtId="0" fontId="21" fillId="3" borderId="92" applyAlignment="1" pivotButton="0" quotePrefix="0" xfId="0">
      <alignment horizontal="left" vertical="center"/>
    </xf>
    <xf numFmtId="0" fontId="0" fillId="0" borderId="95" pivotButton="0" quotePrefix="0" xfId="0"/>
    <xf numFmtId="0" fontId="22" fillId="3" borderId="92" applyAlignment="1" pivotButton="0" quotePrefix="0" xfId="0">
      <alignment horizontal="left" vertical="center"/>
    </xf>
    <xf numFmtId="0" fontId="21" fillId="3" borderId="3" applyAlignment="1" pivotButton="0" quotePrefix="0" xfId="0">
      <alignment horizontal="left" vertical="center"/>
    </xf>
    <xf numFmtId="0" fontId="21" fillId="3" borderId="3" applyAlignment="1" pivotButton="0" quotePrefix="0" xfId="0">
      <alignment horizontal="center" vertical="top"/>
    </xf>
    <xf numFmtId="0" fontId="0" fillId="0" borderId="96" pivotButton="0" quotePrefix="0" xfId="0"/>
    <xf numFmtId="0" fontId="0" fillId="0" borderId="97" pivotButton="0" quotePrefix="0" xfId="0"/>
    <xf numFmtId="0" fontId="21" fillId="3" borderId="2" applyAlignment="1" pivotButton="0" quotePrefix="0" xfId="0">
      <alignment horizontal="left" vertical="center"/>
    </xf>
    <xf numFmtId="0" fontId="115" fillId="3" borderId="76" applyAlignment="1" pivotButton="0" quotePrefix="0" xfId="0">
      <alignment horizontal="center"/>
    </xf>
    <xf numFmtId="0" fontId="117" fillId="0" borderId="58" applyAlignment="1" pivotButton="0" quotePrefix="0" xfId="0">
      <alignment horizontal="center" vertical="center"/>
    </xf>
    <xf numFmtId="166" fontId="117" fillId="0" borderId="9" applyAlignment="1" pivotButton="0" quotePrefix="0" xfId="0">
      <alignment horizontal="center" vertical="center"/>
    </xf>
    <xf numFmtId="0" fontId="119" fillId="20" borderId="52" applyAlignment="1" pivotButton="0" quotePrefix="0" xfId="0">
      <alignment horizontal="center" vertical="center" wrapText="1"/>
    </xf>
    <xf numFmtId="0" fontId="26" fillId="0" borderId="9" applyAlignment="1" pivotButton="0" quotePrefix="0" xfId="0">
      <alignment horizontal="center" wrapText="1"/>
    </xf>
    <xf numFmtId="0" fontId="0" fillId="3" borderId="72" applyAlignment="1" pivotButton="0" quotePrefix="0" xfId="0">
      <alignment horizontal="center"/>
    </xf>
    <xf numFmtId="0" fontId="0" fillId="0" borderId="138" pivotButton="0" quotePrefix="0" xfId="0"/>
    <xf numFmtId="0" fontId="41" fillId="0" borderId="135" applyAlignment="1" pivotButton="0" quotePrefix="0" xfId="0">
      <alignment horizontal="center" vertical="bottom" wrapText="1"/>
    </xf>
    <xf numFmtId="0" fontId="73" fillId="0" borderId="47" applyAlignment="1" pivotButton="0" quotePrefix="0" xfId="0">
      <alignment horizontal="center" vertical="bottom" wrapText="1"/>
    </xf>
    <xf numFmtId="0" fontId="36" fillId="0" borderId="138" applyAlignment="1" pivotButton="0" quotePrefix="0" xfId="0">
      <alignment horizontal="center" vertical="center"/>
    </xf>
    <xf numFmtId="164" fontId="21" fillId="3" borderId="9" applyAlignment="1" pivotButton="0" quotePrefix="0" xfId="0">
      <alignment horizontal="center" vertical="center" wrapText="1"/>
    </xf>
    <xf numFmtId="0" fontId="91" fillId="0" borderId="1" applyAlignment="1" pivotButton="0" quotePrefix="0" xfId="0">
      <alignment horizontal="center" wrapText="1"/>
    </xf>
    <xf numFmtId="0" fontId="83" fillId="0" borderId="138" applyAlignment="1" pivotButton="0" quotePrefix="0" xfId="0">
      <alignment vertical="bottom"/>
    </xf>
    <xf numFmtId="164" fontId="79" fillId="3" borderId="2" pivotButton="0" quotePrefix="0" xfId="0"/>
    <xf numFmtId="0" fontId="114" fillId="3" borderId="83" applyAlignment="1" pivotButton="0" quotePrefix="0" xfId="0">
      <alignment horizontal="center"/>
    </xf>
    <xf numFmtId="0" fontId="41" fillId="0" borderId="1" applyAlignment="1" pivotButton="0" quotePrefix="0" xfId="0">
      <alignment horizontal="center" wrapText="1"/>
    </xf>
    <xf numFmtId="0" fontId="122" fillId="3" borderId="76" applyAlignment="1" pivotButton="0" quotePrefix="0" xfId="0">
      <alignment horizontal="center"/>
    </xf>
    <xf numFmtId="0" fontId="97" fillId="0" borderId="131" pivotButton="0" quotePrefix="0" xfId="0"/>
    <xf numFmtId="164" fontId="123" fillId="0" borderId="131" applyAlignment="1" pivotButton="0" quotePrefix="0" xfId="0">
      <alignment horizontal="center"/>
    </xf>
    <xf numFmtId="0" fontId="124" fillId="0" borderId="131" applyAlignment="1" pivotButton="0" quotePrefix="0" xfId="0">
      <alignment horizontal="center"/>
    </xf>
    <xf numFmtId="0" fontId="125" fillId="0" borderId="131" applyAlignment="1" pivotButton="0" quotePrefix="0" xfId="0">
      <alignment horizontal="center" wrapText="1"/>
    </xf>
    <xf numFmtId="0" fontId="91" fillId="0" borderId="47" applyAlignment="1" pivotButton="0" quotePrefix="0" xfId="0">
      <alignment horizontal="center" vertical="bottom"/>
    </xf>
    <xf numFmtId="164" fontId="21" fillId="3" borderId="86" applyAlignment="1" pivotButton="0" quotePrefix="0" xfId="0">
      <alignment horizontal="center" vertical="center" wrapText="1"/>
    </xf>
    <xf numFmtId="49" fontId="21" fillId="3" borderId="82" applyAlignment="1" pivotButton="0" quotePrefix="0" xfId="0">
      <alignment horizontal="center" vertical="center"/>
    </xf>
    <xf numFmtId="0" fontId="92" fillId="0" borderId="138" applyAlignment="1" pivotButton="0" quotePrefix="0" xfId="0">
      <alignment vertical="bottom"/>
    </xf>
    <xf numFmtId="0" fontId="83" fillId="0" borderId="138" pivotButton="0" quotePrefix="0" xfId="0"/>
    <xf numFmtId="0" fontId="65" fillId="0" borderId="131" applyAlignment="1" pivotButton="0" quotePrefix="0" xfId="0">
      <alignment vertical="center"/>
    </xf>
    <xf numFmtId="0" fontId="92" fillId="0" borderId="138" pivotButton="0" quotePrefix="0" xfId="0"/>
    <xf numFmtId="0" fontId="96" fillId="20" borderId="139" applyAlignment="1" pivotButton="0" quotePrefix="0" xfId="0">
      <alignment horizontal="center" vertical="center" wrapText="1"/>
    </xf>
    <xf numFmtId="0" fontId="0" fillId="0" borderId="107" pivotButton="0" quotePrefix="0" xfId="0"/>
    <xf numFmtId="0" fontId="41" fillId="0" borderId="1" applyAlignment="1" pivotButton="0" quotePrefix="0" xfId="0">
      <alignment horizontal="center" vertical="center" wrapText="1"/>
    </xf>
    <xf numFmtId="49" fontId="21" fillId="3" borderId="21" applyAlignment="1" pivotButton="0" quotePrefix="0" xfId="0">
      <alignment horizontal="center" vertical="center"/>
    </xf>
    <xf numFmtId="164" fontId="79" fillId="0" borderId="131" applyAlignment="1" pivotButton="0" quotePrefix="0" xfId="0">
      <alignment horizontal="center" vertical="center"/>
    </xf>
    <xf numFmtId="164" fontId="139" fillId="9" borderId="87" applyAlignment="1" pivotButton="0" quotePrefix="0" xfId="0">
      <alignment horizontal="center" vertical="center" wrapText="1"/>
    </xf>
    <xf numFmtId="0" fontId="133" fillId="4" borderId="26" applyAlignment="1" pivotButton="0" quotePrefix="0" xfId="0">
      <alignment horizontal="center"/>
    </xf>
    <xf numFmtId="0" fontId="0" fillId="3" borderId="42" applyAlignment="1" pivotButton="0" quotePrefix="0" xfId="0">
      <alignment horizontal="center"/>
    </xf>
    <xf numFmtId="0" fontId="36" fillId="13" borderId="42" applyAlignment="1" pivotButton="0" quotePrefix="0" xfId="0">
      <alignment horizontal="center" vertical="center"/>
    </xf>
    <xf numFmtId="0" fontId="36" fillId="16" borderId="42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41" fillId="0" borderId="47" applyAlignment="1" pivotButton="0" quotePrefix="0" xfId="0">
      <alignment horizontal="center" wrapText="1"/>
    </xf>
    <xf numFmtId="0" fontId="21" fillId="3" borderId="17" applyAlignment="1" pivotButton="0" quotePrefix="0" xfId="0">
      <alignment horizontal="left" vertical="center"/>
    </xf>
    <xf numFmtId="0" fontId="97" fillId="0" borderId="140" applyAlignment="1" pivotButton="0" quotePrefix="0" xfId="0">
      <alignment vertical="bottom"/>
    </xf>
    <xf numFmtId="164" fontId="123" fillId="0" borderId="131" applyAlignment="1" pivotButton="0" quotePrefix="0" xfId="0">
      <alignment horizontal="center" vertical="bottom"/>
    </xf>
    <xf numFmtId="0" fontId="124" fillId="0" borderId="131" applyAlignment="1" pivotButton="0" quotePrefix="0" xfId="0">
      <alignment horizontal="center" vertical="bottom"/>
    </xf>
    <xf numFmtId="0" fontId="125" fillId="0" borderId="131" applyAlignment="1" pivotButton="0" quotePrefix="0" xfId="0">
      <alignment horizontal="center" vertical="bottom" wrapText="1"/>
    </xf>
    <xf numFmtId="0" fontId="144" fillId="0" borderId="131" applyAlignment="1" pivotButton="0" quotePrefix="0" xfId="0">
      <alignment horizontal="center" wrapText="1"/>
    </xf>
    <xf numFmtId="0" fontId="145" fillId="0" borderId="131" applyAlignment="1" pivotButton="0" quotePrefix="0" xfId="0">
      <alignment horizontal="center"/>
    </xf>
    <xf numFmtId="164" fontId="148" fillId="0" borderId="47" applyAlignment="1" pivotButton="0" quotePrefix="0" xfId="0">
      <alignment horizontal="center" wrapText="1"/>
    </xf>
    <xf numFmtId="9" fontId="148" fillId="0" borderId="56" applyAlignment="1" pivotButton="0" quotePrefix="0" xfId="0">
      <alignment horizontal="center"/>
    </xf>
    <xf numFmtId="0" fontId="149" fillId="0" borderId="56" applyAlignment="1" pivotButton="0" quotePrefix="0" xfId="0">
      <alignment horizontal="center" wrapText="1"/>
    </xf>
    <xf numFmtId="164" fontId="150" fillId="0" borderId="97" applyAlignment="1" pivotButton="0" quotePrefix="0" xfId="0">
      <alignment horizontal="center" vertical="bottom" wrapText="1"/>
    </xf>
  </cellXfs>
  <cellStyles count="1">
    <cellStyle name="Normal" xfId="0" builtinId="0"/>
  </cellStyles>
  <dxfs count="11">
    <dxf>
      <font/>
      <fill>
        <patternFill patternType="solid">
          <fgColor rgb="FF8DB3E2"/>
          <bgColor rgb="FF8DB3E2"/>
        </patternFill>
      </fill>
      <border/>
    </dxf>
    <dxf>
      <font/>
      <fill>
        <patternFill patternType="solid">
          <fgColor rgb="FFFFFF00"/>
          <bgColor rgb="FFFFFF00"/>
        </patternFill>
      </fill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/>
      <fill>
        <patternFill patternType="solid">
          <fgColor rgb="FFFF3300"/>
          <bgColor rgb="FFFF3300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CC66"/>
          <bgColor rgb="FFFFCC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>
        <color rgb="FF4F6128"/>
      </font>
      <fill>
        <patternFill/>
      </fill>
      <border/>
    </dxf>
    <dxf>
      <font>
        <b val="1"/>
        <color rgb="FFFF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S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.43" customWidth="1" style="26" min="1" max="1"/>
    <col width="5" customWidth="1" style="26" min="2" max="2"/>
    <col width="0.29" customWidth="1" style="26" min="3" max="3"/>
    <col width="6.14" customWidth="1" style="26" min="4" max="4"/>
    <col width="3.43" customWidth="1" style="26" min="5" max="6"/>
    <col width="6.14" customWidth="1" style="26" min="7" max="7"/>
    <col width="3.43" customWidth="1" style="26" min="8" max="9"/>
    <col width="6.14" customWidth="1" style="26" min="10" max="10"/>
    <col width="3.43" customWidth="1" style="26" min="11" max="12"/>
    <col width="6.14" customWidth="1" style="26" min="13" max="13"/>
    <col width="3.43" customWidth="1" style="26" min="14" max="15"/>
    <col width="6.14" customWidth="1" style="26" min="16" max="16"/>
    <col width="3.43" customWidth="1" style="26" min="17" max="18"/>
    <col width="6.14" customWidth="1" style="26" min="19" max="19"/>
    <col width="3.43" customWidth="1" style="26" min="20" max="21"/>
    <col width="6.14" customWidth="1" style="26" min="22" max="22"/>
    <col width="3.43" customWidth="1" style="26" min="23" max="24"/>
    <col width="6.14" customWidth="1" style="26" min="25" max="25"/>
    <col width="3.43" customWidth="1" style="26" min="26" max="27"/>
    <col width="6.14" customWidth="1" style="26" min="28" max="28"/>
    <col width="3.43" customWidth="1" style="26" min="29" max="30"/>
    <col width="6.14" customWidth="1" style="26" min="31" max="31"/>
    <col width="3.43" customWidth="1" style="26" min="32" max="33"/>
    <col width="6.14" customWidth="1" style="26" min="34" max="34"/>
    <col width="3.43" customWidth="1" style="26" min="35" max="36"/>
    <col width="6.14" customWidth="1" style="26" min="37" max="37"/>
    <col width="3.43" customWidth="1" style="26" min="38" max="39"/>
    <col width="6.14" customWidth="1" style="26" min="40" max="40"/>
    <col width="3.43" customWidth="1" style="26" min="41" max="42"/>
    <col width="6.14" customWidth="1" style="26" min="43" max="43"/>
    <col width="3.43" customWidth="1" style="26" min="44" max="45"/>
  </cols>
  <sheetData>
    <row r="1" ht="9.75" customHeight="1" s="26">
      <c r="A1" s="749" t="inlineStr">
        <is>
          <t> </t>
        </is>
      </c>
      <c r="B1" s="750" t="n">
        <v>17</v>
      </c>
      <c r="C1" s="751" t="n"/>
      <c r="D1" s="752" t="inlineStr">
        <is>
          <t>Alan</t>
        </is>
      </c>
      <c r="E1" s="753" t="n"/>
      <c r="F1" s="753" t="n"/>
      <c r="G1" s="754" t="inlineStr">
        <is>
          <t>Fish</t>
        </is>
      </c>
      <c r="H1" s="753" t="n"/>
      <c r="I1" s="753" t="n"/>
      <c r="J1" s="754" t="inlineStr">
        <is>
          <t>Brock</t>
        </is>
      </c>
      <c r="K1" s="753" t="n"/>
      <c r="L1" s="753" t="n"/>
      <c r="M1" s="754" t="inlineStr">
        <is>
          <t>Chris N</t>
        </is>
      </c>
      <c r="N1" s="753" t="n"/>
      <c r="O1" s="753" t="n"/>
      <c r="P1" s="754" t="inlineStr">
        <is>
          <t>Chris S</t>
        </is>
      </c>
      <c r="Q1" s="753" t="n"/>
      <c r="R1" s="753" t="n"/>
      <c r="S1" s="754" t="inlineStr">
        <is>
          <t>Devin</t>
        </is>
      </c>
      <c r="T1" s="753" t="n"/>
      <c r="U1" s="753" t="n"/>
      <c r="V1" s="754" t="inlineStr">
        <is>
          <t>John</t>
        </is>
      </c>
      <c r="W1" s="753" t="n"/>
      <c r="X1" s="753" t="n"/>
      <c r="Y1" s="754" t="inlineStr">
        <is>
          <t>Jon</t>
        </is>
      </c>
      <c r="Z1" s="753" t="n"/>
      <c r="AA1" s="753" t="n"/>
      <c r="AB1" s="754" t="inlineStr">
        <is>
          <t>Kevin</t>
        </is>
      </c>
      <c r="AC1" s="753" t="n"/>
      <c r="AD1" s="753" t="n"/>
      <c r="AE1" s="754" t="inlineStr">
        <is>
          <t>Evan</t>
        </is>
      </c>
      <c r="AF1" s="753" t="n"/>
      <c r="AG1" s="753" t="n"/>
      <c r="AH1" s="754" t="inlineStr">
        <is>
          <t>Matt</t>
        </is>
      </c>
      <c r="AI1" s="753" t="n"/>
      <c r="AJ1" s="753" t="n"/>
      <c r="AK1" s="754" t="inlineStr">
        <is>
          <t>Mu</t>
        </is>
      </c>
      <c r="AL1" s="753" t="n"/>
      <c r="AM1" s="753" t="n"/>
      <c r="AN1" s="754" t="inlineStr">
        <is>
          <t>Mo</t>
        </is>
      </c>
      <c r="AO1" s="753" t="n"/>
      <c r="AP1" s="753" t="n"/>
      <c r="AQ1" s="754" t="inlineStr">
        <is>
          <t>Steve</t>
        </is>
      </c>
      <c r="AR1" s="753" t="n"/>
      <c r="AS1" s="753" t="n"/>
    </row>
    <row r="2" ht="9.75" customHeight="1" s="26">
      <c r="A2" s="755" t="n"/>
      <c r="B2" s="756" t="n"/>
      <c r="C2" s="757" t="n"/>
      <c r="D2" s="758" t="n"/>
      <c r="E2" s="759" t="n"/>
      <c r="F2" s="759" t="n"/>
      <c r="G2" s="759" t="n"/>
      <c r="H2" s="759" t="n"/>
      <c r="I2" s="759" t="n"/>
      <c r="J2" s="759" t="n"/>
      <c r="K2" s="759" t="n"/>
      <c r="L2" s="759" t="n"/>
      <c r="M2" s="759" t="n"/>
      <c r="N2" s="759" t="n"/>
      <c r="O2" s="759" t="n"/>
      <c r="P2" s="759" t="n"/>
      <c r="Q2" s="759" t="n"/>
      <c r="R2" s="759" t="n"/>
      <c r="S2" s="759" t="n"/>
      <c r="T2" s="759" t="n"/>
      <c r="U2" s="759" t="n"/>
      <c r="V2" s="759" t="n"/>
      <c r="W2" s="759" t="n"/>
      <c r="X2" s="759" t="n"/>
      <c r="Y2" s="759" t="n"/>
      <c r="Z2" s="759" t="n"/>
      <c r="AA2" s="759" t="n"/>
      <c r="AB2" s="759" t="n"/>
      <c r="AC2" s="759" t="n"/>
      <c r="AD2" s="759" t="n"/>
      <c r="AE2" s="759" t="n"/>
      <c r="AF2" s="759" t="n"/>
      <c r="AG2" s="759" t="n"/>
      <c r="AH2" s="759" t="n"/>
      <c r="AI2" s="759" t="n"/>
      <c r="AJ2" s="759" t="n"/>
      <c r="AK2" s="759" t="n"/>
      <c r="AL2" s="759" t="n"/>
      <c r="AM2" s="759" t="n"/>
      <c r="AN2" s="759" t="n"/>
      <c r="AO2" s="759" t="n"/>
      <c r="AP2" s="759" t="n"/>
      <c r="AQ2" s="759" t="n"/>
      <c r="AR2" s="759" t="n"/>
      <c r="AS2" s="759" t="n"/>
    </row>
    <row r="3" ht="0.75" customHeight="1" s="26">
      <c r="A3" s="89">
        <f>CONCATENATE(B1+2008," Budget")</f>
        <v/>
      </c>
      <c r="B3" s="90" t="n">
        <v>16</v>
      </c>
      <c r="C3" s="757" t="n"/>
      <c r="D3" s="91" t="n"/>
      <c r="E3" s="91" t="n"/>
      <c r="F3" s="92" t="n"/>
      <c r="G3" s="93" t="n"/>
      <c r="H3" s="94" t="n"/>
      <c r="I3" s="95" t="n"/>
      <c r="J3" s="97" t="n"/>
      <c r="K3" s="91" t="n"/>
      <c r="L3" s="92" t="n"/>
      <c r="M3" s="93" t="n"/>
      <c r="N3" s="94" t="n"/>
      <c r="O3" s="95" t="n"/>
      <c r="P3" s="93" t="n"/>
      <c r="Q3" s="94" t="n"/>
      <c r="R3" s="95" t="n"/>
      <c r="S3" s="97" t="n"/>
      <c r="T3" s="91" t="n"/>
      <c r="U3" s="92" t="n"/>
      <c r="V3" s="97" t="n"/>
      <c r="W3" s="91" t="n"/>
      <c r="X3" s="92" t="n"/>
      <c r="Y3" s="97" t="n"/>
      <c r="Z3" s="91" t="n"/>
      <c r="AA3" s="92" t="n"/>
      <c r="AB3" s="97" t="n"/>
      <c r="AC3" s="91" t="n"/>
      <c r="AD3" s="92" t="n"/>
      <c r="AE3" s="93" t="n"/>
      <c r="AF3" s="94" t="n"/>
      <c r="AG3" s="95" t="n"/>
      <c r="AH3" s="97" t="n"/>
      <c r="AI3" s="91" t="n"/>
      <c r="AJ3" s="92" t="n"/>
      <c r="AK3" s="97" t="n"/>
      <c r="AL3" s="91" t="n"/>
      <c r="AM3" s="92" t="n"/>
      <c r="AN3" s="97" t="n"/>
      <c r="AO3" s="91" t="n"/>
      <c r="AP3" s="92" t="n"/>
      <c r="AQ3" s="93" t="n"/>
      <c r="AR3" s="94" t="n"/>
      <c r="AS3" s="95" t="n"/>
    </row>
    <row r="4" ht="22.5" customHeight="1" s="26">
      <c r="A4" s="760">
        <f>CONCATENATE(B1+2008," Budg.")</f>
        <v/>
      </c>
      <c r="B4" s="756" t="n"/>
      <c r="C4" s="761" t="n"/>
      <c r="D4" s="762">
        <f>'AC (Dumpster Fires)'!K27</f>
        <v/>
      </c>
      <c r="E4" s="763" t="n"/>
      <c r="F4" s="764" t="n"/>
      <c r="G4" s="762">
        <f>'AW (Minor)'!$K$27</f>
        <v/>
      </c>
      <c r="H4" s="763" t="n"/>
      <c r="I4" s="764" t="n"/>
      <c r="J4" s="762">
        <f>'BL (Brockasauras)'!$K$27</f>
        <v/>
      </c>
      <c r="K4" s="763" t="n"/>
      <c r="L4" s="764" t="n"/>
      <c r="M4" s="762">
        <f>'CN (Nygaardians)'!$K$27</f>
        <v/>
      </c>
      <c r="N4" s="763" t="n"/>
      <c r="O4" s="764" t="n"/>
      <c r="P4" s="762">
        <f>'CS (Shag Dawgs)'!$K$27</f>
        <v/>
      </c>
      <c r="Q4" s="763" t="n"/>
      <c r="R4" s="764" t="n"/>
      <c r="S4" s="762">
        <f>'DC (Cliff Lee Was Here)'!$K$27</f>
        <v/>
      </c>
      <c r="T4" s="763" t="n"/>
      <c r="U4" s="764" t="n"/>
      <c r="V4" s="762">
        <f>'JM (JMoney)'!$K$27</f>
        <v/>
      </c>
      <c r="W4" s="763" t="n"/>
      <c r="X4" s="764" t="n"/>
      <c r="Y4" s="762">
        <f>'JJ (metropolitans)'!$K$27</f>
        <v/>
      </c>
      <c r="Z4" s="763" t="n"/>
      <c r="AA4" s="764" t="n"/>
      <c r="AB4" s="762">
        <f>'KJ (Stat Sandwich)'!$K$27</f>
        <v/>
      </c>
      <c r="AC4" s="763" t="n"/>
      <c r="AD4" s="764" t="n"/>
      <c r="AE4" s="762">
        <f>'EP (Winning De)'!$K$27</f>
        <v/>
      </c>
      <c r="AF4" s="763" t="n"/>
      <c r="AG4" s="764" t="n"/>
      <c r="AH4" s="762">
        <f>'MB (Beckers Wreckers)'!$K$27</f>
        <v/>
      </c>
      <c r="AI4" s="763" t="n"/>
      <c r="AJ4" s="764" t="n"/>
      <c r="AK4" s="762">
        <f>'MH (sabermutrics)'!$K$27</f>
        <v/>
      </c>
      <c r="AL4" s="763" t="n"/>
      <c r="AM4" s="764" t="n"/>
      <c r="AN4" s="762">
        <f>'MT (Tradezilla)'!$K$27</f>
        <v/>
      </c>
      <c r="AO4" s="763" t="n"/>
      <c r="AP4" s="764" t="n"/>
      <c r="AQ4" s="762">
        <f>'SM (Dawsyn)'!$K$27</f>
        <v/>
      </c>
      <c r="AR4" s="763" t="n"/>
      <c r="AS4" s="764" t="n"/>
    </row>
    <row r="5" ht="4.5" customHeight="1" s="26">
      <c r="A5" s="130" t="n"/>
      <c r="B5" s="131" t="n"/>
      <c r="C5" s="130" t="n"/>
      <c r="D5" s="130" t="n"/>
      <c r="E5" s="132" t="n"/>
      <c r="F5" s="134" t="n"/>
      <c r="G5" s="130" t="n"/>
      <c r="H5" s="132" t="n"/>
      <c r="I5" s="134" t="n"/>
      <c r="J5" s="130" t="n"/>
      <c r="K5" s="132" t="n"/>
      <c r="L5" s="134" t="n"/>
      <c r="M5" s="130" t="n"/>
      <c r="N5" s="132" t="n"/>
      <c r="O5" s="134" t="n"/>
      <c r="P5" s="130" t="n"/>
      <c r="Q5" s="132" t="n"/>
      <c r="R5" s="134" t="n"/>
      <c r="S5" s="130" t="n"/>
      <c r="T5" s="132" t="n"/>
      <c r="U5" s="134" t="n"/>
      <c r="V5" s="130" t="n"/>
      <c r="W5" s="132" t="n"/>
      <c r="X5" s="134" t="n"/>
      <c r="Y5" s="130" t="n"/>
      <c r="Z5" s="132" t="n"/>
      <c r="AA5" s="134" t="n"/>
      <c r="AB5" s="130" t="n"/>
      <c r="AC5" s="132" t="n"/>
      <c r="AD5" s="134" t="n"/>
      <c r="AE5" s="130" t="n"/>
      <c r="AF5" s="132" t="n"/>
      <c r="AG5" s="134" t="n"/>
      <c r="AH5" s="130" t="n"/>
      <c r="AI5" s="132" t="n"/>
      <c r="AJ5" s="134" t="n"/>
      <c r="AK5" s="130" t="n"/>
      <c r="AL5" s="132" t="n"/>
      <c r="AM5" s="134" t="n"/>
      <c r="AN5" s="130" t="n"/>
      <c r="AO5" s="132" t="n"/>
      <c r="AP5" s="134" t="n"/>
      <c r="AQ5" s="130" t="n"/>
      <c r="AR5" s="132" t="n"/>
      <c r="AS5" s="134" t="n"/>
    </row>
    <row r="6" ht="11.25" customHeight="1" s="26">
      <c r="A6" s="765" t="inlineStr">
        <is>
          <t>Contracts</t>
        </is>
      </c>
      <c r="B6" s="766" t="n"/>
      <c r="C6" s="144" t="n"/>
      <c r="D6" s="767">
        <f>IF('AC (Dumpster Fires)'!$Y$6&gt;2006+$B$1,'AC (Dumpster Fires)'!$O$6,"")</f>
        <v/>
      </c>
      <c r="E6" s="768" t="n"/>
      <c r="F6" s="769" t="n"/>
      <c r="G6" s="767">
        <f>IF('AW (Minor)'!$Y$6&gt;2006+$B$1,'AW (Minor)'!$O$6,"")</f>
        <v/>
      </c>
      <c r="H6" s="768" t="n"/>
      <c r="I6" s="769" t="n"/>
      <c r="J6" s="767">
        <f>IF('BL (Brockasauras)'!$Y$6&gt;2006+$B$1,'BL (Brockasauras)'!$O$6,"")</f>
        <v/>
      </c>
      <c r="K6" s="768" t="n"/>
      <c r="L6" s="769" t="n"/>
      <c r="M6" s="767">
        <f>IF('CN (Nygaardians)'!$Y$6&gt;2006+$B$1,'CN (Nygaardians)'!$O$6,"")</f>
        <v/>
      </c>
      <c r="N6" s="768" t="n"/>
      <c r="O6" s="769" t="n"/>
      <c r="P6" s="767">
        <f>IF('CS (Shag Dawgs)'!$Y$6&gt;2006+$B$1,'CS (Shag Dawgs)'!$O$6,"")</f>
        <v/>
      </c>
      <c r="Q6" s="768" t="n"/>
      <c r="R6" s="769" t="n"/>
      <c r="S6" s="767">
        <f>IF('DC (Cliff Lee Was Here)'!$Y$6&gt;2006+$B$1,'DC (Cliff Lee Was Here)'!$O$6,"")</f>
        <v/>
      </c>
      <c r="T6" s="768" t="n"/>
      <c r="U6" s="769" t="n"/>
      <c r="V6" s="767">
        <f>IF('JM (JMoney)'!$Y$6&gt;2006+$B$1,'JM (JMoney)'!$O$6,"")</f>
        <v/>
      </c>
      <c r="W6" s="768" t="n"/>
      <c r="X6" s="769" t="n"/>
      <c r="Y6" s="767">
        <f>IF('JJ (metropolitans)'!$Y$6&gt;2006+$B$1,'JJ (metropolitans)'!$O$6,"")</f>
        <v/>
      </c>
      <c r="Z6" s="768" t="n"/>
      <c r="AA6" s="769" t="n"/>
      <c r="AB6" s="767">
        <f>IF('KJ (Stat Sandwich)'!$Y$6&gt;2006+$B$1,'KJ (Stat Sandwich)'!$O$6,"")</f>
        <v/>
      </c>
      <c r="AC6" s="768" t="n"/>
      <c r="AD6" s="769" t="n"/>
      <c r="AE6" s="767">
        <f>IF('EP (Winning De)'!$Y$6&gt;2006+$B$1,'EP (Winning De)'!$O$6,"")</f>
        <v/>
      </c>
      <c r="AF6" s="768" t="n"/>
      <c r="AG6" s="769" t="n"/>
      <c r="AH6" s="767">
        <f>IF('MB (Beckers Wreckers)'!$Y$6&gt;2006+$B$1,'MB (Beckers Wreckers)'!$O$6,"")</f>
        <v/>
      </c>
      <c r="AI6" s="768" t="n"/>
      <c r="AJ6" s="769" t="n"/>
      <c r="AK6" s="767">
        <f>IF('MH (sabermutrics)'!$Y$6&gt;2006+$B$1,'MH (sabermutrics)'!$O$6,"")</f>
        <v/>
      </c>
      <c r="AL6" s="768" t="n"/>
      <c r="AM6" s="769" t="n"/>
      <c r="AN6" s="767">
        <f>IF('MT (Tradezilla)'!$Y$6&gt;2006+$B$1,'MT (Tradezilla)'!$O$6,"")</f>
        <v/>
      </c>
      <c r="AO6" s="768" t="n"/>
      <c r="AP6" s="769" t="n"/>
      <c r="AQ6" s="767">
        <f>IF('SM (Dawsyn)'!$Y$6&gt;2006+$B$1,'SM (Dawsyn)'!$O$6,"")</f>
        <v/>
      </c>
      <c r="AR6" s="768" t="n"/>
      <c r="AS6" s="769" t="n"/>
    </row>
    <row r="7" ht="11.25" customHeight="1" s="26">
      <c r="B7" s="766" t="n"/>
      <c r="C7" s="144" t="n"/>
      <c r="D7" s="158">
        <f>IF('AC (Dumpster Fires)'!$Y$6&gt;2006+$B$1,'AC (Dumpster Fires)'!$AA$6,"")</f>
        <v/>
      </c>
      <c r="E7" s="770">
        <f>IF('AC (Dumpster Fires)'!$Y$6&gt;2006+$B$1,'AC (Dumpster Fires)'!$Y$6,"")</f>
        <v/>
      </c>
      <c r="F7" s="771" t="n"/>
      <c r="G7" s="158">
        <f>IF('AW (Minor)'!$Y$6&gt;2006+$B$1,'AW (Minor)'!$AA$6,"")</f>
        <v/>
      </c>
      <c r="H7" s="770">
        <f>IF('AW (Minor)'!$Y$6&gt;2006+$B$1,'AW (Minor)'!$Y$6,"")</f>
        <v/>
      </c>
      <c r="I7" s="771" t="n"/>
      <c r="J7" s="158">
        <f>IF('BL (Brockasauras)'!$Y$6&gt;2006+$B$1,'BL (Brockasauras)'!$AA$6,"")</f>
        <v/>
      </c>
      <c r="K7" s="770">
        <f>IF('BL (Brockasauras)'!$Y$6&gt;2006+$B$1,'BL (Brockasauras)'!$Y$6,"")</f>
        <v/>
      </c>
      <c r="L7" s="771" t="n"/>
      <c r="M7" s="158">
        <f>IF('CN (Nygaardians)'!$Y$6&gt;2006+$B$1,'CN (Nygaardians)'!$AA$6,"")</f>
        <v/>
      </c>
      <c r="N7" s="770">
        <f>IF('CN (Nygaardians)'!$Y$6&gt;2006+$B$1,'CN (Nygaardians)'!$Y$6,"")</f>
        <v/>
      </c>
      <c r="O7" s="771" t="n"/>
      <c r="P7" s="158">
        <f>IF('CS (Shag Dawgs)'!$Y$6&gt;2006+$B$1,'CS (Shag Dawgs)'!$AA$6,"")</f>
        <v/>
      </c>
      <c r="Q7" s="770">
        <f>IF('CS (Shag Dawgs)'!$Y$6&gt;2006+$B$1,'CS (Shag Dawgs)'!$Y$6,"")</f>
        <v/>
      </c>
      <c r="R7" s="771" t="n"/>
      <c r="S7" s="158">
        <f>IF('DC (Cliff Lee Was Here)'!$Y$6&gt;2006+$B$1,'DC (Cliff Lee Was Here)'!$AA$6,"")</f>
        <v/>
      </c>
      <c r="T7" s="770">
        <f>IF('DC (Cliff Lee Was Here)'!$Y$6&gt;2006+$B$1,'DC (Cliff Lee Was Here)'!$Y$6,"")</f>
        <v/>
      </c>
      <c r="U7" s="771" t="n"/>
      <c r="V7" s="158">
        <f>IF('JM (JMoney)'!$Y$6&gt;2006+$B$1,'JM (JMoney)'!$AA$6,"")</f>
        <v/>
      </c>
      <c r="W7" s="770">
        <f>IF('JM (JMoney)'!$Y$6&gt;2006+$B$1,'JM (JMoney)'!$Y$6,"")</f>
        <v/>
      </c>
      <c r="X7" s="771" t="n"/>
      <c r="Y7" s="158">
        <f>IF('JJ (metropolitans)'!$Y$6&gt;2006+$B$1,'JJ (metropolitans)'!$AA$6,"")</f>
        <v/>
      </c>
      <c r="Z7" s="770">
        <f>IF('JJ (metropolitans)'!$Y$6&gt;2006+$B$1,'JJ (metropolitans)'!$Y$6,"")</f>
        <v/>
      </c>
      <c r="AA7" s="771" t="n"/>
      <c r="AB7" s="158">
        <f>IF('KJ (Stat Sandwich)'!$Y$6&gt;2006+$B$1,'KJ (Stat Sandwich)'!$AA$6,"")</f>
        <v/>
      </c>
      <c r="AC7" s="770">
        <f>IF('KJ (Stat Sandwich)'!$Y$6&gt;2006+$B$1,'KJ (Stat Sandwich)'!$Y$6,"")</f>
        <v/>
      </c>
      <c r="AD7" s="771" t="n"/>
      <c r="AE7" s="158">
        <f>IF('EP (Winning De)'!$Y$6&gt;2006+$B$1,'EP (Winning De)'!$AA$6,"")</f>
        <v/>
      </c>
      <c r="AF7" s="770">
        <f>IF('EP (Winning De)'!$Y$6&gt;2006+$B$1,'EP (Winning De)'!$Y$6,"")</f>
        <v/>
      </c>
      <c r="AG7" s="771" t="n"/>
      <c r="AH7" s="158">
        <f>IF('MB (Beckers Wreckers)'!$Y$6&gt;2006+$B$1,'MB (Beckers Wreckers)'!$AA$6,"")</f>
        <v/>
      </c>
      <c r="AI7" s="770">
        <f>IF('MB (Beckers Wreckers)'!$Y$6&gt;2006+$B$1,'MB (Beckers Wreckers)'!$Y$6,"")</f>
        <v/>
      </c>
      <c r="AJ7" s="771" t="n"/>
      <c r="AK7" s="158">
        <f>IF('MH (sabermutrics)'!$Y$6&gt;2006+$B$1,'MH (sabermutrics)'!$AA$6,"")</f>
        <v/>
      </c>
      <c r="AL7" s="770">
        <f>IF('MH (sabermutrics)'!$Y$6&gt;2006+$B$1,'MH (sabermutrics)'!$Y$6,"")</f>
        <v/>
      </c>
      <c r="AM7" s="771" t="n"/>
      <c r="AN7" s="158">
        <f>IF('MT (Tradezilla)'!$Y$6&gt;2006+$B$1,'MT (Tradezilla)'!$AA$6,"")</f>
        <v/>
      </c>
      <c r="AO7" s="770">
        <f>IF('MT (Tradezilla)'!$Y$6&gt;2006+$B$1,'MT (Tradezilla)'!$Y$6,"")</f>
        <v/>
      </c>
      <c r="AP7" s="771" t="n"/>
      <c r="AQ7" s="158">
        <f>IF('SM (Dawsyn)'!$Y$6&gt;2006+$B$1,'SM (Dawsyn)'!$AA$6,"")</f>
        <v/>
      </c>
      <c r="AR7" s="770">
        <f>IF('SM (Dawsyn)'!$Y$6&gt;2006+$B$1,'SM (Dawsyn)'!$Y$6,"")</f>
        <v/>
      </c>
      <c r="AS7" s="771" t="n"/>
    </row>
    <row r="8" ht="11.25" customHeight="1" s="26">
      <c r="B8" s="766" t="n"/>
      <c r="C8" s="144" t="n"/>
      <c r="D8" s="767">
        <f>IF('AC (Dumpster Fires)'!$Y$9&gt;2006+$B$1,'AC (Dumpster Fires)'!$O$9,"")</f>
        <v/>
      </c>
      <c r="E8" s="768" t="n"/>
      <c r="F8" s="769" t="n"/>
      <c r="G8" s="767">
        <f>IF('AW (Minor)'!$Y$9&gt;2006+$B$1,'AW (Minor)'!$O$9,"")</f>
        <v/>
      </c>
      <c r="H8" s="768" t="n"/>
      <c r="I8" s="769" t="n"/>
      <c r="J8" s="767">
        <f>IF('BL (Brockasauras)'!$Y$9&gt;2006+$B$1,'BL (Brockasauras)'!$O$9,"")</f>
        <v/>
      </c>
      <c r="K8" s="768" t="n"/>
      <c r="L8" s="769" t="n"/>
      <c r="M8" s="767">
        <f>IF('CN (Nygaardians)'!$Y$9&gt;2006+$B$1,'CN (Nygaardians)'!$O$9,"")</f>
        <v/>
      </c>
      <c r="N8" s="768" t="n"/>
      <c r="O8" s="769" t="n"/>
      <c r="P8" s="767">
        <f>IF('CS (Shag Dawgs)'!$Y$9&gt;2006+$B$1,'CS (Shag Dawgs)'!$O$9,"")</f>
        <v/>
      </c>
      <c r="Q8" s="768" t="n"/>
      <c r="R8" s="769" t="n"/>
      <c r="S8" s="767">
        <f>IF('DC (Cliff Lee Was Here)'!$Y$9&gt;2006+$B$1,'DC (Cliff Lee Was Here)'!$O$9,"")</f>
        <v/>
      </c>
      <c r="T8" s="768" t="n"/>
      <c r="U8" s="769" t="n"/>
      <c r="V8" s="767">
        <f>IF('JM (JMoney)'!$Y$9&gt;2006+$B$1,'JM (JMoney)'!$O$9,"")</f>
        <v/>
      </c>
      <c r="W8" s="768" t="n"/>
      <c r="X8" s="769" t="n"/>
      <c r="Y8" s="767">
        <f>IF('JJ (metropolitans)'!$Y$9&gt;2006+$B$1,'JJ (metropolitans)'!$O$9,"")</f>
        <v/>
      </c>
      <c r="Z8" s="768" t="n"/>
      <c r="AA8" s="769" t="n"/>
      <c r="AB8" s="767">
        <f>IF('KJ (Stat Sandwich)'!$Y$9&gt;2006+$B$1,'KJ (Stat Sandwich)'!$O$9,"")</f>
        <v/>
      </c>
      <c r="AC8" s="768" t="n"/>
      <c r="AD8" s="769" t="n"/>
      <c r="AE8" s="767">
        <f>IF('EP (Winning De)'!$Y$9&gt;2006+$B$1,'EP (Winning De)'!$O$9,"")</f>
        <v/>
      </c>
      <c r="AF8" s="768" t="n"/>
      <c r="AG8" s="769" t="n"/>
      <c r="AH8" s="767">
        <f>IF('MB (Beckers Wreckers)'!$Y$9&gt;2006+$B$1,'MB (Beckers Wreckers)'!$O$9,"")</f>
        <v/>
      </c>
      <c r="AI8" s="768" t="n"/>
      <c r="AJ8" s="769" t="n"/>
      <c r="AK8" s="767">
        <f>IF('MH (sabermutrics)'!$Y$9&gt;2006+$B$1,'MH (sabermutrics)'!$O$9,"")</f>
        <v/>
      </c>
      <c r="AL8" s="768" t="n"/>
      <c r="AM8" s="769" t="n"/>
      <c r="AN8" s="767">
        <f>IF('MT (Tradezilla)'!$Y$9&gt;2006+$B$1,'MT (Tradezilla)'!$O$9,"")</f>
        <v/>
      </c>
      <c r="AO8" s="768" t="n"/>
      <c r="AP8" s="769" t="n"/>
      <c r="AQ8" s="767">
        <f>IF('SM (Dawsyn)'!$Y$9&gt;2006+$B$1,'SM (Dawsyn)'!$O$9,"")</f>
        <v/>
      </c>
      <c r="AR8" s="768" t="n"/>
      <c r="AS8" s="769" t="n"/>
    </row>
    <row r="9" ht="11.25" customHeight="1" s="26">
      <c r="B9" s="766" t="n"/>
      <c r="C9" s="144" t="n"/>
      <c r="D9" s="158">
        <f>IF('AC (Dumpster Fires)'!$Y$9&gt;2006+$B$1,'AC (Dumpster Fires)'!$AA$9,"")</f>
        <v/>
      </c>
      <c r="E9" s="770">
        <f>IF('AC (Dumpster Fires)'!$Y$9&gt;2006+$B$1,'AC (Dumpster Fires)'!$Y$9,"")</f>
        <v/>
      </c>
      <c r="F9" s="771" t="n"/>
      <c r="G9" s="158">
        <f>IF('AW (Minor)'!$Y$9&gt;2006+$B$1,'AW (Minor)'!$AA$9,"")</f>
        <v/>
      </c>
      <c r="H9" s="770">
        <f>IF('AW (Minor)'!$Y$9&gt;2006+$B$1,'AW (Minor)'!$Y$9,"")</f>
        <v/>
      </c>
      <c r="I9" s="771" t="n"/>
      <c r="J9" s="158">
        <f>IF('BL (Brockasauras)'!$Y$9&gt;2006+$B$1,'BL (Brockasauras)'!$AA$9,"")</f>
        <v/>
      </c>
      <c r="K9" s="770">
        <f>IF('BL (Brockasauras)'!$Y$9&gt;2006+$B$1,'BL (Brockasauras)'!$Y$9,"")</f>
        <v/>
      </c>
      <c r="L9" s="771" t="n"/>
      <c r="M9" s="158">
        <f>IF('CN (Nygaardians)'!$Y$9&gt;2006+$B$1,'CN (Nygaardians)'!$AA$9,"")</f>
        <v/>
      </c>
      <c r="N9" s="770">
        <f>IF('CN (Nygaardians)'!$Y$9&gt;2006+$B$1,'CN (Nygaardians)'!$Y$9,"")</f>
        <v/>
      </c>
      <c r="O9" s="771" t="n"/>
      <c r="P9" s="158">
        <f>IF('CS (Shag Dawgs)'!$Y$9&gt;2006+$B$1,'CS (Shag Dawgs)'!$AA$9,"")</f>
        <v/>
      </c>
      <c r="Q9" s="770">
        <f>IF('CS (Shag Dawgs)'!$Y$9&gt;2006+$B$1,'CS (Shag Dawgs)'!$Y$9,"")</f>
        <v/>
      </c>
      <c r="R9" s="771" t="n"/>
      <c r="S9" s="158">
        <f>IF('DC (Cliff Lee Was Here)'!$Y$9&gt;2006+$B$1,'DC (Cliff Lee Was Here)'!$AA$9,"")</f>
        <v/>
      </c>
      <c r="T9" s="770">
        <f>IF('DC (Cliff Lee Was Here)'!$Y$9&gt;2006+$B$1,'DC (Cliff Lee Was Here)'!$Y$9,"")</f>
        <v/>
      </c>
      <c r="U9" s="771" t="n"/>
      <c r="V9" s="158">
        <f>IF('JM (JMoney)'!$Y$9&gt;2006+$B$1,'JM (JMoney)'!$AA$9,"")</f>
        <v/>
      </c>
      <c r="W9" s="770">
        <f>IF('JM (JMoney)'!$Y$9&gt;2006+$B$1,'JM (JMoney)'!$Y$9,"")</f>
        <v/>
      </c>
      <c r="X9" s="771" t="n"/>
      <c r="Y9" s="158">
        <f>IF('JJ (metropolitans)'!$Y$9&gt;2006+$B$1,'JJ (metropolitans)'!$AA$9,"")</f>
        <v/>
      </c>
      <c r="Z9" s="770">
        <f>IF('JJ (metropolitans)'!$Y$9&gt;2006+$B$1,'JJ (metropolitans)'!$Y$9,"")</f>
        <v/>
      </c>
      <c r="AA9" s="771" t="n"/>
      <c r="AB9" s="158">
        <f>IF('KJ (Stat Sandwich)'!$Y$9&gt;2006+$B$1,'KJ (Stat Sandwich)'!$AA$9,"")</f>
        <v/>
      </c>
      <c r="AC9" s="770">
        <f>IF('KJ (Stat Sandwich)'!$Y$9&gt;2006+$B$1,'KJ (Stat Sandwich)'!$Y$9,"")</f>
        <v/>
      </c>
      <c r="AD9" s="771" t="n"/>
      <c r="AE9" s="158">
        <f>IF('EP (Winning De)'!$Y$9&gt;2006+$B$1,'EP (Winning De)'!$AA$9,"")</f>
        <v/>
      </c>
      <c r="AF9" s="770">
        <f>IF('EP (Winning De)'!$Y$9&gt;2006+$B$1,'EP (Winning De)'!$Y$9,"")</f>
        <v/>
      </c>
      <c r="AG9" s="771" t="n"/>
      <c r="AH9" s="158">
        <f>IF('MB (Beckers Wreckers)'!$Y$9&gt;2006+$B$1,'MB (Beckers Wreckers)'!$AA$9,"")</f>
        <v/>
      </c>
      <c r="AI9" s="770">
        <f>IF('MB (Beckers Wreckers)'!$Y$9&gt;2006+$B$1,'MB (Beckers Wreckers)'!$Y$9,"")</f>
        <v/>
      </c>
      <c r="AJ9" s="771" t="n"/>
      <c r="AK9" s="158">
        <f>IF('MH (sabermutrics)'!$Y$9&gt;2006+$B$1,'MH (sabermutrics)'!$AA$9,"")</f>
        <v/>
      </c>
      <c r="AL9" s="770">
        <f>IF('MH (sabermutrics)'!$Y$9&gt;2006+$B$1,'MH (sabermutrics)'!$Y$9,"")</f>
        <v/>
      </c>
      <c r="AM9" s="771" t="n"/>
      <c r="AN9" s="158">
        <f>IF('MT (Tradezilla)'!$Y$9&gt;2006+$B$1,'MT (Tradezilla)'!$AA$9,"")</f>
        <v/>
      </c>
      <c r="AO9" s="770">
        <f>IF('MT (Tradezilla)'!$Y$9&gt;2006+$B$1,'MT (Tradezilla)'!$Y$9,"")</f>
        <v/>
      </c>
      <c r="AP9" s="771" t="n"/>
      <c r="AQ9" s="158">
        <f>IF('SM (Dawsyn)'!$Y$9&gt;2006+$B$1,'SM (Dawsyn)'!$AA$9,"")</f>
        <v/>
      </c>
      <c r="AR9" s="770">
        <f>IF('SM (Dawsyn)'!$Y$9&gt;2006+$B$1,'SM (Dawsyn)'!$Y$9,"")</f>
        <v/>
      </c>
      <c r="AS9" s="771" t="n"/>
    </row>
    <row r="10" ht="11.25" customHeight="1" s="26">
      <c r="B10" s="766" t="n"/>
      <c r="C10" s="144" t="n"/>
      <c r="D10" s="767">
        <f>IF('AC (Dumpster Fires)'!$Y$12&gt;2006+$B$1,'AC (Dumpster Fires)'!$O$12,"")</f>
        <v/>
      </c>
      <c r="E10" s="768" t="n"/>
      <c r="F10" s="769" t="n"/>
      <c r="G10" s="767">
        <f>IF('AW (Minor)'!$Y$12&gt;2006+$B$1,'AW (Minor)'!$O$12,"")</f>
        <v/>
      </c>
      <c r="H10" s="768" t="n"/>
      <c r="I10" s="769" t="n"/>
      <c r="J10" s="767">
        <f>IF('BL (Brockasauras)'!$Y$12&gt;2006+$B$1,'BL (Brockasauras)'!$O$12,"")</f>
        <v/>
      </c>
      <c r="K10" s="768" t="n"/>
      <c r="L10" s="769" t="n"/>
      <c r="M10" s="767">
        <f>IF('CN (Nygaardians)'!$Y$12&gt;2006+$B$1,'CN (Nygaardians)'!$O$12,"")</f>
        <v/>
      </c>
      <c r="N10" s="768" t="n"/>
      <c r="O10" s="769" t="n"/>
      <c r="P10" s="767">
        <f>IF('CS (Shag Dawgs)'!$Y$12&gt;2006+$B$1,'CS (Shag Dawgs)'!$O$12,"")</f>
        <v/>
      </c>
      <c r="Q10" s="768" t="n"/>
      <c r="R10" s="769" t="n"/>
      <c r="S10" s="767">
        <f>IF('DC (Cliff Lee Was Here)'!$Y$12&gt;2006+$B$1,'DC (Cliff Lee Was Here)'!$O$12,"")</f>
        <v/>
      </c>
      <c r="T10" s="768" t="n"/>
      <c r="U10" s="769" t="n"/>
      <c r="V10" s="767">
        <f>IF('JM (JMoney)'!$Y$12&gt;2006+$B$1,'JM (JMoney)'!$O$12,"")</f>
        <v/>
      </c>
      <c r="W10" s="768" t="n"/>
      <c r="X10" s="769" t="n"/>
      <c r="Y10" s="767">
        <f>IF('JJ (metropolitans)'!$Y$12&gt;2006+$B$1,'JJ (metropolitans)'!$O$12,"")</f>
        <v/>
      </c>
      <c r="Z10" s="768" t="n"/>
      <c r="AA10" s="769" t="n"/>
      <c r="AB10" s="767">
        <f>IF('KJ (Stat Sandwich)'!$Y$12&gt;2006+$B$1,'KJ (Stat Sandwich)'!$O$12,"")</f>
        <v/>
      </c>
      <c r="AC10" s="768" t="n"/>
      <c r="AD10" s="769" t="n"/>
      <c r="AE10" s="767">
        <f>IF('EP (Winning De)'!$Y$12&gt;2006+$B$1,'EP (Winning De)'!$O$12,"")</f>
        <v/>
      </c>
      <c r="AF10" s="768" t="n"/>
      <c r="AG10" s="769" t="n"/>
      <c r="AH10" s="767">
        <f>IF('MB (Beckers Wreckers)'!$Y$12&gt;2006+$B$1,'MB (Beckers Wreckers)'!$O$12,"")</f>
        <v/>
      </c>
      <c r="AI10" s="768" t="n"/>
      <c r="AJ10" s="769" t="n"/>
      <c r="AK10" s="767">
        <f>IF('MH (sabermutrics)'!$Y$12&gt;2006+$B$1,'MH (sabermutrics)'!$O$12,"")</f>
        <v/>
      </c>
      <c r="AL10" s="768" t="n"/>
      <c r="AM10" s="769" t="n"/>
      <c r="AN10" s="767">
        <f>IF('MT (Tradezilla)'!$Y$12&gt;2006+$B$1,'MT (Tradezilla)'!$O$12,"")</f>
        <v/>
      </c>
      <c r="AO10" s="768" t="n"/>
      <c r="AP10" s="769" t="n"/>
      <c r="AQ10" s="767">
        <f>IF('SM (Dawsyn)'!$Y$12&gt;2006+$B$1,'SM (Dawsyn)'!$O$12,"")</f>
        <v/>
      </c>
      <c r="AR10" s="768" t="n"/>
      <c r="AS10" s="769" t="n"/>
    </row>
    <row r="11" ht="11.25" customHeight="1" s="26">
      <c r="B11" s="766" t="n"/>
      <c r="C11" s="144" t="n"/>
      <c r="D11" s="158">
        <f>IF('AC (Dumpster Fires)'!$Y$12&gt;2006+$B$1,'AC (Dumpster Fires)'!$AA$12,"")</f>
        <v/>
      </c>
      <c r="E11" s="770">
        <f>IF('AC (Dumpster Fires)'!$Y$12&gt;2006+$B$1,'AC (Dumpster Fires)'!$Y$12,"")</f>
        <v/>
      </c>
      <c r="F11" s="771" t="n"/>
      <c r="G11" s="158">
        <f>IF('AW (Minor)'!$Y$12&gt;2006+$B$1,'AW (Minor)'!$AA$12,"")</f>
        <v/>
      </c>
      <c r="H11" s="770">
        <f>IF('AW (Minor)'!$Y$12&gt;2006+$B$1,'AW (Minor)'!$Y$12,"")</f>
        <v/>
      </c>
      <c r="I11" s="771" t="n"/>
      <c r="J11" s="158">
        <f>IF('BL (Brockasauras)'!$Y$12&gt;2006+$B$1,'BL (Brockasauras)'!$AA$12,"")</f>
        <v/>
      </c>
      <c r="K11" s="770">
        <f>IF('BL (Brockasauras)'!$Y$12&gt;2006+$B$1,'BL (Brockasauras)'!$Y$12,"")</f>
        <v/>
      </c>
      <c r="L11" s="771" t="n"/>
      <c r="M11" s="158">
        <f>IF('CN (Nygaardians)'!$Y$12&gt;2006+$B$1,'CN (Nygaardians)'!$AA$12,"")</f>
        <v/>
      </c>
      <c r="N11" s="770">
        <f>IF('CN (Nygaardians)'!$Y$12&gt;2006+$B$1,'CN (Nygaardians)'!$Y$12,"")</f>
        <v/>
      </c>
      <c r="O11" s="771" t="n"/>
      <c r="P11" s="158">
        <f>IF('CS (Shag Dawgs)'!$Y$12&gt;2006+$B$1,'CS (Shag Dawgs)'!$AA$12,"")</f>
        <v/>
      </c>
      <c r="Q11" s="770">
        <f>IF('CS (Shag Dawgs)'!$Y$12&gt;2006+$B$1,'CS (Shag Dawgs)'!$Y$12,"")</f>
        <v/>
      </c>
      <c r="R11" s="771" t="n"/>
      <c r="S11" s="158">
        <f>IF('DC (Cliff Lee Was Here)'!$Y$12&gt;2006+$B$1,'DC (Cliff Lee Was Here)'!$AA$12,"")</f>
        <v/>
      </c>
      <c r="T11" s="770">
        <f>IF('DC (Cliff Lee Was Here)'!$Y$12&gt;2006+$B$1,'DC (Cliff Lee Was Here)'!$Y$12,"")</f>
        <v/>
      </c>
      <c r="U11" s="771" t="n"/>
      <c r="V11" s="158">
        <f>IF('JM (JMoney)'!$Y$12&gt;2006+$B$1,'JM (JMoney)'!$AA$12,"")</f>
        <v/>
      </c>
      <c r="W11" s="770">
        <f>IF('JM (JMoney)'!$Y$12&gt;2006+$B$1,'JM (JMoney)'!$Y$12,"")</f>
        <v/>
      </c>
      <c r="X11" s="771" t="n"/>
      <c r="Y11" s="158">
        <f>IF('JJ (metropolitans)'!$Y$12&gt;2006+$B$1,'JJ (metropolitans)'!$AA$12,"")</f>
        <v/>
      </c>
      <c r="Z11" s="770">
        <f>IF('JJ (metropolitans)'!$Y$12&gt;2006+$B$1,'JJ (metropolitans)'!$Y$12,"")</f>
        <v/>
      </c>
      <c r="AA11" s="771" t="n"/>
      <c r="AB11" s="158">
        <f>IF('KJ (Stat Sandwich)'!$Y$12&gt;2006+$B$1,'KJ (Stat Sandwich)'!$AA$12,"")</f>
        <v/>
      </c>
      <c r="AC11" s="770">
        <f>IF('KJ (Stat Sandwich)'!$Y$12&gt;2006+$B$1,'KJ (Stat Sandwich)'!$Y$12,"")</f>
        <v/>
      </c>
      <c r="AD11" s="771" t="n"/>
      <c r="AE11" s="158">
        <f>IF('EP (Winning De)'!$Y$12&gt;2006+$B$1,'EP (Winning De)'!$AA$12,"")</f>
        <v/>
      </c>
      <c r="AF11" s="770">
        <f>IF('EP (Winning De)'!$Y$12&gt;2006+$B$1,'EP (Winning De)'!$Y$12,"")</f>
        <v/>
      </c>
      <c r="AG11" s="771" t="n"/>
      <c r="AH11" s="158">
        <f>IF('MB (Beckers Wreckers)'!$Y$12&gt;2006+$B$1,'MB (Beckers Wreckers)'!$AA$12,"")</f>
        <v/>
      </c>
      <c r="AI11" s="770">
        <f>IF('MB (Beckers Wreckers)'!$Y$12&gt;2006+$B$1,'MB (Beckers Wreckers)'!$Y$12,"")</f>
        <v/>
      </c>
      <c r="AJ11" s="771" t="n"/>
      <c r="AK11" s="158">
        <f>IF('MH (sabermutrics)'!$Y$12&gt;2006+$B$1,'MH (sabermutrics)'!$AA$12,"")</f>
        <v/>
      </c>
      <c r="AL11" s="770">
        <f>IF('MH (sabermutrics)'!$Y$12&gt;2006+$B$1,'MH (sabermutrics)'!$Y$12,"")</f>
        <v/>
      </c>
      <c r="AM11" s="771" t="n"/>
      <c r="AN11" s="158">
        <f>IF('MT (Tradezilla)'!$Y$12&gt;2006+$B$1,'MT (Tradezilla)'!$AA$12,"")</f>
        <v/>
      </c>
      <c r="AO11" s="770">
        <f>IF('MT (Tradezilla)'!$Y$12&gt;2006+$B$1,'MT (Tradezilla)'!$Y$12,"")</f>
        <v/>
      </c>
      <c r="AP11" s="771" t="n"/>
      <c r="AQ11" s="158">
        <f>IF('SM (Dawsyn)'!$Y$12&gt;2006+$B$1,'SM (Dawsyn)'!$AA$12,"")</f>
        <v/>
      </c>
      <c r="AR11" s="770">
        <f>IF('SM (Dawsyn)'!$Y$12&gt;2006+$B$1,'SM (Dawsyn)'!$Y$12,"")</f>
        <v/>
      </c>
      <c r="AS11" s="771" t="n"/>
    </row>
    <row r="12" ht="11.25" customHeight="1" s="26">
      <c r="B12" s="766" t="n"/>
      <c r="C12" s="144" t="n"/>
      <c r="D12" s="767">
        <f>IF('AC (Dumpster Fires)'!$Y$15&gt;2006+$B$1,'AC (Dumpster Fires)'!$O$15,"")</f>
        <v/>
      </c>
      <c r="E12" s="768" t="n"/>
      <c r="F12" s="769" t="n"/>
      <c r="G12" s="767">
        <f>IF('AW (Minor)'!$Y$15&gt;2006+$B$1,'AW (Minor)'!$O$15,"")</f>
        <v/>
      </c>
      <c r="H12" s="768" t="n"/>
      <c r="I12" s="769" t="n"/>
      <c r="J12" s="767">
        <f>IF('BL (Brockasauras)'!$Y$15&gt;2006+$B$1,'BL (Brockasauras)'!$O$15,"")</f>
        <v/>
      </c>
      <c r="K12" s="768" t="n"/>
      <c r="L12" s="769" t="n"/>
      <c r="M12" s="767">
        <f>IF('CN (Nygaardians)'!$Y$12&gt;2006+$B$1,'CN (Nygaardians)'!$O$15,"")</f>
        <v/>
      </c>
      <c r="N12" s="768" t="n"/>
      <c r="O12" s="769" t="n"/>
      <c r="P12" s="767">
        <f>IF('CS (Shag Dawgs)'!$Y$15&gt;2006+$B$1,'CS (Shag Dawgs)'!$O$15,"")</f>
        <v/>
      </c>
      <c r="Q12" s="768" t="n"/>
      <c r="R12" s="769" t="n"/>
      <c r="S12" s="767">
        <f>IF('DC (Cliff Lee Was Here)'!$Y$15&gt;2006+$B$1,'DC (Cliff Lee Was Here)'!$O$15,"")</f>
        <v/>
      </c>
      <c r="T12" s="768" t="n"/>
      <c r="U12" s="769" t="n"/>
      <c r="V12" s="767">
        <f>IF('JM (JMoney)'!$Y$15&gt;2006+$B$1,'JM (JMoney)'!$O$15,"")</f>
        <v/>
      </c>
      <c r="W12" s="768" t="n"/>
      <c r="X12" s="769" t="n"/>
      <c r="Y12" s="767">
        <f>IF('JJ (metropolitans)'!$Y$15&gt;2006+$B$1,'JJ (metropolitans)'!$O$15,"")</f>
        <v/>
      </c>
      <c r="Z12" s="768" t="n"/>
      <c r="AA12" s="769" t="n"/>
      <c r="AB12" s="767">
        <f>IF('KJ (Stat Sandwich)'!$Y$15&gt;2006+$B$1,'KJ (Stat Sandwich)'!$O$15,"")</f>
        <v/>
      </c>
      <c r="AC12" s="768" t="n"/>
      <c r="AD12" s="769" t="n"/>
      <c r="AE12" s="767">
        <f>IF('EP (Winning De)'!$Y$15&gt;2006+$B$1,'EP (Winning De)'!$O$15,"")</f>
        <v/>
      </c>
      <c r="AF12" s="768" t="n"/>
      <c r="AG12" s="769" t="n"/>
      <c r="AH12" s="767">
        <f>IF('MB (Beckers Wreckers)'!$Y$15&gt;2006+$B$1,'MB (Beckers Wreckers)'!$O$15,"")</f>
        <v/>
      </c>
      <c r="AI12" s="768" t="n"/>
      <c r="AJ12" s="769" t="n"/>
      <c r="AK12" s="767">
        <f>IF('MH (sabermutrics)'!$Y$15&gt;2006+$B$1,'MH (sabermutrics)'!$O$15,"")</f>
        <v/>
      </c>
      <c r="AL12" s="768" t="n"/>
      <c r="AM12" s="769" t="n"/>
      <c r="AN12" s="767">
        <f>IF('MT (Tradezilla)'!$Y$15&gt;2006+$B$1,'MT (Tradezilla)'!$O$15,"")</f>
        <v/>
      </c>
      <c r="AO12" s="768" t="n"/>
      <c r="AP12" s="769" t="n"/>
      <c r="AQ12" s="767">
        <f>IF('SM (Dawsyn)'!$Y$15&gt;2006+$B$1,'SM (Dawsyn)'!$O$15,"")</f>
        <v/>
      </c>
      <c r="AR12" s="768" t="n"/>
      <c r="AS12" s="769" t="n"/>
    </row>
    <row r="13" ht="11.25" customHeight="1" s="26">
      <c r="B13" s="766" t="n"/>
      <c r="C13" s="144" t="n"/>
      <c r="D13" s="158">
        <f>IF('AC (Dumpster Fires)'!$Y$15&gt;2006+$B$1,'AC (Dumpster Fires)'!$AA$15,"")</f>
        <v/>
      </c>
      <c r="E13" s="770">
        <f>IF('AC (Dumpster Fires)'!$Y$15&gt;2006+$B$1,'AC (Dumpster Fires)'!$Y$15,"")</f>
        <v/>
      </c>
      <c r="F13" s="771" t="n"/>
      <c r="G13" s="158">
        <f>IF('AW (Minor)'!$Y$15&gt;2006+$B$1,'AW (Minor)'!$AA$15,"")</f>
        <v/>
      </c>
      <c r="H13" s="770">
        <f>IF('AW (Minor)'!$Y$15&gt;2006+$B$1,'AW (Minor)'!$Y$15,"")</f>
        <v/>
      </c>
      <c r="I13" s="771" t="n"/>
      <c r="J13" s="158">
        <f>IF('BL (Brockasauras)'!$Y$15&gt;2006+$B$1,'BL (Brockasauras)'!$AA$15,"")</f>
        <v/>
      </c>
      <c r="K13" s="770">
        <f>IF('BL (Brockasauras)'!$Y$15&gt;2006+$B$1,'BL (Brockasauras)'!$Y$15,"")</f>
        <v/>
      </c>
      <c r="L13" s="771" t="n"/>
      <c r="M13" s="158">
        <f>IF('CN (Nygaardians)'!$Y$15&gt;2006+$B$1,'CN (Nygaardians)'!$AA$15,"")</f>
        <v/>
      </c>
      <c r="N13" s="770">
        <f>IF('CN (Nygaardians)'!$Y$15&gt;2006+$B$1,'CN (Nygaardians)'!$Y$15,"")</f>
        <v/>
      </c>
      <c r="O13" s="771" t="n"/>
      <c r="P13" s="158">
        <f>IF('CS (Shag Dawgs)'!$Y$15&gt;2006+$B$1,'CS (Shag Dawgs)'!$AA$15,"")</f>
        <v/>
      </c>
      <c r="Q13" s="770">
        <f>IF('CS (Shag Dawgs)'!$Y$15&gt;2006+$B$1,'CS (Shag Dawgs)'!$Y$15,"")</f>
        <v/>
      </c>
      <c r="R13" s="771" t="n"/>
      <c r="S13" s="158">
        <f>IF('DC (Cliff Lee Was Here)'!$Y$15&gt;2006+$B$1,'DC (Cliff Lee Was Here)'!$AA$15,"")</f>
        <v/>
      </c>
      <c r="T13" s="770">
        <f>IF('DC (Cliff Lee Was Here)'!$Y$15&gt;2006+$B$1,'DC (Cliff Lee Was Here)'!$Y$15,"")</f>
        <v/>
      </c>
      <c r="U13" s="771" t="n"/>
      <c r="V13" s="158">
        <f>IF('JM (JMoney)'!$Y$15&gt;2006+$B$1,'JM (JMoney)'!$AA$15,"")</f>
        <v/>
      </c>
      <c r="W13" s="770">
        <f>IF('JM (JMoney)'!$Y$15&gt;2006+$B$1,'JM (JMoney)'!$Y$15,"")</f>
        <v/>
      </c>
      <c r="X13" s="771" t="n"/>
      <c r="Y13" s="158">
        <f>IF('JJ (metropolitans)'!$Y$15&gt;2006+$B$1,'JJ (metropolitans)'!$AA$15,"")</f>
        <v/>
      </c>
      <c r="Z13" s="770">
        <f>IF('JJ (metropolitans)'!$Y$15&gt;2006+$B$1,'JJ (metropolitans)'!$Y$15,"")</f>
        <v/>
      </c>
      <c r="AA13" s="771" t="n"/>
      <c r="AB13" s="158">
        <f>IF('KJ (Stat Sandwich)'!$Y$15&gt;2006+$B$1,'KJ (Stat Sandwich)'!$AA$15,"")</f>
        <v/>
      </c>
      <c r="AC13" s="770">
        <f>IF('KJ (Stat Sandwich)'!$Y$15&gt;2006+$B$1,'KJ (Stat Sandwich)'!$Y$15,"")</f>
        <v/>
      </c>
      <c r="AD13" s="771" t="n"/>
      <c r="AE13" s="158">
        <f>IF('EP (Winning De)'!$Y$15&gt;2006+$B$1,'EP (Winning De)'!$AA$15,"")</f>
        <v/>
      </c>
      <c r="AF13" s="770">
        <f>IF('EP (Winning De)'!$Y$15&gt;2006+$B$1,'EP (Winning De)'!$Y$15,"")</f>
        <v/>
      </c>
      <c r="AG13" s="771" t="n"/>
      <c r="AH13" s="158">
        <f>IF('MB (Beckers Wreckers)'!$Y$15&gt;2006+$B$1,'MB (Beckers Wreckers)'!$AA$15,"")</f>
        <v/>
      </c>
      <c r="AI13" s="770">
        <f>IF('MB (Beckers Wreckers)'!$Y$15&gt;2006+$B$1,'MB (Beckers Wreckers)'!$Y$15,"")</f>
        <v/>
      </c>
      <c r="AJ13" s="771" t="n"/>
      <c r="AK13" s="158">
        <f>IF('MH (sabermutrics)'!$Y$15&gt;2006+$B$1,'MH (sabermutrics)'!$AA$15,"")</f>
        <v/>
      </c>
      <c r="AL13" s="770">
        <f>IF('MH (sabermutrics)'!$Y$15&gt;2006+$B$1,'MH (sabermutrics)'!$Y$15,"")</f>
        <v/>
      </c>
      <c r="AM13" s="771" t="n"/>
      <c r="AN13" s="158">
        <f>IF('MT (Tradezilla)'!$Y$15&gt;2006+$B$1,'MT (Tradezilla)'!$AA$15,"")</f>
        <v/>
      </c>
      <c r="AO13" s="770">
        <f>IF('MT (Tradezilla)'!$Y$15&gt;2006+$B$1,'MT (Tradezilla)'!$Y$15,"")</f>
        <v/>
      </c>
      <c r="AP13" s="771" t="n"/>
      <c r="AQ13" s="158">
        <f>IF('SM (Dawsyn)'!$Y$15&gt;2006+$B$1,'SM (Dawsyn)'!$AA$15,"")</f>
        <v/>
      </c>
      <c r="AR13" s="770">
        <f>IF('SM (Dawsyn)'!$Y$15&gt;2006+$B$1,'SM (Dawsyn)'!$Y$15,"")</f>
        <v/>
      </c>
      <c r="AS13" s="771" t="n"/>
    </row>
    <row r="14" ht="11.25" customHeight="1" s="26">
      <c r="B14" s="766" t="n"/>
      <c r="C14" s="144" t="n"/>
      <c r="D14" s="767">
        <f>IF('AC (Dumpster Fires)'!$Y$18&gt;2006+$B$1,'AC (Dumpster Fires)'!$O$18,"")</f>
        <v/>
      </c>
      <c r="E14" s="768" t="n"/>
      <c r="F14" s="769" t="n"/>
      <c r="G14" s="767">
        <f>IF('AW (Minor)'!$Y$18&gt;2006+$B$1,'AW (Minor)'!$O$18,"")</f>
        <v/>
      </c>
      <c r="H14" s="768" t="n"/>
      <c r="I14" s="769" t="n"/>
      <c r="J14" s="767">
        <f>IF('BL (Brockasauras)'!$Y$18&gt;2006+$B$1,'BL (Brockasauras)'!$O$18,"")</f>
        <v/>
      </c>
      <c r="K14" s="768" t="n"/>
      <c r="L14" s="769" t="n"/>
      <c r="M14" s="767">
        <f>IF('CN (Nygaardians)'!$Y$18&gt;2006+$B$1,'CN (Nygaardians)'!$O$18,"")</f>
        <v/>
      </c>
      <c r="N14" s="768" t="n"/>
      <c r="O14" s="769" t="n"/>
      <c r="P14" s="767">
        <f>IF('CS (Shag Dawgs)'!$Y$18&gt;2006+$B$1,'CS (Shag Dawgs)'!$O$18,"")</f>
        <v/>
      </c>
      <c r="Q14" s="768" t="n"/>
      <c r="R14" s="769" t="n"/>
      <c r="S14" s="767">
        <f>IF('DC (Cliff Lee Was Here)'!$Y$18&gt;2006+$B$1,'DC (Cliff Lee Was Here)'!$O$18,"")</f>
        <v/>
      </c>
      <c r="T14" s="768" t="n"/>
      <c r="U14" s="769" t="n"/>
      <c r="V14" s="767">
        <f>IF('JM (JMoney)'!$Y$18&gt;2006+$B$1,'JM (JMoney)'!$O$18,"")</f>
        <v/>
      </c>
      <c r="W14" s="768" t="n"/>
      <c r="X14" s="769" t="n"/>
      <c r="Y14" s="767">
        <f>IF('JJ (metropolitans)'!$Y$18&gt;2006+$B$1,'JJ (metropolitans)'!$O$18,"")</f>
        <v/>
      </c>
      <c r="Z14" s="768" t="n"/>
      <c r="AA14" s="769" t="n"/>
      <c r="AB14" s="767">
        <f>IF('KJ (Stat Sandwich)'!$Y$18&gt;2006+$B$1,'KJ (Stat Sandwich)'!$O$18,"")</f>
        <v/>
      </c>
      <c r="AC14" s="768" t="n"/>
      <c r="AD14" s="769" t="n"/>
      <c r="AE14" s="767">
        <f>IF('EP (Winning De)'!$Y$18&gt;2006+$B$1,'EP (Winning De)'!$O$18,"")</f>
        <v/>
      </c>
      <c r="AF14" s="768" t="n"/>
      <c r="AG14" s="769" t="n"/>
      <c r="AH14" s="767">
        <f>IF('MB (Beckers Wreckers)'!$Y$18&gt;2006+$B$1,'MB (Beckers Wreckers)'!$O$18,"")</f>
        <v/>
      </c>
      <c r="AI14" s="768" t="n"/>
      <c r="AJ14" s="769" t="n"/>
      <c r="AK14" s="767">
        <f>IF('MH (sabermutrics)'!$Y$18&gt;2006+$B$1,'MH (sabermutrics)'!$O$18,"")</f>
        <v/>
      </c>
      <c r="AL14" s="768" t="n"/>
      <c r="AM14" s="769" t="n"/>
      <c r="AN14" s="767">
        <f>IF('MT (Tradezilla)'!$Y$18&gt;2006+$B$1,'MT (Tradezilla)'!$O$18,"")</f>
        <v/>
      </c>
      <c r="AO14" s="768" t="n"/>
      <c r="AP14" s="769" t="n"/>
      <c r="AQ14" s="767">
        <f>IF('SM (Dawsyn)'!$Y$18&gt;2006+$B$1,'SM (Dawsyn)'!$O$18,"")</f>
        <v/>
      </c>
      <c r="AR14" s="768" t="n"/>
      <c r="AS14" s="769" t="n"/>
    </row>
    <row r="15" ht="11.25" customHeight="1" s="26">
      <c r="B15" s="766" t="n"/>
      <c r="C15" s="144" t="n"/>
      <c r="D15" s="158">
        <f>IF('AC (Dumpster Fires)'!$Y$18&gt;2006+$B$1,'AC (Dumpster Fires)'!$AA$18,"")</f>
        <v/>
      </c>
      <c r="E15" s="770">
        <f>IF('AC (Dumpster Fires)'!$Y$18&gt;2006+$B$1,'AC (Dumpster Fires)'!$Y$18,"")</f>
        <v/>
      </c>
      <c r="F15" s="771" t="n"/>
      <c r="G15" s="158">
        <f>IF('AW (Minor)'!$Y$18&gt;2006+$B$1,'AW (Minor)'!$AA$18,"")</f>
        <v/>
      </c>
      <c r="H15" s="770">
        <f>IF('AW (Minor)'!$Y$18&gt;2006+$B$1,'AW (Minor)'!$Y$18,"")</f>
        <v/>
      </c>
      <c r="I15" s="771" t="n"/>
      <c r="J15" s="158">
        <f>IF('BL (Brockasauras)'!$Y$18&gt;2006+$B$1,'BL (Brockasauras)'!$AA$18,"")</f>
        <v/>
      </c>
      <c r="K15" s="770">
        <f>IF('BL (Brockasauras)'!$Y$18&gt;2006+$B$1,'BL (Brockasauras)'!$Y$18,"")</f>
        <v/>
      </c>
      <c r="L15" s="771" t="n"/>
      <c r="M15" s="158">
        <f>IF('CN (Nygaardians)'!$Y$18&gt;2006+$B$1,'CN (Nygaardians)'!$AA$18,"")</f>
        <v/>
      </c>
      <c r="N15" s="770">
        <f>IF('CN (Nygaardians)'!$Y$18&gt;2006+$B$1,'CN (Nygaardians)'!$Y$18,"")</f>
        <v/>
      </c>
      <c r="O15" s="771" t="n"/>
      <c r="P15" s="158">
        <f>IF('CS (Shag Dawgs)'!$Y$18&gt;2006+$B$1,'CS (Shag Dawgs)'!$AA$18,"")</f>
        <v/>
      </c>
      <c r="Q15" s="770">
        <f>IF('CS (Shag Dawgs)'!$Y$18&gt;2006+$B$1,'CS (Shag Dawgs)'!$Y$18,"")</f>
        <v/>
      </c>
      <c r="R15" s="771" t="n"/>
      <c r="S15" s="158">
        <f>IF('DC (Cliff Lee Was Here)'!$Y$18&gt;2006+$B$1,'DC (Cliff Lee Was Here)'!$AA$18,"")</f>
        <v/>
      </c>
      <c r="T15" s="770">
        <f>IF('DC (Cliff Lee Was Here)'!$Y$18&gt;2006+$B$1,'DC (Cliff Lee Was Here)'!$Y$18,"")</f>
        <v/>
      </c>
      <c r="U15" s="771" t="n"/>
      <c r="V15" s="158">
        <f>IF('JM (JMoney)'!$Y$18&gt;2006+$B$1,'JM (JMoney)'!$AA$18,"")</f>
        <v/>
      </c>
      <c r="W15" s="770">
        <f>IF('JM (JMoney)'!$Y$18&gt;2006+$B$1,'JM (JMoney)'!$Y$18,"")</f>
        <v/>
      </c>
      <c r="X15" s="771" t="n"/>
      <c r="Y15" s="158">
        <f>IF('JJ (metropolitans)'!$Y$18&gt;2006+$B$1,'JJ (metropolitans)'!$AA$18,"")</f>
        <v/>
      </c>
      <c r="Z15" s="770">
        <f>IF('JJ (metropolitans)'!$Y$18&gt;2006+$B$1,'JJ (metropolitans)'!$Y$18,"")</f>
        <v/>
      </c>
      <c r="AA15" s="771" t="n"/>
      <c r="AB15" s="158">
        <f>IF('KJ (Stat Sandwich)'!$Y$18&gt;2006+$B$1,'KJ (Stat Sandwich)'!$AA$18,"")</f>
        <v/>
      </c>
      <c r="AC15" s="770">
        <f>IF('KJ (Stat Sandwich)'!$Y$18&gt;2006+$B$1,'KJ (Stat Sandwich)'!$Y$18,"")</f>
        <v/>
      </c>
      <c r="AD15" s="771" t="n"/>
      <c r="AE15" s="158">
        <f>IF('EP (Winning De)'!$Y$18&gt;2006+$B$1,'EP (Winning De)'!$AA$18,"")</f>
        <v/>
      </c>
      <c r="AF15" s="770">
        <f>IF('EP (Winning De)'!$Y$18&gt;2006+$B$1,'EP (Winning De)'!$Y$18,"")</f>
        <v/>
      </c>
      <c r="AG15" s="771" t="n"/>
      <c r="AH15" s="158">
        <f>IF('MB (Beckers Wreckers)'!$Y$18&gt;2006+$B$1,'MB (Beckers Wreckers)'!$AA$18,"")</f>
        <v/>
      </c>
      <c r="AI15" s="770">
        <f>IF('MB (Beckers Wreckers)'!$Y$18&gt;2006+$B$1,'MB (Beckers Wreckers)'!$Y$18,"")</f>
        <v/>
      </c>
      <c r="AJ15" s="771" t="n"/>
      <c r="AK15" s="158">
        <f>IF('MH (sabermutrics)'!$Y$18&gt;2006+$B$1,'MH (sabermutrics)'!$AA$18,"")</f>
        <v/>
      </c>
      <c r="AL15" s="770">
        <f>IF('MH (sabermutrics)'!$Y$18&gt;2006+$B$1,'MH (sabermutrics)'!$Y$18,"")</f>
        <v/>
      </c>
      <c r="AM15" s="771" t="n"/>
      <c r="AN15" s="158">
        <f>IF('MT (Tradezilla)'!$Y$18&gt;2006+$B$1,'MT (Tradezilla)'!$AA$18,"")</f>
        <v/>
      </c>
      <c r="AO15" s="770">
        <f>IF('MT (Tradezilla)'!$Y$18&gt;2006+$B$1,'MT (Tradezilla)'!$Y$18,"")</f>
        <v/>
      </c>
      <c r="AP15" s="771" t="n"/>
      <c r="AQ15" s="158">
        <f>IF('SM (Dawsyn)'!$Y$18&gt;2006+$B$1,'SM (Dawsyn)'!$AA$18,"")</f>
        <v/>
      </c>
      <c r="AR15" s="770">
        <f>IF('SM (Dawsyn)'!$Y$18&gt;2006+$B$1,'SM (Dawsyn)'!$Y$18,"")</f>
        <v/>
      </c>
      <c r="AS15" s="771" t="n"/>
    </row>
    <row r="16" ht="11.25" customHeight="1" s="26">
      <c r="B16" s="766" t="n"/>
      <c r="C16" s="144" t="n"/>
      <c r="D16" s="767">
        <f>IF('AC (Dumpster Fires)'!$Y$21&gt;2006+$B$1,'AC (Dumpster Fires)'!$O$21,"")</f>
        <v/>
      </c>
      <c r="E16" s="768" t="n"/>
      <c r="F16" s="769" t="n"/>
      <c r="G16" s="767">
        <f>IF('AW (Minor)'!$Y$21&gt;2006+$B$1,'AW (Minor)'!$O$21,"")</f>
        <v/>
      </c>
      <c r="H16" s="768" t="n"/>
      <c r="I16" s="769" t="n"/>
      <c r="J16" s="767">
        <f>IF('BL (Brockasauras)'!$Y$21&gt;2006+$B$1,'BL (Brockasauras)'!$O$21,"")</f>
        <v/>
      </c>
      <c r="K16" s="768" t="n"/>
      <c r="L16" s="769" t="n"/>
      <c r="M16" s="767">
        <f>IF('CN (Nygaardians)'!$Y$21&gt;2006+$B$1,'CN (Nygaardians)'!$O$21,"")</f>
        <v/>
      </c>
      <c r="N16" s="768" t="n"/>
      <c r="O16" s="769" t="n"/>
      <c r="P16" s="767">
        <f>IF('CS (Shag Dawgs)'!$Y$21&gt;2006+$B$1,'CS (Shag Dawgs)'!$O$21,"")</f>
        <v/>
      </c>
      <c r="Q16" s="768" t="n"/>
      <c r="R16" s="769" t="n"/>
      <c r="S16" s="767">
        <f>IF('DC (Cliff Lee Was Here)'!$Y$21&gt;2006+$B$1,'DC (Cliff Lee Was Here)'!$O$21,"")</f>
        <v/>
      </c>
      <c r="T16" s="768" t="n"/>
      <c r="U16" s="769" t="n"/>
      <c r="V16" s="767">
        <f>IF('JM (JMoney)'!$Y$21&gt;2006+$B$1,'JM (JMoney)'!$O$21,"")</f>
        <v/>
      </c>
      <c r="W16" s="768" t="n"/>
      <c r="X16" s="769" t="n"/>
      <c r="Y16" s="767">
        <f>IF('JJ (metropolitans)'!$Y$21&gt;2006+$B$1,'JJ (metropolitans)'!$O$21,"")</f>
        <v/>
      </c>
      <c r="Z16" s="768" t="n"/>
      <c r="AA16" s="769" t="n"/>
      <c r="AB16" s="767">
        <f>IF('KJ (Stat Sandwich)'!$Y$21&gt;2006+$B$1,'KJ (Stat Sandwich)'!$O$21,"")</f>
        <v/>
      </c>
      <c r="AC16" s="768" t="n"/>
      <c r="AD16" s="769" t="n"/>
      <c r="AE16" s="767">
        <f>IF('EP (Winning De)'!$Y$21&gt;2006+$B$1,'EP (Winning De)'!$O$21,"")</f>
        <v/>
      </c>
      <c r="AF16" s="768" t="n"/>
      <c r="AG16" s="769" t="n"/>
      <c r="AH16" s="767">
        <f>IF('MB (Beckers Wreckers)'!$Y$21&gt;2006+$B$1,'MB (Beckers Wreckers)'!$O$21,"")</f>
        <v/>
      </c>
      <c r="AI16" s="768" t="n"/>
      <c r="AJ16" s="769" t="n"/>
      <c r="AK16" s="767">
        <f>IF('MH (sabermutrics)'!$Y$21&gt;2006+$B$1,'MH (sabermutrics)'!$O$21,"")</f>
        <v/>
      </c>
      <c r="AL16" s="768" t="n"/>
      <c r="AM16" s="769" t="n"/>
      <c r="AN16" s="767">
        <f>IF('MT (Tradezilla)'!$Y$21&gt;2006+$B$1,'MT (Tradezilla)'!$O$21,"")</f>
        <v/>
      </c>
      <c r="AO16" s="768" t="n"/>
      <c r="AP16" s="769" t="n"/>
      <c r="AQ16" s="767">
        <f>IF('SM (Dawsyn)'!$Y$21&gt;2006+$B$1,'SM (Dawsyn)'!$O$21,"")</f>
        <v/>
      </c>
      <c r="AR16" s="768" t="n"/>
      <c r="AS16" s="769" t="n"/>
    </row>
    <row r="17" ht="11.25" customHeight="1" s="26">
      <c r="B17" s="766" t="n"/>
      <c r="C17" s="144" t="n"/>
      <c r="D17" s="158">
        <f>IF('AC (Dumpster Fires)'!$Y$21&gt;2006+$B$1,'AC (Dumpster Fires)'!$AA$21,"")</f>
        <v/>
      </c>
      <c r="E17" s="770">
        <f>IF('AC (Dumpster Fires)'!$Y$21&gt;2006+$B$1,'AC (Dumpster Fires)'!$Y$21,"")</f>
        <v/>
      </c>
      <c r="F17" s="771" t="n"/>
      <c r="G17" s="158">
        <f>IF('AW (Minor)'!$Y$21&gt;2006+$B$1,'AW (Minor)'!$AA$21,"")</f>
        <v/>
      </c>
      <c r="H17" s="770">
        <f>IF('AW (Minor)'!$Y$21&gt;2006+$B$1,'AW (Minor)'!$Y$21,"")</f>
        <v/>
      </c>
      <c r="I17" s="771" t="n"/>
      <c r="J17" s="158">
        <f>IF('BL (Brockasauras)'!$Y$21&gt;2006+$B$1,'BL (Brockasauras)'!$AA$21,"")</f>
        <v/>
      </c>
      <c r="K17" s="770">
        <f>IF('BL (Brockasauras)'!$Y$21&gt;2006+$B$1,'BL (Brockasauras)'!$Y$21,"")</f>
        <v/>
      </c>
      <c r="L17" s="771" t="n"/>
      <c r="M17" s="158">
        <f>IF('CN (Nygaardians)'!$Y$21&gt;2006+$B$1,'CN (Nygaardians)'!$AA$21,"")</f>
        <v/>
      </c>
      <c r="N17" s="770">
        <f>IF('CN (Nygaardians)'!$Y$21&gt;2006+$B$1,'CN (Nygaardians)'!$Y$21,"")</f>
        <v/>
      </c>
      <c r="O17" s="771" t="n"/>
      <c r="P17" s="158">
        <f>IF('CS (Shag Dawgs)'!$Y$21&gt;2006+$B$1,'CS (Shag Dawgs)'!$AA$21,"")</f>
        <v/>
      </c>
      <c r="Q17" s="770">
        <f>IF('CS (Shag Dawgs)'!$Y$21&gt;2006+$B$1,'CS (Shag Dawgs)'!$Y$21,"")</f>
        <v/>
      </c>
      <c r="R17" s="771" t="n"/>
      <c r="S17" s="158">
        <f>IF('DC (Cliff Lee Was Here)'!$Y$21&gt;2006+$B$1,'DC (Cliff Lee Was Here)'!$AA$21,"")</f>
        <v/>
      </c>
      <c r="T17" s="770">
        <f>IF('DC (Cliff Lee Was Here)'!$Y$21&gt;2006+$B$1,'DC (Cliff Lee Was Here)'!$Y$21,"")</f>
        <v/>
      </c>
      <c r="U17" s="771" t="n"/>
      <c r="V17" s="158">
        <f>IF('JM (JMoney)'!$Y$21&gt;2006+$B$1,'JM (JMoney)'!$AA$21,"")</f>
        <v/>
      </c>
      <c r="W17" s="770">
        <f>IF('JM (JMoney)'!$Y$21&gt;2006+$B$1,'JM (JMoney)'!$Y$21,"")</f>
        <v/>
      </c>
      <c r="X17" s="771" t="n"/>
      <c r="Y17" s="158">
        <f>IF('JJ (metropolitans)'!$Y$21&gt;2006+$B$1,'JJ (metropolitans)'!$AA$21,"")</f>
        <v/>
      </c>
      <c r="Z17" s="770">
        <f>IF('JJ (metropolitans)'!$Y$21&gt;2006+$B$1,'JJ (metropolitans)'!$Y$21,"")</f>
        <v/>
      </c>
      <c r="AA17" s="771" t="n"/>
      <c r="AB17" s="158">
        <f>IF('KJ (Stat Sandwich)'!$Y$21&gt;2006+$B$1,'KJ (Stat Sandwich)'!$AA$21,"")</f>
        <v/>
      </c>
      <c r="AC17" s="770">
        <f>IF('KJ (Stat Sandwich)'!$Y$21&gt;2006+$B$1,'KJ (Stat Sandwich)'!$Y$21,"")</f>
        <v/>
      </c>
      <c r="AD17" s="771" t="n"/>
      <c r="AE17" s="158">
        <f>IF('EP (Winning De)'!$Y$21&gt;2006+$B$1,'EP (Winning De)'!$AA$21,"")</f>
        <v/>
      </c>
      <c r="AF17" s="770">
        <f>IF('EP (Winning De)'!$Y$21&gt;2006+$B$1,'EP (Winning De)'!$Y$21,"")</f>
        <v/>
      </c>
      <c r="AG17" s="771" t="n"/>
      <c r="AH17" s="158">
        <f>IF('MB (Beckers Wreckers)'!$Y$21&gt;2006+$B$1,'MB (Beckers Wreckers)'!$AA$21,"")</f>
        <v/>
      </c>
      <c r="AI17" s="770">
        <f>IF('MB (Beckers Wreckers)'!$Y$21&gt;2006+$B$1,'MB (Beckers Wreckers)'!$Y$21,"")</f>
        <v/>
      </c>
      <c r="AJ17" s="771" t="n"/>
      <c r="AK17" s="158">
        <f>IF('MH (sabermutrics)'!$Y$21&gt;2006+$B$1,'MH (sabermutrics)'!$AA$21,"")</f>
        <v/>
      </c>
      <c r="AL17" s="770">
        <f>IF('MH (sabermutrics)'!$Y$21&gt;2006+$B$1,'MH (sabermutrics)'!$Y$21,"")</f>
        <v/>
      </c>
      <c r="AM17" s="771" t="n"/>
      <c r="AN17" s="158">
        <f>IF('MT (Tradezilla)'!$Y$21&gt;2006+$B$1,'MT (Tradezilla)'!$AA$21,"")</f>
        <v/>
      </c>
      <c r="AO17" s="770">
        <f>IF('MT (Tradezilla)'!$Y$21&gt;2006+$B$1,'MT (Tradezilla)'!$Y$21,"")</f>
        <v/>
      </c>
      <c r="AP17" s="771" t="n"/>
      <c r="AQ17" s="158">
        <f>IF('SM (Dawsyn)'!$Y$21&gt;2006+$B$1,'SM (Dawsyn)'!$AA$21,"")</f>
        <v/>
      </c>
      <c r="AR17" s="770">
        <f>IF('SM (Dawsyn)'!$Y$21&gt;2006+$B$1,'SM (Dawsyn)'!$Y$21,"")</f>
        <v/>
      </c>
      <c r="AS17" s="771" t="n"/>
    </row>
    <row r="18" ht="11.25" customHeight="1" s="26">
      <c r="B18" s="766" t="n"/>
      <c r="C18" s="144" t="n"/>
      <c r="D18" s="767">
        <f>IF('AC (Dumpster Fires)'!$Y$24&gt;2006+$B$1,'AC (Dumpster Fires)'!$O$24,"")</f>
        <v/>
      </c>
      <c r="E18" s="768" t="n"/>
      <c r="F18" s="769" t="n"/>
      <c r="G18" s="767">
        <f>IF('AW (Minor)'!$Y$24&gt;2006+$B$1,'AW (Minor)'!$O$24,"")</f>
        <v/>
      </c>
      <c r="H18" s="768" t="n"/>
      <c r="I18" s="769" t="n"/>
      <c r="J18" s="767">
        <f>IF('BL (Brockasauras)'!$Y$24&gt;2006+$B$1,'BL (Brockasauras)'!$O$24,"")</f>
        <v/>
      </c>
      <c r="K18" s="768" t="n"/>
      <c r="L18" s="769" t="n"/>
      <c r="M18" s="767">
        <f>IF('CN (Nygaardians)'!$Y$24&gt;2006+$B$1,'CN (Nygaardians)'!$O$24,"")</f>
        <v/>
      </c>
      <c r="N18" s="768" t="n"/>
      <c r="O18" s="769" t="n"/>
      <c r="P18" s="767">
        <f>IF('CS (Shag Dawgs)'!$Y$24&gt;2006+$B$1,'CS (Shag Dawgs)'!$O$24,"")</f>
        <v/>
      </c>
      <c r="Q18" s="768" t="n"/>
      <c r="R18" s="769" t="n"/>
      <c r="S18" s="767">
        <f>IF('DC (Cliff Lee Was Here)'!$Y$24&gt;2006+$B$1,'DC (Cliff Lee Was Here)'!$O$24,"")</f>
        <v/>
      </c>
      <c r="T18" s="768" t="n"/>
      <c r="U18" s="769" t="n"/>
      <c r="V18" s="767">
        <f>IF('JM (JMoney)'!$Y$24&gt;2006+$B$1,'JM (JMoney)'!$O$24,"")</f>
        <v/>
      </c>
      <c r="W18" s="768" t="n"/>
      <c r="X18" s="769" t="n"/>
      <c r="Y18" s="767">
        <f>IF('JJ (metropolitans)'!$Y$24&gt;2006+$B$1,'JJ (metropolitans)'!$O$24,"")</f>
        <v/>
      </c>
      <c r="Z18" s="768" t="n"/>
      <c r="AA18" s="769" t="n"/>
      <c r="AB18" s="767">
        <f>IF('KJ (Stat Sandwich)'!$Y$24&gt;2006+$B$1,'KJ (Stat Sandwich)'!$O$24,"")</f>
        <v/>
      </c>
      <c r="AC18" s="768" t="n"/>
      <c r="AD18" s="769" t="n"/>
      <c r="AE18" s="767">
        <f>IF('EP (Winning De)'!$Y$24&gt;2006+$B$1,'EP (Winning De)'!$O$24,"")</f>
        <v/>
      </c>
      <c r="AF18" s="768" t="n"/>
      <c r="AG18" s="769" t="n"/>
      <c r="AH18" s="767">
        <f>IF('MB (Beckers Wreckers)'!$Y$24&gt;2006+$B$1,'MB (Beckers Wreckers)'!$O$24,"")</f>
        <v/>
      </c>
      <c r="AI18" s="768" t="n"/>
      <c r="AJ18" s="769" t="n"/>
      <c r="AK18" s="767">
        <f>IF('MH (sabermutrics)'!$Y$24&gt;2006+$B$1,'MH (sabermutrics)'!$O$24,"")</f>
        <v/>
      </c>
      <c r="AL18" s="768" t="n"/>
      <c r="AM18" s="769" t="n"/>
      <c r="AN18" s="767">
        <f>IF('MT (Tradezilla)'!$Y$24&gt;2006+$B$1,'MT (Tradezilla)'!$O$24,"")</f>
        <v/>
      </c>
      <c r="AO18" s="768" t="n"/>
      <c r="AP18" s="769" t="n"/>
      <c r="AQ18" s="767">
        <f>IF('SM (Dawsyn)'!$Y$24&gt;2006+$B$1,'SM (Dawsyn)'!$O$24,"")</f>
        <v/>
      </c>
      <c r="AR18" s="768" t="n"/>
      <c r="AS18" s="769" t="n"/>
    </row>
    <row r="19" ht="11.25" customHeight="1" s="26">
      <c r="B19" s="766" t="n"/>
      <c r="C19" s="144" t="n"/>
      <c r="D19" s="158">
        <f>IF('AC (Dumpster Fires)'!$Y$24&gt;2006+$B$1,'AC (Dumpster Fires)'!$AA$24,"")</f>
        <v/>
      </c>
      <c r="E19" s="770">
        <f>IF('AC (Dumpster Fires)'!$Y$24&gt;2006+$B$1,'AC (Dumpster Fires)'!$Y$24,"")</f>
        <v/>
      </c>
      <c r="F19" s="771" t="n"/>
      <c r="G19" s="158">
        <f>IF('AW (Minor)'!$Y$24&gt;2006+$B$1,'AW (Minor)'!$AA$24,"")</f>
        <v/>
      </c>
      <c r="H19" s="770">
        <f>IF('AW (Minor)'!$Y$24&gt;2006+$B$1,'AW (Minor)'!$Y$24,"")</f>
        <v/>
      </c>
      <c r="I19" s="771" t="n"/>
      <c r="J19" s="158">
        <f>IF('BL (Brockasauras)'!$Y$24&gt;2006+$B$1,'BL (Brockasauras)'!$AA$24,"")</f>
        <v/>
      </c>
      <c r="K19" s="770">
        <f>IF('BL (Brockasauras)'!$Y$24&gt;2006+$B$1,'BL (Brockasauras)'!$Y$24,"")</f>
        <v/>
      </c>
      <c r="L19" s="771" t="n"/>
      <c r="M19" s="158">
        <f>IF('CN (Nygaardians)'!$Y$24&gt;2006+$B$1,'CN (Nygaardians)'!$AA$24,"")</f>
        <v/>
      </c>
      <c r="N19" s="770">
        <f>IF('CN (Nygaardians)'!$Y$24&gt;2006+$B$1,'CN (Nygaardians)'!$Y$24,"")</f>
        <v/>
      </c>
      <c r="O19" s="771" t="n"/>
      <c r="P19" s="158">
        <f>IF('CS (Shag Dawgs)'!$Y$24&gt;2006+$B$1,'CS (Shag Dawgs)'!$AA$24,"")</f>
        <v/>
      </c>
      <c r="Q19" s="770">
        <f>IF('CS (Shag Dawgs)'!$Y$24&gt;2006+$B$1,'CS (Shag Dawgs)'!$Y$24,"")</f>
        <v/>
      </c>
      <c r="R19" s="771" t="n"/>
      <c r="S19" s="158">
        <f>IF('DC (Cliff Lee Was Here)'!$Y$24&gt;2006+$B$1,'DC (Cliff Lee Was Here)'!$AA$24,"")</f>
        <v/>
      </c>
      <c r="T19" s="770">
        <f>IF('DC (Cliff Lee Was Here)'!$Y$24&gt;2006+$B$1,'DC (Cliff Lee Was Here)'!$Y$24,"")</f>
        <v/>
      </c>
      <c r="U19" s="771" t="n"/>
      <c r="V19" s="158">
        <f>IF('JM (JMoney)'!$Y$24&gt;2006+$B$1,'JM (JMoney)'!$AA$24,"")</f>
        <v/>
      </c>
      <c r="W19" s="770">
        <f>IF('JM (JMoney)'!$Y$24&gt;2006+$B$1,'JM (JMoney)'!$Y$24,"")</f>
        <v/>
      </c>
      <c r="X19" s="771" t="n"/>
      <c r="Y19" s="158">
        <f>IF('JJ (metropolitans)'!$Y$24&gt;2006+$B$1,'JJ (metropolitans)'!$AA$24,"")</f>
        <v/>
      </c>
      <c r="Z19" s="770">
        <f>IF('JJ (metropolitans)'!$Y$24&gt;2006+$B$1,'JJ (metropolitans)'!$Y$24,"")</f>
        <v/>
      </c>
      <c r="AA19" s="771" t="n"/>
      <c r="AB19" s="158">
        <f>IF('KJ (Stat Sandwich)'!$Y$24&gt;2006+$B$1,'KJ (Stat Sandwich)'!$AA$24,"")</f>
        <v/>
      </c>
      <c r="AC19" s="770">
        <f>IF('KJ (Stat Sandwich)'!$Y$24&gt;2006+$B$1,'KJ (Stat Sandwich)'!$Y$24,"")</f>
        <v/>
      </c>
      <c r="AD19" s="771" t="n"/>
      <c r="AE19" s="158">
        <f>IF('EP (Winning De)'!$Y$24&gt;2006+$B$1,'EP (Winning De)'!$AA$24,"")</f>
        <v/>
      </c>
      <c r="AF19" s="770">
        <f>IF('EP (Winning De)'!$Y$24&gt;2006+$B$1,'EP (Winning De)'!$Y$24,"")</f>
        <v/>
      </c>
      <c r="AG19" s="771" t="n"/>
      <c r="AH19" s="158">
        <f>IF('MB (Beckers Wreckers)'!$Y$24&gt;2006+$B$1,'MB (Beckers Wreckers)'!$AA$24,"")</f>
        <v/>
      </c>
      <c r="AI19" s="770">
        <f>IF('MB (Beckers Wreckers)'!$Y$24&gt;2006+$B$1,'MB (Beckers Wreckers)'!$Y$24,"")</f>
        <v/>
      </c>
      <c r="AJ19" s="771" t="n"/>
      <c r="AK19" s="158">
        <f>IF('MH (sabermutrics)'!$Y$24&gt;2006+$B$1,'MH (sabermutrics)'!$AA$24,"")</f>
        <v/>
      </c>
      <c r="AL19" s="770">
        <f>IF('MH (sabermutrics)'!$Y$24&gt;2006+$B$1,'MH (sabermutrics)'!$Y$24,"")</f>
        <v/>
      </c>
      <c r="AM19" s="771" t="n"/>
      <c r="AN19" s="158">
        <f>IF('MT (Tradezilla)'!$Y$24&gt;2006+$B$1,'MT (Tradezilla)'!$AA$24,"")</f>
        <v/>
      </c>
      <c r="AO19" s="770">
        <f>IF('MT (Tradezilla)'!$Y$24&gt;2006+$B$1,'MT (Tradezilla)'!$Y$24,"")</f>
        <v/>
      </c>
      <c r="AP19" s="771" t="n"/>
      <c r="AQ19" s="158">
        <f>IF('SM (Dawsyn)'!$Y$24&gt;2006+$B$1,'SM (Dawsyn)'!$AA$24,"")</f>
        <v/>
      </c>
      <c r="AR19" s="770">
        <f>IF('SM (Dawsyn)'!$Y$24&gt;2006+$B$1,'SM (Dawsyn)'!$Y$24,"")</f>
        <v/>
      </c>
      <c r="AS19" s="771" t="n"/>
    </row>
    <row r="20" ht="11.25" customHeight="1" s="26">
      <c r="B20" s="766" t="n"/>
      <c r="C20" s="144" t="n"/>
      <c r="D20" s="767">
        <f>IF('AC (Dumpster Fires)'!$Y$27&gt;2006+$B$1,'AC (Dumpster Fires)'!$O$27,"")</f>
        <v/>
      </c>
      <c r="E20" s="768" t="n"/>
      <c r="F20" s="769" t="n"/>
      <c r="G20" s="767">
        <f>IF('AW (Minor)'!$Y$27&gt;2006+$B$1,'AW (Minor)'!$O$27,"")</f>
        <v/>
      </c>
      <c r="H20" s="768" t="n"/>
      <c r="I20" s="769" t="n"/>
      <c r="J20" s="767">
        <f>IF('BL (Brockasauras)'!$Y$27&gt;2006+$B$1,'BL (Brockasauras)'!$O$27,"")</f>
        <v/>
      </c>
      <c r="K20" s="768" t="n"/>
      <c r="L20" s="769" t="n"/>
      <c r="M20" s="767">
        <f>IF('CN (Nygaardians)'!$Y$27&gt;2006+$B$1,'CN (Nygaardians)'!$O$27,"")</f>
        <v/>
      </c>
      <c r="N20" s="768" t="n"/>
      <c r="O20" s="769" t="n"/>
      <c r="P20" s="767">
        <f>IF('CS (Shag Dawgs)'!$Y$27&gt;2006+$B$1,'CS (Shag Dawgs)'!$O$27,"")</f>
        <v/>
      </c>
      <c r="Q20" s="768" t="n"/>
      <c r="R20" s="769" t="n"/>
      <c r="S20" s="767">
        <f>IF('DC (Cliff Lee Was Here)'!$Y$27&gt;2006+$B$1,'DC (Cliff Lee Was Here)'!$O$27,"")</f>
        <v/>
      </c>
      <c r="T20" s="768" t="n"/>
      <c r="U20" s="769" t="n"/>
      <c r="V20" s="767">
        <f>IF('JM (JMoney)'!$Y$27&gt;2006+$B$1,'JM (JMoney)'!$O$27,"")</f>
        <v/>
      </c>
      <c r="W20" s="768" t="n"/>
      <c r="X20" s="769" t="n"/>
      <c r="Y20" s="767">
        <f>IF('JJ (metropolitans)'!$Y$27&gt;2006+$B$1,'JJ (metropolitans)'!$O$27,"")</f>
        <v/>
      </c>
      <c r="Z20" s="768" t="n"/>
      <c r="AA20" s="769" t="n"/>
      <c r="AB20" s="767">
        <f>IF('KJ (Stat Sandwich)'!$Y$27&gt;2006+$B$1,'KJ (Stat Sandwich)'!$O$27,"")</f>
        <v/>
      </c>
      <c r="AC20" s="768" t="n"/>
      <c r="AD20" s="769" t="n"/>
      <c r="AE20" s="767">
        <f>IF('EP (Winning De)'!$Y$27&gt;2006+$B$1,'EP (Winning De)'!$O$27,"")</f>
        <v/>
      </c>
      <c r="AF20" s="768" t="n"/>
      <c r="AG20" s="769" t="n"/>
      <c r="AH20" s="767">
        <f>IF('MB (Beckers Wreckers)'!$Y$27&gt;2006+$B$1,'MB (Beckers Wreckers)'!$O$27,"")</f>
        <v/>
      </c>
      <c r="AI20" s="768" t="n"/>
      <c r="AJ20" s="769" t="n"/>
      <c r="AK20" s="767">
        <f>IF('MH (sabermutrics)'!$Y$27&gt;2006+$B$1,'MH (sabermutrics)'!$O$27,"")</f>
        <v/>
      </c>
      <c r="AL20" s="768" t="n"/>
      <c r="AM20" s="769" t="n"/>
      <c r="AN20" s="767">
        <f>IF('MT (Tradezilla)'!$Y$27&gt;2006+$B$1,'MT (Tradezilla)'!$O$27,"")</f>
        <v/>
      </c>
      <c r="AO20" s="768" t="n"/>
      <c r="AP20" s="769" t="n"/>
      <c r="AQ20" s="767">
        <f>IF('SM (Dawsyn)'!$Y$27&gt;2006+$B$1,'SM (Dawsyn)'!$O$27,"")</f>
        <v/>
      </c>
      <c r="AR20" s="768" t="n"/>
      <c r="AS20" s="769" t="n"/>
    </row>
    <row r="21" ht="11.25" customHeight="1" s="26">
      <c r="B21" s="766" t="n"/>
      <c r="C21" s="144" t="n"/>
      <c r="D21" s="158">
        <f>IF('AC (Dumpster Fires)'!$Y$27&gt;2006+$B$1,'AC (Dumpster Fires)'!$AA$27,"")</f>
        <v/>
      </c>
      <c r="E21" s="770">
        <f>IF('AC (Dumpster Fires)'!$Y$27&gt;2006+$B$1,'AC (Dumpster Fires)'!$Y$27,"")</f>
        <v/>
      </c>
      <c r="F21" s="771" t="n"/>
      <c r="G21" s="158">
        <f>IF('AW (Minor)'!$Y$27&gt;2006+$B$1,'AW (Minor)'!$AA$27,"")</f>
        <v/>
      </c>
      <c r="H21" s="770">
        <f>IF('AW (Minor)'!$Y$27&gt;2006+$B$1,'AW (Minor)'!$Y$27,"")</f>
        <v/>
      </c>
      <c r="I21" s="771" t="n"/>
      <c r="J21" s="158">
        <f>IF('BL (Brockasauras)'!$Y$27&gt;2006+$B$1,'BL (Brockasauras)'!$AA$27,"")</f>
        <v/>
      </c>
      <c r="K21" s="770">
        <f>IF('BL (Brockasauras)'!$Y$27&gt;2006+$B$1,'BL (Brockasauras)'!$Y$27,"")</f>
        <v/>
      </c>
      <c r="L21" s="771" t="n"/>
      <c r="M21" s="158">
        <f>IF('CN (Nygaardians)'!$Y$27&gt;2006+$B$1,'CN (Nygaardians)'!$AA$27,"")</f>
        <v/>
      </c>
      <c r="N21" s="770">
        <f>IF('CN (Nygaardians)'!$Y$27&gt;2006+$B$1,'CN (Nygaardians)'!$Y$27,"")</f>
        <v/>
      </c>
      <c r="O21" s="771" t="n"/>
      <c r="P21" s="158">
        <f>IF('CS (Shag Dawgs)'!$Y$27&gt;2006+$B$1,'CS (Shag Dawgs)'!$AA$27,"")</f>
        <v/>
      </c>
      <c r="Q21" s="770">
        <f>IF('CS (Shag Dawgs)'!$Y$27&gt;2006+$B$1,'CS (Shag Dawgs)'!$Y$27,"")</f>
        <v/>
      </c>
      <c r="R21" s="771" t="n"/>
      <c r="S21" s="158">
        <f>IF('DC (Cliff Lee Was Here)'!$Y$27&gt;2006+$B$1,'DC (Cliff Lee Was Here)'!$AA$27,"")</f>
        <v/>
      </c>
      <c r="T21" s="770">
        <f>IF('DC (Cliff Lee Was Here)'!$Y$27&gt;2006+$B$1,'DC (Cliff Lee Was Here)'!$Y$27,"")</f>
        <v/>
      </c>
      <c r="U21" s="771" t="n"/>
      <c r="V21" s="158">
        <f>IF('JM (JMoney)'!$Y$27&gt;2006+$B$1,'JM (JMoney)'!$AA$27,"")</f>
        <v/>
      </c>
      <c r="W21" s="770">
        <f>IF('JM (JMoney)'!$Y$27&gt;2006+$B$1,'JM (JMoney)'!$Y$27,"")</f>
        <v/>
      </c>
      <c r="X21" s="771" t="n"/>
      <c r="Y21" s="158">
        <f>IF('JJ (metropolitans)'!$Y$27&gt;2006+$B$1,'JJ (metropolitans)'!$AA$27,"")</f>
        <v/>
      </c>
      <c r="Z21" s="770">
        <f>IF('JJ (metropolitans)'!$Y$27&gt;2006+$B$1,'JJ (metropolitans)'!$Y$27,"")</f>
        <v/>
      </c>
      <c r="AA21" s="771" t="n"/>
      <c r="AB21" s="158">
        <f>IF('KJ (Stat Sandwich)'!$Y$27&gt;2006+$B$1,'KJ (Stat Sandwich)'!$AA$27,"")</f>
        <v/>
      </c>
      <c r="AC21" s="770">
        <f>IF('KJ (Stat Sandwich)'!$Y$27&gt;2006+$B$1,'KJ (Stat Sandwich)'!$Y$27,"")</f>
        <v/>
      </c>
      <c r="AD21" s="771" t="n"/>
      <c r="AE21" s="158">
        <f>IF('EP (Winning De)'!$Y$27&gt;2006+$B$1,'EP (Winning De)'!$AA$27,"")</f>
        <v/>
      </c>
      <c r="AF21" s="770">
        <f>IF('EP (Winning De)'!$Y$27&gt;2006+$B$1,'EP (Winning De)'!$Y$27,"")</f>
        <v/>
      </c>
      <c r="AG21" s="771" t="n"/>
      <c r="AH21" s="158">
        <f>IF('MB (Beckers Wreckers)'!$Y$27&gt;2006+$B$1,'MB (Beckers Wreckers)'!$AA$27,"")</f>
        <v/>
      </c>
      <c r="AI21" s="770">
        <f>IF('MB (Beckers Wreckers)'!$Y$27&gt;2006+$B$1,'MB (Beckers Wreckers)'!$Y$27,"")</f>
        <v/>
      </c>
      <c r="AJ21" s="771" t="n"/>
      <c r="AK21" s="158">
        <f>IF('MH (sabermutrics)'!$Y$27&gt;2006+$B$1,'MH (sabermutrics)'!$AA$27,"")</f>
        <v/>
      </c>
      <c r="AL21" s="770">
        <f>IF('MH (sabermutrics)'!$Y$27&gt;2006+$B$1,'MH (sabermutrics)'!$Y$27,"")</f>
        <v/>
      </c>
      <c r="AM21" s="771" t="n"/>
      <c r="AN21" s="158">
        <f>IF('MT (Tradezilla)'!$Y$27&gt;2006+$B$1,'MT (Tradezilla)'!$AA$27,"")</f>
        <v/>
      </c>
      <c r="AO21" s="770">
        <f>IF('MT (Tradezilla)'!$Y$27&gt;2006+$B$1,'MT (Tradezilla)'!$Y$27,"")</f>
        <v/>
      </c>
      <c r="AP21" s="771" t="n"/>
      <c r="AQ21" s="158">
        <f>IF('SM (Dawsyn)'!$Y$27&gt;2006+$B$1,'SM (Dawsyn)'!$AA$27,"")</f>
        <v/>
      </c>
      <c r="AR21" s="770">
        <f>IF('SM (Dawsyn)'!$Y$27&gt;2006+$B$1,'SM (Dawsyn)'!$Y$27,"")</f>
        <v/>
      </c>
      <c r="AS21" s="771" t="n"/>
    </row>
    <row r="22" ht="11.25" customHeight="1" s="26">
      <c r="B22" s="766" t="n"/>
      <c r="C22" s="144" t="n"/>
      <c r="D22" s="767">
        <f>IF('AC (Dumpster Fires)'!$Y$30&gt;2006+$B$1,'AC (Dumpster Fires)'!$O$30,"")</f>
        <v/>
      </c>
      <c r="E22" s="768" t="n"/>
      <c r="F22" s="769" t="n"/>
      <c r="G22" s="767">
        <f>IF('AW (Minor)'!$Y$30&gt;2006+$B$1,'AW (Minor)'!$O$30,"")</f>
        <v/>
      </c>
      <c r="H22" s="768" t="n"/>
      <c r="I22" s="769" t="n"/>
      <c r="J22" s="767">
        <f>IF('BL (Brockasauras)'!$Y$30&gt;2006+$B$1,'BL (Brockasauras)'!$O$30,"")</f>
        <v/>
      </c>
      <c r="K22" s="768" t="n"/>
      <c r="L22" s="769" t="n"/>
      <c r="M22" s="767">
        <f>IF('CN (Nygaardians)'!$Y$30&gt;2006+$B$1,'CN (Nygaardians)'!$O$30,"")</f>
        <v/>
      </c>
      <c r="N22" s="768" t="n"/>
      <c r="O22" s="769" t="n"/>
      <c r="P22" s="767">
        <f>IF('CS (Shag Dawgs)'!$Y$30&gt;2006+$B$1,'CS (Shag Dawgs)'!$O$30,"")</f>
        <v/>
      </c>
      <c r="Q22" s="768" t="n"/>
      <c r="R22" s="769" t="n"/>
      <c r="S22" s="767">
        <f>IF('DC (Cliff Lee Was Here)'!$Y$30&gt;2006+$B$1,'DC (Cliff Lee Was Here)'!$O$30,"")</f>
        <v/>
      </c>
      <c r="T22" s="768" t="n"/>
      <c r="U22" s="769" t="n"/>
      <c r="V22" s="767">
        <f>IF('JM (JMoney)'!$Y$30&gt;2006+$B$1,'JM (JMoney)'!$O$30,"")</f>
        <v/>
      </c>
      <c r="W22" s="768" t="n"/>
      <c r="X22" s="769" t="n"/>
      <c r="Y22" s="767">
        <f>IF('JJ (metropolitans)'!$Y$30&gt;2006+$B$1,'JJ (metropolitans)'!$O$30,"")</f>
        <v/>
      </c>
      <c r="Z22" s="768" t="n"/>
      <c r="AA22" s="769" t="n"/>
      <c r="AB22" s="767">
        <f>IF('KJ (Stat Sandwich)'!$Y$30&gt;2006+$B$1,'KJ (Stat Sandwich)'!$O$30,"")</f>
        <v/>
      </c>
      <c r="AC22" s="768" t="n"/>
      <c r="AD22" s="769" t="n"/>
      <c r="AE22" s="767">
        <f>IF('EP (Winning De)'!$Y$30&gt;2006+$B$1,'EP (Winning De)'!$O$30,"")</f>
        <v/>
      </c>
      <c r="AF22" s="768" t="n"/>
      <c r="AG22" s="769" t="n"/>
      <c r="AH22" s="767">
        <f>IF('MB (Beckers Wreckers)'!$Y$30&gt;2006+$B$1,'MB (Beckers Wreckers)'!$O$30,"")</f>
        <v/>
      </c>
      <c r="AI22" s="768" t="n"/>
      <c r="AJ22" s="769" t="n"/>
      <c r="AK22" s="767">
        <f>IF('MH (sabermutrics)'!$Y$30&gt;2006+$B$1,'MH (sabermutrics)'!$O$30,"")</f>
        <v/>
      </c>
      <c r="AL22" s="768" t="n"/>
      <c r="AM22" s="769" t="n"/>
      <c r="AN22" s="767">
        <f>IF('MT (Tradezilla)'!$Y$30&gt;2006+$B$1,'MT (Tradezilla)'!$O$30,"")</f>
        <v/>
      </c>
      <c r="AO22" s="768" t="n"/>
      <c r="AP22" s="769" t="n"/>
      <c r="AQ22" s="767">
        <f>IF('SM (Dawsyn)'!$Y$30&gt;2006+$B$1,'SM (Dawsyn)'!$O$30,"")</f>
        <v/>
      </c>
      <c r="AR22" s="768" t="n"/>
      <c r="AS22" s="769" t="n"/>
    </row>
    <row r="23" ht="11.25" customHeight="1" s="26">
      <c r="B23" s="766" t="n"/>
      <c r="C23" s="144" t="n"/>
      <c r="D23" s="158">
        <f>IF('AC (Dumpster Fires)'!$Y$30&gt;2006+$B$1,'AC (Dumpster Fires)'!$AA$30,"")</f>
        <v/>
      </c>
      <c r="E23" s="770">
        <f>IF('AC (Dumpster Fires)'!$Y$30&gt;2006+$B$1,'AC (Dumpster Fires)'!$Y$30,"")</f>
        <v/>
      </c>
      <c r="F23" s="771" t="n"/>
      <c r="G23" s="158">
        <f>IF('AW (Minor)'!$Y$30&gt;2006+$B$1,'AW (Minor)'!$AA$30,"")</f>
        <v/>
      </c>
      <c r="H23" s="770">
        <f>IF('AW (Minor)'!$Y$30&gt;2006+$B$1,'AW (Minor)'!$Y$30,"")</f>
        <v/>
      </c>
      <c r="I23" s="771" t="n"/>
      <c r="J23" s="158">
        <f>IF('BL (Brockasauras)'!$Y$30&gt;2006+$B$1,'BL (Brockasauras)'!$AA$30,"")</f>
        <v/>
      </c>
      <c r="K23" s="770">
        <f>IF('BL (Brockasauras)'!$Y$30&gt;2006+$B$1,'BL (Brockasauras)'!$Y$30,"")</f>
        <v/>
      </c>
      <c r="L23" s="771" t="n"/>
      <c r="M23" s="158">
        <f>IF('CN (Nygaardians)'!$Y$30&gt;2006+$B$1,'CN (Nygaardians)'!$AA$30,"")</f>
        <v/>
      </c>
      <c r="N23" s="770">
        <f>IF('CN (Nygaardians)'!$Y$30&gt;2006+$B$1,'CN (Nygaardians)'!$Y$30,"")</f>
        <v/>
      </c>
      <c r="O23" s="771" t="n"/>
      <c r="P23" s="158">
        <f>IF('CS (Shag Dawgs)'!$Y$30&gt;2006+$B$1,'CS (Shag Dawgs)'!$AA$30,"")</f>
        <v/>
      </c>
      <c r="Q23" s="770">
        <f>IF('CS (Shag Dawgs)'!$Y$30&gt;2006+$B$1,'CS (Shag Dawgs)'!$Y$30,"")</f>
        <v/>
      </c>
      <c r="R23" s="771" t="n"/>
      <c r="S23" s="158">
        <f>IF('DC (Cliff Lee Was Here)'!$Y$30&gt;2006+$B$1,'DC (Cliff Lee Was Here)'!$AA$30,"")</f>
        <v/>
      </c>
      <c r="T23" s="770">
        <f>IF('DC (Cliff Lee Was Here)'!$Y$30&gt;2006+$B$1,'DC (Cliff Lee Was Here)'!$Y$30,"")</f>
        <v/>
      </c>
      <c r="U23" s="771" t="n"/>
      <c r="V23" s="158">
        <f>IF('JM (JMoney)'!$Y$30&gt;2006+$B$1,'JM (JMoney)'!$AA$30,"")</f>
        <v/>
      </c>
      <c r="W23" s="770">
        <f>IF('JM (JMoney)'!$Y$30&gt;2006+$B$1,'JM (JMoney)'!$Y$30,"")</f>
        <v/>
      </c>
      <c r="X23" s="771" t="n"/>
      <c r="Y23" s="158">
        <f>IF('JJ (metropolitans)'!$Y$30&gt;2006+$B$1,'JJ (metropolitans)'!$AA$30,"")</f>
        <v/>
      </c>
      <c r="Z23" s="770">
        <f>IF('JJ (metropolitans)'!$Y$30&gt;2006+$B$1,'JJ (metropolitans)'!$Y$30,"")</f>
        <v/>
      </c>
      <c r="AA23" s="771" t="n"/>
      <c r="AB23" s="158">
        <f>IF('KJ (Stat Sandwich)'!$Y$30&gt;2006+$B$1,'KJ (Stat Sandwich)'!$AA$30,"")</f>
        <v/>
      </c>
      <c r="AC23" s="770">
        <f>IF('KJ (Stat Sandwich)'!$Y$30&gt;2006+$B$1,'KJ (Stat Sandwich)'!$Y$30,"")</f>
        <v/>
      </c>
      <c r="AD23" s="771" t="n"/>
      <c r="AE23" s="158">
        <f>IF('EP (Winning De)'!$Y$30&gt;2006+$B$1,'EP (Winning De)'!$AA$30,"")</f>
        <v/>
      </c>
      <c r="AF23" s="770">
        <f>IF('EP (Winning De)'!$Y$30&gt;2006+$B$1,'EP (Winning De)'!$Y$30,"")</f>
        <v/>
      </c>
      <c r="AG23" s="771" t="n"/>
      <c r="AH23" s="158">
        <f>IF('MB (Beckers Wreckers)'!$Y$30&gt;2006+$B$1,'MB (Beckers Wreckers)'!$AA$30,"")</f>
        <v/>
      </c>
      <c r="AI23" s="770">
        <f>IF('MB (Beckers Wreckers)'!$Y$30&gt;2006+$B$1,'MB (Beckers Wreckers)'!$Y$30,"")</f>
        <v/>
      </c>
      <c r="AJ23" s="771" t="n"/>
      <c r="AK23" s="158">
        <f>IF('MH (sabermutrics)'!$Y$30&gt;2006+$B$1,'MH (sabermutrics)'!$AA$30,"")</f>
        <v/>
      </c>
      <c r="AL23" s="770">
        <f>IF('MH (sabermutrics)'!$Y$30&gt;2006+$B$1,'MH (sabermutrics)'!$Y$30,"")</f>
        <v/>
      </c>
      <c r="AM23" s="771" t="n"/>
      <c r="AN23" s="158">
        <f>IF('MT (Tradezilla)'!$Y$30&gt;2006+$B$1,'MT (Tradezilla)'!$AA$30,"")</f>
        <v/>
      </c>
      <c r="AO23" s="770">
        <f>IF('MT (Tradezilla)'!$Y$30&gt;2006+$B$1,'MT (Tradezilla)'!$Y$30,"")</f>
        <v/>
      </c>
      <c r="AP23" s="771" t="n"/>
      <c r="AQ23" s="158">
        <f>IF('SM (Dawsyn)'!$Y$30&gt;2006+$B$1,'SM (Dawsyn)'!$AA$30,"")</f>
        <v/>
      </c>
      <c r="AR23" s="770">
        <f>IF('SM (Dawsyn)'!$Y$30&gt;2006+$B$1,'SM (Dawsyn)'!$Y$30,"")</f>
        <v/>
      </c>
      <c r="AS23" s="771" t="n"/>
    </row>
    <row r="24" ht="11.25" customHeight="1" s="26">
      <c r="B24" s="766" t="n"/>
      <c r="C24" s="144" t="n"/>
      <c r="D24" s="767">
        <f>IF('AC (Dumpster Fires)'!$Y$33&gt;2006+$B$1,'AC (Dumpster Fires)'!$O$33,"")</f>
        <v/>
      </c>
      <c r="E24" s="768" t="n"/>
      <c r="F24" s="769" t="n"/>
      <c r="G24" s="767">
        <f>IF('AW (Minor)'!$Y$33&gt;2006+$B$1,'AW (Minor)'!$O$33,"")</f>
        <v/>
      </c>
      <c r="H24" s="768" t="n"/>
      <c r="I24" s="769" t="n"/>
      <c r="J24" s="767">
        <f>IF('BL (Brockasauras)'!$Y$33&gt;2006+$B$1,'BL (Brockasauras)'!$O$33,"")</f>
        <v/>
      </c>
      <c r="K24" s="768" t="n"/>
      <c r="L24" s="769" t="n"/>
      <c r="M24" s="767">
        <f>IF('CN (Nygaardians)'!$Y$33&gt;2006+$B$1,'CN (Nygaardians)'!$O$33,"")</f>
        <v/>
      </c>
      <c r="N24" s="768" t="n"/>
      <c r="O24" s="769" t="n"/>
      <c r="P24" s="767">
        <f>IF('CS (Shag Dawgs)'!$Y$33&gt;2006+$B$1,'CS (Shag Dawgs)'!$O$33,"")</f>
        <v/>
      </c>
      <c r="Q24" s="768" t="n"/>
      <c r="R24" s="769" t="n"/>
      <c r="S24" s="767">
        <f>IF('DC (Cliff Lee Was Here)'!$Y$33&gt;2006+$B$1,'DC (Cliff Lee Was Here)'!$O$33,"")</f>
        <v/>
      </c>
      <c r="T24" s="768" t="n"/>
      <c r="U24" s="769" t="n"/>
      <c r="V24" s="767">
        <f>IF('JM (JMoney)'!$Y$33&gt;2006+$B$1,'JM (JMoney)'!$O$33,"")</f>
        <v/>
      </c>
      <c r="W24" s="768" t="n"/>
      <c r="X24" s="769" t="n"/>
      <c r="Y24" s="767">
        <f>IF('JJ (metropolitans)'!$Y$33&gt;2006+$B$1,'JJ (metropolitans)'!$O$33,"")</f>
        <v/>
      </c>
      <c r="Z24" s="768" t="n"/>
      <c r="AA24" s="769" t="n"/>
      <c r="AB24" s="767">
        <f>IF('KJ (Stat Sandwich)'!$Y$33&gt;2006+$B$1,'KJ (Stat Sandwich)'!$O$33,"")</f>
        <v/>
      </c>
      <c r="AC24" s="768" t="n"/>
      <c r="AD24" s="769" t="n"/>
      <c r="AE24" s="767">
        <f>IF('EP (Winning De)'!$Y$33&gt;2006+$B$1,'EP (Winning De)'!$O$33,"")</f>
        <v/>
      </c>
      <c r="AF24" s="768" t="n"/>
      <c r="AG24" s="769" t="n"/>
      <c r="AH24" s="767">
        <f>IF('MB (Beckers Wreckers)'!$Y$33&gt;2006+$B$1,'MB (Beckers Wreckers)'!$O$33,"")</f>
        <v/>
      </c>
      <c r="AI24" s="768" t="n"/>
      <c r="AJ24" s="769" t="n"/>
      <c r="AK24" s="767">
        <f>IF('MH (sabermutrics)'!$Y$33&gt;2006+$B$1,'MH (sabermutrics)'!$O$33,"")</f>
        <v/>
      </c>
      <c r="AL24" s="768" t="n"/>
      <c r="AM24" s="769" t="n"/>
      <c r="AN24" s="767">
        <f>IF('MT (Tradezilla)'!$Y$33&gt;2006+$B$1,'MT (Tradezilla)'!$O$33,"")</f>
        <v/>
      </c>
      <c r="AO24" s="768" t="n"/>
      <c r="AP24" s="769" t="n"/>
      <c r="AQ24" s="767">
        <f>IF('SM (Dawsyn)'!$Y$33&gt;2006+$B$1,'SM (Dawsyn)'!$O$33,"")</f>
        <v/>
      </c>
      <c r="AR24" s="768" t="n"/>
      <c r="AS24" s="769" t="n"/>
    </row>
    <row r="25" ht="11.25" customHeight="1" s="26">
      <c r="B25" s="766" t="n"/>
      <c r="C25" s="144" t="n"/>
      <c r="D25" s="158">
        <f>IF('AC (Dumpster Fires)'!$Y$33&gt;2006+$B$1,'AC (Dumpster Fires)'!$AA$33,"")</f>
        <v/>
      </c>
      <c r="E25" s="770">
        <f>IF('AC (Dumpster Fires)'!$Y$33&gt;2006+$B$1,'AC (Dumpster Fires)'!$Y$33,"")</f>
        <v/>
      </c>
      <c r="F25" s="771" t="n"/>
      <c r="G25" s="158">
        <f>IF('AW (Minor)'!$Y$33&gt;2006+$B$1,'AW (Minor)'!$AA$33,"")</f>
        <v/>
      </c>
      <c r="H25" s="770">
        <f>IF('AW (Minor)'!$Y$33&gt;2006+$B$1,'AW (Minor)'!$Y$33,"")</f>
        <v/>
      </c>
      <c r="I25" s="771" t="n"/>
      <c r="J25" s="158">
        <f>IF('BL (Brockasauras)'!$Y$33&gt;2006+$B$1,'BL (Brockasauras)'!$AA$33,"")</f>
        <v/>
      </c>
      <c r="K25" s="770">
        <f>IF('BL (Brockasauras)'!$Y$33&gt;2006+$B$1,'BL (Brockasauras)'!$Y$33,"")</f>
        <v/>
      </c>
      <c r="L25" s="771" t="n"/>
      <c r="M25" s="158">
        <f>IF('CN (Nygaardians)'!$Y$33&gt;2006+$B$1,'CN (Nygaardians)'!$AA$33,"")</f>
        <v/>
      </c>
      <c r="N25" s="770">
        <f>IF('CN (Nygaardians)'!$Y$33&gt;2006+$B$1,'CN (Nygaardians)'!$Y$33,"")</f>
        <v/>
      </c>
      <c r="O25" s="771" t="n"/>
      <c r="P25" s="158">
        <f>IF('CS (Shag Dawgs)'!$Y$33&gt;2006+$B$1,'CS (Shag Dawgs)'!$AA$33,"")</f>
        <v/>
      </c>
      <c r="Q25" s="770">
        <f>IF('CS (Shag Dawgs)'!$Y$33&gt;2006+$B$1,'CS (Shag Dawgs)'!$Y$33,"")</f>
        <v/>
      </c>
      <c r="R25" s="771" t="n"/>
      <c r="S25" s="158">
        <f>IF('DC (Cliff Lee Was Here)'!$Y$33&gt;2006+$B$1,'DC (Cliff Lee Was Here)'!$AA$33,"")</f>
        <v/>
      </c>
      <c r="T25" s="770">
        <f>IF('DC (Cliff Lee Was Here)'!$Y$33&gt;2006+$B$1,'DC (Cliff Lee Was Here)'!$Y$33,"")</f>
        <v/>
      </c>
      <c r="U25" s="771" t="n"/>
      <c r="V25" s="158">
        <f>IF('JM (JMoney)'!$Y$33&gt;2006+$B$1,'JM (JMoney)'!$AA$33,"")</f>
        <v/>
      </c>
      <c r="W25" s="770">
        <f>IF('JM (JMoney)'!$Y$33&gt;2006+$B$1,'JM (JMoney)'!$Y$33,"")</f>
        <v/>
      </c>
      <c r="X25" s="771" t="n"/>
      <c r="Y25" s="158">
        <f>IF('JJ (metropolitans)'!$Y$33&gt;2006+$B$1,'JJ (metropolitans)'!$AA$33,"")</f>
        <v/>
      </c>
      <c r="Z25" s="770">
        <f>IF('JJ (metropolitans)'!$Y$33&gt;2006+$B$1,'JJ (metropolitans)'!$Y$33,"")</f>
        <v/>
      </c>
      <c r="AA25" s="771" t="n"/>
      <c r="AB25" s="158">
        <f>IF('KJ (Stat Sandwich)'!$Y$33&gt;2006+$B$1,'KJ (Stat Sandwich)'!$AA$33,"")</f>
        <v/>
      </c>
      <c r="AC25" s="770">
        <f>IF('KJ (Stat Sandwich)'!$Y$33&gt;2006+$B$1,'KJ (Stat Sandwich)'!$Y$33,"")</f>
        <v/>
      </c>
      <c r="AD25" s="771" t="n"/>
      <c r="AE25" s="158">
        <f>IF('EP (Winning De)'!$Y$33&gt;2006+$B$1,'EP (Winning De)'!$AA$33,"")</f>
        <v/>
      </c>
      <c r="AF25" s="770">
        <f>IF('EP (Winning De)'!$Y$33&gt;2006+$B$1,'EP (Winning De)'!$Y$33,"")</f>
        <v/>
      </c>
      <c r="AG25" s="771" t="n"/>
      <c r="AH25" s="158">
        <f>IF('MB (Beckers Wreckers)'!$Y$33&gt;2006+$B$1,'MB (Beckers Wreckers)'!$AA$33,"")</f>
        <v/>
      </c>
      <c r="AI25" s="770">
        <f>IF('MB (Beckers Wreckers)'!$Y$33&gt;2006+$B$1,'MB (Beckers Wreckers)'!$Y$33,"")</f>
        <v/>
      </c>
      <c r="AJ25" s="771" t="n"/>
      <c r="AK25" s="158">
        <f>IF('MH (sabermutrics)'!$Y$33&gt;2006+$B$1,'MH (sabermutrics)'!$AA$33,"")</f>
        <v/>
      </c>
      <c r="AL25" s="770">
        <f>IF('MH (sabermutrics)'!$Y$33&gt;2006+$B$1,'MH (sabermutrics)'!$Y$33,"")</f>
        <v/>
      </c>
      <c r="AM25" s="771" t="n"/>
      <c r="AN25" s="158">
        <f>IF('MT (Tradezilla)'!$Y$33&gt;2006+$B$1,'MT (Tradezilla)'!$AA$33,"")</f>
        <v/>
      </c>
      <c r="AO25" s="770">
        <f>IF('MT (Tradezilla)'!$Y$33&gt;2006+$B$1,'MT (Tradezilla)'!$Y$33,"")</f>
        <v/>
      </c>
      <c r="AP25" s="771" t="n"/>
      <c r="AQ25" s="158">
        <f>IF('SM (Dawsyn)'!$Y$33&gt;2006+$B$1,'SM (Dawsyn)'!$AA$33,"")</f>
        <v/>
      </c>
      <c r="AR25" s="770">
        <f>IF('SM (Dawsyn)'!$Y$33&gt;2006+$B$1,'SM (Dawsyn)'!$Y$33,"")</f>
        <v/>
      </c>
      <c r="AS25" s="771" t="n"/>
    </row>
    <row r="26" ht="11.25" customHeight="1" s="26">
      <c r="B26" s="766" t="n"/>
      <c r="C26" s="144" t="n"/>
      <c r="D26" s="767">
        <f>IF('AC (Dumpster Fires)'!$Y$36&gt;2006+$B$1,'AC (Dumpster Fires)'!$O$36,"")</f>
        <v/>
      </c>
      <c r="E26" s="768" t="n"/>
      <c r="F26" s="769" t="n"/>
      <c r="G26" s="767">
        <f>IF('AW (Minor)'!$Y$36&gt;2006+$B$1,'AW (Minor)'!$O$36,"")</f>
        <v/>
      </c>
      <c r="H26" s="768" t="n"/>
      <c r="I26" s="769" t="n"/>
      <c r="J26" s="767">
        <f>IF('BL (Brockasauras)'!$Y$36&gt;2006+$B$1,'BL (Brockasauras)'!$O$36,"")</f>
        <v/>
      </c>
      <c r="K26" s="768" t="n"/>
      <c r="L26" s="769" t="n"/>
      <c r="M26" s="767">
        <f>IF('CN (Nygaardians)'!$Y$36&gt;2006+$B$1,'CN (Nygaardians)'!$O$36,"")</f>
        <v/>
      </c>
      <c r="N26" s="768" t="n"/>
      <c r="O26" s="769" t="n"/>
      <c r="P26" s="767">
        <f>IF('CS (Shag Dawgs)'!$Y$36&gt;2006+$B$1,'CS (Shag Dawgs)'!$O$36,"")</f>
        <v/>
      </c>
      <c r="Q26" s="768" t="n"/>
      <c r="R26" s="769" t="n"/>
      <c r="S26" s="767">
        <f>IF('DC (Cliff Lee Was Here)'!$Y$36&gt;2006+$B$1,'DC (Cliff Lee Was Here)'!$O$36,"")</f>
        <v/>
      </c>
      <c r="T26" s="768" t="n"/>
      <c r="U26" s="769" t="n"/>
      <c r="V26" s="767">
        <f>IF('JM (JMoney)'!$Y$36&gt;2006+$B$1,'JM (JMoney)'!$O$36,"")</f>
        <v/>
      </c>
      <c r="W26" s="768" t="n"/>
      <c r="X26" s="769" t="n"/>
      <c r="Y26" s="767">
        <f>IF('JJ (metropolitans)'!$Y$36&gt;2006+$B$1,'JJ (metropolitans)'!$O$36,"")</f>
        <v/>
      </c>
      <c r="Z26" s="768" t="n"/>
      <c r="AA26" s="769" t="n"/>
      <c r="AB26" s="767">
        <f>IF('KJ (Stat Sandwich)'!$Y$36&gt;2006+$B$1,'KJ (Stat Sandwich)'!$O$36,"")</f>
        <v/>
      </c>
      <c r="AC26" s="768" t="n"/>
      <c r="AD26" s="769" t="n"/>
      <c r="AE26" s="767">
        <f>IF('EP (Winning De)'!$Y$36&gt;2006+$B$1,'EP (Winning De)'!$O$36,"")</f>
        <v/>
      </c>
      <c r="AF26" s="768" t="n"/>
      <c r="AG26" s="769" t="n"/>
      <c r="AH26" s="767">
        <f>IF('MB (Beckers Wreckers)'!$Y$36&gt;2006+$B$1,'MB (Beckers Wreckers)'!$O$36,"")</f>
        <v/>
      </c>
      <c r="AI26" s="768" t="n"/>
      <c r="AJ26" s="769" t="n"/>
      <c r="AK26" s="767">
        <f>IF('MH (sabermutrics)'!$Y$36&gt;2006+$B$1,'MH (sabermutrics)'!$O$36,"")</f>
        <v/>
      </c>
      <c r="AL26" s="768" t="n"/>
      <c r="AM26" s="769" t="n"/>
      <c r="AN26" s="767">
        <f>IF('MT (Tradezilla)'!$Y$36&gt;2006+$B$1,'MT (Tradezilla)'!$O$36,"")</f>
        <v/>
      </c>
      <c r="AO26" s="768" t="n"/>
      <c r="AP26" s="769" t="n"/>
      <c r="AQ26" s="767">
        <f>IF('SM (Dawsyn)'!$Y$36&gt;2006+$B$1,'SM (Dawsyn)'!$O$36,"")</f>
        <v/>
      </c>
      <c r="AR26" s="768" t="n"/>
      <c r="AS26" s="769" t="n"/>
    </row>
    <row r="27" ht="11.25" customHeight="1" s="26">
      <c r="B27" s="766" t="n"/>
      <c r="C27" s="144" t="n"/>
      <c r="D27" s="158">
        <f>IF('AC (Dumpster Fires)'!$Y$36&gt;2006+$B$1,'AC (Dumpster Fires)'!$AA$36,"")</f>
        <v/>
      </c>
      <c r="E27" s="770">
        <f>IF('AC (Dumpster Fires)'!$Y$36&gt;2006+$B$1,'AC (Dumpster Fires)'!$Y$36,"")</f>
        <v/>
      </c>
      <c r="F27" s="771" t="n"/>
      <c r="G27" s="158">
        <f>IF('AW (Minor)'!$Y$36&gt;2006+$B$1,'AW (Minor)'!$AA$36,"")</f>
        <v/>
      </c>
      <c r="H27" s="770">
        <f>IF('AW (Minor)'!$Y$36&gt;2006+$B$1,'AW (Minor)'!$Y$36,"")</f>
        <v/>
      </c>
      <c r="I27" s="771" t="n"/>
      <c r="J27" s="158">
        <f>IF('BL (Brockasauras)'!$Y$36&gt;2006+$B$1,'BL (Brockasauras)'!$AA$36,"")</f>
        <v/>
      </c>
      <c r="K27" s="770">
        <f>IF('BL (Brockasauras)'!$Y$36&gt;2006+$B$1,'BL (Brockasauras)'!$Y$36,"")</f>
        <v/>
      </c>
      <c r="L27" s="771" t="n"/>
      <c r="M27" s="158">
        <f>IF('CN (Nygaardians)'!$Y$36&gt;2006+$B$1,'CN (Nygaardians)'!$AA$36,"")</f>
        <v/>
      </c>
      <c r="N27" s="770">
        <f>IF('CN (Nygaardians)'!$Y$36&gt;2006+$B$1,'CN (Nygaardians)'!$Y$36,"")</f>
        <v/>
      </c>
      <c r="O27" s="771" t="n"/>
      <c r="P27" s="158">
        <f>IF('CS (Shag Dawgs)'!$Y$36&gt;2006+$B$1,'CS (Shag Dawgs)'!$AA$36,"")</f>
        <v/>
      </c>
      <c r="Q27" s="770">
        <f>IF('CS (Shag Dawgs)'!$Y$36&gt;2006+$B$1,'CS (Shag Dawgs)'!$Y$36,"")</f>
        <v/>
      </c>
      <c r="R27" s="771" t="n"/>
      <c r="S27" s="158">
        <f>IF('DC (Cliff Lee Was Here)'!$Y$36&gt;2006+$B$1,'DC (Cliff Lee Was Here)'!$AA$36,"")</f>
        <v/>
      </c>
      <c r="T27" s="770">
        <f>IF('DC (Cliff Lee Was Here)'!$Y$36&gt;2006+$B$1,'DC (Cliff Lee Was Here)'!$Y$36,"")</f>
        <v/>
      </c>
      <c r="U27" s="771" t="n"/>
      <c r="V27" s="158">
        <f>IF('JM (JMoney)'!$Y$36&gt;2006+$B$1,'JM (JMoney)'!$AA$36,"")</f>
        <v/>
      </c>
      <c r="W27" s="770">
        <f>IF('JM (JMoney)'!$Y$36&gt;2006+$B$1,'JM (JMoney)'!$Y$36,"")</f>
        <v/>
      </c>
      <c r="X27" s="771" t="n"/>
      <c r="Y27" s="158">
        <f>IF('JJ (metropolitans)'!$Y$36&gt;2006+$B$1,'JJ (metropolitans)'!$AA$36,"")</f>
        <v/>
      </c>
      <c r="Z27" s="770">
        <f>IF('JJ (metropolitans)'!$Y$36&gt;2006+$B$1,'JJ (metropolitans)'!$Y$36,"")</f>
        <v/>
      </c>
      <c r="AA27" s="771" t="n"/>
      <c r="AB27" s="158">
        <f>IF('KJ (Stat Sandwich)'!$Y$36&gt;2006+$B$1,'KJ (Stat Sandwich)'!$AA$36,"")</f>
        <v/>
      </c>
      <c r="AC27" s="770">
        <f>IF('KJ (Stat Sandwich)'!$Y$36&gt;2006+$B$1,'KJ (Stat Sandwich)'!$Y$36,"")</f>
        <v/>
      </c>
      <c r="AD27" s="771" t="n"/>
      <c r="AE27" s="158">
        <f>IF('EP (Winning De)'!$Y$36&gt;2006+$B$1,'EP (Winning De)'!$AA$36,"")</f>
        <v/>
      </c>
      <c r="AF27" s="770">
        <f>IF('EP (Winning De)'!$Y$36&gt;2006+$B$1,'EP (Winning De)'!$Y$36,"")</f>
        <v/>
      </c>
      <c r="AG27" s="771" t="n"/>
      <c r="AH27" s="158">
        <f>IF('MB (Beckers Wreckers)'!$Y$36&gt;2006+$B$1,'MB (Beckers Wreckers)'!$AA$36,"")</f>
        <v/>
      </c>
      <c r="AI27" s="770">
        <f>IF('MB (Beckers Wreckers)'!$Y$36&gt;2006+$B$1,'MB (Beckers Wreckers)'!$Y$36,"")</f>
        <v/>
      </c>
      <c r="AJ27" s="771" t="n"/>
      <c r="AK27" s="158">
        <f>IF('MH (sabermutrics)'!$Y$36&gt;2006+$B$1,'MH (sabermutrics)'!$AA$36,"")</f>
        <v/>
      </c>
      <c r="AL27" s="770">
        <f>IF('MH (sabermutrics)'!$Y$36&gt;2006+$B$1,'MH (sabermutrics)'!$Y$36,"")</f>
        <v/>
      </c>
      <c r="AM27" s="771" t="n"/>
      <c r="AN27" s="158">
        <f>IF('MT (Tradezilla)'!$Y$36&gt;2006+$B$1,'MT (Tradezilla)'!$AA$36,"")</f>
        <v/>
      </c>
      <c r="AO27" s="770">
        <f>IF('MT (Tradezilla)'!$Y$36&gt;2006+$B$1,'MT (Tradezilla)'!$Y$36,"")</f>
        <v/>
      </c>
      <c r="AP27" s="771" t="n"/>
      <c r="AQ27" s="158">
        <f>IF('SM (Dawsyn)'!$Y$36&gt;2006+$B$1,'SM (Dawsyn)'!$AA$36,"")</f>
        <v/>
      </c>
      <c r="AR27" s="770">
        <f>IF('SM (Dawsyn)'!$Y$36&gt;2006+$B$1,'SM (Dawsyn)'!$Y$36,"")</f>
        <v/>
      </c>
      <c r="AS27" s="771" t="n"/>
    </row>
    <row r="28" hidden="1" ht="11.25" customHeight="1" s="26">
      <c r="B28" s="766" t="n"/>
      <c r="C28" s="144" t="n"/>
      <c r="D28" s="767">
        <f>IF('AC (Dumpster Fires)'!$Y$39&gt;2006+$B$1,'AC (Dumpster Fires)'!$O$39,"")</f>
        <v/>
      </c>
      <c r="E28" s="768" t="n"/>
      <c r="F28" s="769" t="n"/>
      <c r="G28" s="767">
        <f>IF('AW (Minor)'!$Y$39&gt;2006+$B$1,'AW (Minor)'!$O$39,"")</f>
        <v/>
      </c>
      <c r="H28" s="768" t="n"/>
      <c r="I28" s="769" t="n"/>
      <c r="J28" s="767">
        <f>IF('BL (Brockasauras)'!$Y$39&gt;2006+$B$1,'BL (Brockasauras)'!$O$39,"")</f>
        <v/>
      </c>
      <c r="K28" s="768" t="n"/>
      <c r="L28" s="769" t="n"/>
      <c r="M28" s="767">
        <f>IF('CN (Nygaardians)'!$Y$39&gt;2006+$B$1,'CN (Nygaardians)'!$O$39,"")</f>
        <v/>
      </c>
      <c r="N28" s="768" t="n"/>
      <c r="O28" s="769" t="n"/>
      <c r="P28" s="767">
        <f>IF('CS (Shag Dawgs)'!$Y$39&gt;2006+$B$1,'CS (Shag Dawgs)'!$O$39,"")</f>
        <v/>
      </c>
      <c r="Q28" s="768" t="n"/>
      <c r="R28" s="769" t="n"/>
      <c r="S28" s="767">
        <f>IF('DC (Cliff Lee Was Here)'!$Y$39&gt;2006+$B$1,'DC (Cliff Lee Was Here)'!$O$39,"")</f>
        <v/>
      </c>
      <c r="T28" s="768" t="n"/>
      <c r="U28" s="769" t="n"/>
      <c r="V28" s="767">
        <f>IF('JM (JMoney)'!$Y$39&gt;2006+$B$1,'JM (JMoney)'!$O$39,"")</f>
        <v/>
      </c>
      <c r="W28" s="768" t="n"/>
      <c r="X28" s="769" t="n"/>
      <c r="Y28" s="767">
        <f>IF('JJ (metropolitans)'!$Y$39&gt;2006+$B$1,'JJ (metropolitans)'!$O$39,"")</f>
        <v/>
      </c>
      <c r="Z28" s="768" t="n"/>
      <c r="AA28" s="769" t="n"/>
      <c r="AB28" s="767">
        <f>IF('KJ (Stat Sandwich)'!$Y$39&gt;2006+$B$1,'KJ (Stat Sandwich)'!$O$39,"")</f>
        <v/>
      </c>
      <c r="AC28" s="768" t="n"/>
      <c r="AD28" s="769" t="n"/>
      <c r="AE28" s="767">
        <f>IF('EP (Winning De)'!$Y$39&gt;2006+$B$1,'EP (Winning De)'!$O$39,"")</f>
        <v/>
      </c>
      <c r="AF28" s="768" t="n"/>
      <c r="AG28" s="769" t="n"/>
      <c r="AH28" s="767">
        <f>IF('MB (Beckers Wreckers)'!$Y$39&gt;2006+$B$1,'MB (Beckers Wreckers)'!$O$39,"")</f>
        <v/>
      </c>
      <c r="AI28" s="768" t="n"/>
      <c r="AJ28" s="769" t="n"/>
      <c r="AK28" s="767">
        <f>IF('MH (sabermutrics)'!$Y$39&gt;2006+$B$1,'MH (sabermutrics)'!$O$39,"")</f>
        <v/>
      </c>
      <c r="AL28" s="768" t="n"/>
      <c r="AM28" s="769" t="n"/>
      <c r="AN28" s="767">
        <f>IF('MT (Tradezilla)'!$Y$39&gt;2006+$B$1,'MT (Tradezilla)'!$O$39,"")</f>
        <v/>
      </c>
      <c r="AO28" s="768" t="n"/>
      <c r="AP28" s="769" t="n"/>
      <c r="AQ28" s="767">
        <f>IF('SM (Dawsyn)'!$Y$39&gt;2006+$B$1,'SM (Dawsyn)'!$O$39,"")</f>
        <v/>
      </c>
      <c r="AR28" s="768" t="n"/>
      <c r="AS28" s="769" t="n"/>
    </row>
    <row r="29" hidden="1" ht="11.25" customHeight="1" s="26">
      <c r="B29" s="766" t="n"/>
      <c r="C29" s="144" t="n"/>
      <c r="D29" s="158">
        <f>IF('AC (Dumpster Fires)'!$Y$39&gt;2006+$B$1,'AC (Dumpster Fires)'!$AA$39,"")</f>
        <v/>
      </c>
      <c r="E29" s="770">
        <f>IF('AC (Dumpster Fires)'!$Y$39&gt;2006+$B$1,'AC (Dumpster Fires)'!$Y$39,"")</f>
        <v/>
      </c>
      <c r="F29" s="771" t="n"/>
      <c r="G29" s="158">
        <f>IF('AW (Minor)'!$Y$39&gt;2006+$B$1,'AW (Minor)'!$AA$39,"")</f>
        <v/>
      </c>
      <c r="H29" s="770">
        <f>IF('AW (Minor)'!$Y$39&gt;2006+$B$1,'AW (Minor)'!$Y$39,"")</f>
        <v/>
      </c>
      <c r="I29" s="771" t="n"/>
      <c r="J29" s="158">
        <f>IF('BL (Brockasauras)'!$Y$39&gt;2006+$B$1,'BL (Brockasauras)'!$AA$39,"")</f>
        <v/>
      </c>
      <c r="K29" s="770">
        <f>IF('BL (Brockasauras)'!$Y$39&gt;2006+$B$1,'BL (Brockasauras)'!$Y$39,"")</f>
        <v/>
      </c>
      <c r="L29" s="771" t="n"/>
      <c r="M29" s="158">
        <f>IF('CN (Nygaardians)'!$Y$39&gt;2006+$B$1,'CN (Nygaardians)'!$AA$39,"")</f>
        <v/>
      </c>
      <c r="N29" s="770">
        <f>IF('CN (Nygaardians)'!$Y$39&gt;2006+$B$1,'CN (Nygaardians)'!$Y$39,"")</f>
        <v/>
      </c>
      <c r="O29" s="771" t="n"/>
      <c r="P29" s="158">
        <f>IF('CS (Shag Dawgs)'!$Y$39&gt;2006+$B$1,'CS (Shag Dawgs)'!$AA$39,"")</f>
        <v/>
      </c>
      <c r="Q29" s="770">
        <f>IF('CS (Shag Dawgs)'!$Y$39&gt;2006+$B$1,'CS (Shag Dawgs)'!$Y$39,"")</f>
        <v/>
      </c>
      <c r="R29" s="771" t="n"/>
      <c r="S29" s="158">
        <f>IF('DC (Cliff Lee Was Here)'!$Y$39&gt;2006+$B$1,'DC (Cliff Lee Was Here)'!$AA$39,"")</f>
        <v/>
      </c>
      <c r="T29" s="770">
        <f>IF('DC (Cliff Lee Was Here)'!$Y$39&gt;2006+$B$1,'DC (Cliff Lee Was Here)'!$Y$39,"")</f>
        <v/>
      </c>
      <c r="U29" s="771" t="n"/>
      <c r="V29" s="158">
        <f>IF('JM (JMoney)'!$Y$39&gt;2006+$B$1,'JM (JMoney)'!$AA$39,"")</f>
        <v/>
      </c>
      <c r="W29" s="770">
        <f>IF('JM (JMoney)'!$Y$39&gt;2006+$B$1,'JM (JMoney)'!$Y$39,"")</f>
        <v/>
      </c>
      <c r="X29" s="771" t="n"/>
      <c r="Y29" s="158">
        <f>IF('JJ (metropolitans)'!$Y$39&gt;2006+$B$1,'JJ (metropolitans)'!$AA$39,"")</f>
        <v/>
      </c>
      <c r="Z29" s="770">
        <f>IF('JJ (metropolitans)'!$Y$39&gt;2006+$B$1,'JJ (metropolitans)'!$Y$39,"")</f>
        <v/>
      </c>
      <c r="AA29" s="771" t="n"/>
      <c r="AB29" s="158">
        <f>IF('KJ (Stat Sandwich)'!$Y$39&gt;2006+$B$1,'KJ (Stat Sandwich)'!$AA$39,"")</f>
        <v/>
      </c>
      <c r="AC29" s="770">
        <f>IF('KJ (Stat Sandwich)'!$Y$39&gt;2006+$B$1,'KJ (Stat Sandwich)'!$Y$39,"")</f>
        <v/>
      </c>
      <c r="AD29" s="771" t="n"/>
      <c r="AE29" s="158">
        <f>IF('EP (Winning De)'!$Y$39&gt;2006+$B$1,'EP (Winning De)'!$AA$39,"")</f>
        <v/>
      </c>
      <c r="AF29" s="770">
        <f>IF('EP (Winning De)'!$Y$39&gt;2006+$B$1,'EP (Winning De)'!$Y$39,"")</f>
        <v/>
      </c>
      <c r="AG29" s="771" t="n"/>
      <c r="AH29" s="158">
        <f>IF('MB (Beckers Wreckers)'!$Y$39&gt;2006+$B$1,'MB (Beckers Wreckers)'!$AA$39,"")</f>
        <v/>
      </c>
      <c r="AI29" s="770">
        <f>IF('MB (Beckers Wreckers)'!$Y$39&gt;2006+$B$1,'MB (Beckers Wreckers)'!$Y$39,"")</f>
        <v/>
      </c>
      <c r="AJ29" s="771" t="n"/>
      <c r="AK29" s="158">
        <f>IF('MH (sabermutrics)'!$Y$39&gt;2006+$B$1,'MH (sabermutrics)'!$AA$39,"")</f>
        <v/>
      </c>
      <c r="AL29" s="770">
        <f>IF('MH (sabermutrics)'!$Y$39&gt;2006+$B$1,'MH (sabermutrics)'!$Y$39,"")</f>
        <v/>
      </c>
      <c r="AM29" s="771" t="n"/>
      <c r="AN29" s="158">
        <f>IF('MT (Tradezilla)'!$Y$39&gt;2006+$B$1,'MT (Tradezilla)'!$AA$39,"")</f>
        <v/>
      </c>
      <c r="AO29" s="770">
        <f>IF('MT (Tradezilla)'!$Y$39&gt;2006+$B$1,'MT (Tradezilla)'!$Y$39,"")</f>
        <v/>
      </c>
      <c r="AP29" s="771" t="n"/>
      <c r="AQ29" s="158">
        <f>IF('SM (Dawsyn)'!$Y$39&gt;2006+$B$1,'SM (Dawsyn)'!$AA$39,"")</f>
        <v/>
      </c>
      <c r="AR29" s="770">
        <f>IF('SM (Dawsyn)'!$Y$39&gt;2006+$B$1,'SM (Dawsyn)'!$Y$39,"")</f>
        <v/>
      </c>
      <c r="AS29" s="771" t="n"/>
    </row>
    <row r="30" hidden="1" ht="11.25" customHeight="1" s="26">
      <c r="B30" s="766" t="n"/>
      <c r="C30" s="144" t="n"/>
      <c r="D30" s="767">
        <f>IF('AC (Dumpster Fires)'!$Y$42&gt;2006+$B$1,'AC (Dumpster Fires)'!$O$42,"")</f>
        <v/>
      </c>
      <c r="E30" s="768" t="n"/>
      <c r="F30" s="769" t="n"/>
      <c r="G30" s="767">
        <f>IF('AW (Minor)'!$Y$42&gt;2006+$B$1,'AW (Minor)'!$O$42,"")</f>
        <v/>
      </c>
      <c r="H30" s="768" t="n"/>
      <c r="I30" s="769" t="n"/>
      <c r="J30" s="767">
        <f>IF('BL (Brockasauras)'!$Y$42&gt;2006+$B$1,'BL (Brockasauras)'!$O$42,"")</f>
        <v/>
      </c>
      <c r="K30" s="768" t="n"/>
      <c r="L30" s="769" t="n"/>
      <c r="M30" s="767">
        <f>IF('CN (Nygaardians)'!$Y$42&gt;2006+$B$1,'CN (Nygaardians)'!$O$42,"")</f>
        <v/>
      </c>
      <c r="N30" s="768" t="n"/>
      <c r="O30" s="769" t="n"/>
      <c r="P30" s="767">
        <f>IF('CS (Shag Dawgs)'!$Y$42&gt;2006+$B$1,'CS (Shag Dawgs)'!$O$42,"")</f>
        <v/>
      </c>
      <c r="Q30" s="768" t="n"/>
      <c r="R30" s="769" t="n"/>
      <c r="S30" s="767">
        <f>IF('DC (Cliff Lee Was Here)'!$Y$42&gt;2006+$B$1,'DC (Cliff Lee Was Here)'!$O$42,"")</f>
        <v/>
      </c>
      <c r="T30" s="768" t="n"/>
      <c r="U30" s="769" t="n"/>
      <c r="V30" s="767">
        <f>IF('JM (JMoney)'!$Y$42&gt;2006+$B$1,'JM (JMoney)'!$O$42,"")</f>
        <v/>
      </c>
      <c r="W30" s="768" t="n"/>
      <c r="X30" s="769" t="n"/>
      <c r="Y30" s="767">
        <f>IF('JJ (metropolitans)'!$Y$42&gt;2006+$B$1,'JJ (metropolitans)'!$O$42,"")</f>
        <v/>
      </c>
      <c r="Z30" s="768" t="n"/>
      <c r="AA30" s="769" t="n"/>
      <c r="AB30" s="767">
        <f>IF('KJ (Stat Sandwich)'!$Y$42&gt;2006+$B$1,'KJ (Stat Sandwich)'!$O$42,"")</f>
        <v/>
      </c>
      <c r="AC30" s="768" t="n"/>
      <c r="AD30" s="769" t="n"/>
      <c r="AE30" s="767">
        <f>IF('EP (Winning De)'!$Y$42&gt;2006+$B$1,'EP (Winning De)'!$O$42,"")</f>
        <v/>
      </c>
      <c r="AF30" s="768" t="n"/>
      <c r="AG30" s="769" t="n"/>
      <c r="AH30" s="767">
        <f>IF('MB (Beckers Wreckers)'!$Y$42&gt;2006+$B$1,'MB (Beckers Wreckers)'!$O$42,"")</f>
        <v/>
      </c>
      <c r="AI30" s="768" t="n"/>
      <c r="AJ30" s="769" t="n"/>
      <c r="AK30" s="767">
        <f>IF('MH (sabermutrics)'!$Y$42&gt;2006+$B$1,'MH (sabermutrics)'!$O$42,"")</f>
        <v/>
      </c>
      <c r="AL30" s="768" t="n"/>
      <c r="AM30" s="769" t="n"/>
      <c r="AN30" s="767">
        <f>IF('MT (Tradezilla)'!$Y$42&gt;2006+$B$1,'MT (Tradezilla)'!$O$42,"")</f>
        <v/>
      </c>
      <c r="AO30" s="768" t="n"/>
      <c r="AP30" s="769" t="n"/>
      <c r="AQ30" s="767">
        <f>IF('SM (Dawsyn)'!$Y$42&gt;2006+$B$1,'SM (Dawsyn)'!$O$42,"")</f>
        <v/>
      </c>
      <c r="AR30" s="768" t="n"/>
      <c r="AS30" s="769" t="n"/>
    </row>
    <row r="31" hidden="1" ht="11.25" customHeight="1" s="26">
      <c r="B31" s="766" t="n"/>
      <c r="C31" s="144" t="n"/>
      <c r="D31" s="158">
        <f>IF('AC (Dumpster Fires)'!$Y$42&gt;2006+$B$1,'AC (Dumpster Fires)'!$AA$42,"")</f>
        <v/>
      </c>
      <c r="E31" s="770">
        <f>IF('AC (Dumpster Fires)'!$Y$42&gt;2006+$B$1,'AC (Dumpster Fires)'!$Y$42,"")</f>
        <v/>
      </c>
      <c r="F31" s="771" t="n"/>
      <c r="G31" s="158">
        <f>IF('AW (Minor)'!$Y$42&gt;2006+$B$1,'AW (Minor)'!$AA$42,"")</f>
        <v/>
      </c>
      <c r="H31" s="770">
        <f>IF('AW (Minor)'!$Y$42&gt;2006+$B$1,'AW (Minor)'!$Y$42,"")</f>
        <v/>
      </c>
      <c r="I31" s="771" t="n"/>
      <c r="J31" s="158">
        <f>IF('BL (Brockasauras)'!$Y$42&gt;2006+$B$1,'BL (Brockasauras)'!$AA$42,"")</f>
        <v/>
      </c>
      <c r="K31" s="770">
        <f>IF('BL (Brockasauras)'!$Y$42&gt;2006+$B$1,'BL (Brockasauras)'!$Y$42,"")</f>
        <v/>
      </c>
      <c r="L31" s="771" t="n"/>
      <c r="M31" s="158">
        <f>IF('CN (Nygaardians)'!$Y$42&gt;2006+$B$1,'CN (Nygaardians)'!$AA$42,"")</f>
        <v/>
      </c>
      <c r="N31" s="770">
        <f>IF('CN (Nygaardians)'!$Y$42&gt;2006+$B$1,'CN (Nygaardians)'!$Y$42,"")</f>
        <v/>
      </c>
      <c r="O31" s="771" t="n"/>
      <c r="P31" s="158">
        <f>IF('CS (Shag Dawgs)'!$Y$42&gt;2006+$B$1,'CS (Shag Dawgs)'!$AA$42,"")</f>
        <v/>
      </c>
      <c r="Q31" s="770">
        <f>IF('CS (Shag Dawgs)'!$Y$42&gt;2006+$B$1,'CS (Shag Dawgs)'!$Y$42,"")</f>
        <v/>
      </c>
      <c r="R31" s="771" t="n"/>
      <c r="S31" s="158">
        <f>IF('DC (Cliff Lee Was Here)'!$Y$42&gt;2006+$B$1,'DC (Cliff Lee Was Here)'!$AA$42,"")</f>
        <v/>
      </c>
      <c r="T31" s="770">
        <f>IF('DC (Cliff Lee Was Here)'!$Y$42&gt;2006+$B$1,'DC (Cliff Lee Was Here)'!$Y$42,"")</f>
        <v/>
      </c>
      <c r="U31" s="771" t="n"/>
      <c r="V31" s="158">
        <f>IF('JM (JMoney)'!$Y$42&gt;2006+$B$1,'JM (JMoney)'!$AA$42,"")</f>
        <v/>
      </c>
      <c r="W31" s="770">
        <f>IF('JM (JMoney)'!$Y$42&gt;2006+$B$1,'JM (JMoney)'!$Y$42,"")</f>
        <v/>
      </c>
      <c r="X31" s="771" t="n"/>
      <c r="Y31" s="158">
        <f>IF('JJ (metropolitans)'!$Y$42&gt;2006+$B$1,'JJ (metropolitans)'!$AA$42,"")</f>
        <v/>
      </c>
      <c r="Z31" s="770">
        <f>IF('JJ (metropolitans)'!$Y$42&gt;2006+$B$1,'JJ (metropolitans)'!$Y$42,"")</f>
        <v/>
      </c>
      <c r="AA31" s="771" t="n"/>
      <c r="AB31" s="158">
        <f>IF('KJ (Stat Sandwich)'!$Y$42&gt;2006+$B$1,'KJ (Stat Sandwich)'!$AA$42,"")</f>
        <v/>
      </c>
      <c r="AC31" s="770">
        <f>IF('KJ (Stat Sandwich)'!$Y$42&gt;2006+$B$1,'KJ (Stat Sandwich)'!$Y$42,"")</f>
        <v/>
      </c>
      <c r="AD31" s="771" t="n"/>
      <c r="AE31" s="158">
        <f>IF('EP (Winning De)'!$Y$42&gt;2006+$B$1,'EP (Winning De)'!$AA$42,"")</f>
        <v/>
      </c>
      <c r="AF31" s="770">
        <f>IF('EP (Winning De)'!$Y$42&gt;2006+$B$1,'EP (Winning De)'!$Y$42,"")</f>
        <v/>
      </c>
      <c r="AG31" s="771" t="n"/>
      <c r="AH31" s="158">
        <f>IF('MB (Beckers Wreckers)'!$Y$42&gt;2006+$B$1,'MB (Beckers Wreckers)'!$AA$42,"")</f>
        <v/>
      </c>
      <c r="AI31" s="770">
        <f>IF('MB (Beckers Wreckers)'!$Y$42&gt;2006+$B$1,'MB (Beckers Wreckers)'!$Y$42,"")</f>
        <v/>
      </c>
      <c r="AJ31" s="771" t="n"/>
      <c r="AK31" s="158">
        <f>IF('MH (sabermutrics)'!$Y$42&gt;2006+$B$1,'MH (sabermutrics)'!$AA$42,"")</f>
        <v/>
      </c>
      <c r="AL31" s="770">
        <f>IF('MH (sabermutrics)'!$Y$42&gt;2006+$B$1,'MH (sabermutrics)'!$Y$42,"")</f>
        <v/>
      </c>
      <c r="AM31" s="771" t="n"/>
      <c r="AN31" s="158">
        <f>IF('MT (Tradezilla)'!$Y$42&gt;2006+$B$1,'MT (Tradezilla)'!$AA$42,"")</f>
        <v/>
      </c>
      <c r="AO31" s="770">
        <f>IF('MT (Tradezilla)'!$Y$42&gt;2006+$B$1,'MT (Tradezilla)'!$Y$42,"")</f>
        <v/>
      </c>
      <c r="AP31" s="771" t="n"/>
      <c r="AQ31" s="158">
        <f>IF('SM (Dawsyn)'!$Y$42&gt;2006+$B$1,'SM (Dawsyn)'!$AA$42,"")</f>
        <v/>
      </c>
      <c r="AR31" s="770">
        <f>IF('SM (Dawsyn)'!$Y$42&gt;2006+$B$1,'SM (Dawsyn)'!$Y$42,"")</f>
        <v/>
      </c>
      <c r="AS31" s="771" t="n"/>
    </row>
    <row r="32" hidden="1" ht="11.25" customHeight="1" s="26">
      <c r="B32" s="766" t="n"/>
      <c r="C32" s="144" t="n"/>
      <c r="D32" s="767">
        <f>IF('AC (Dumpster Fires)'!$Y$45&gt;2006+$B$1,'AC (Dumpster Fires)'!$O$45,"")</f>
        <v/>
      </c>
      <c r="E32" s="768" t="n"/>
      <c r="F32" s="769" t="n"/>
      <c r="G32" s="767">
        <f>IF('AW (Minor)'!$Y$45&gt;2006+$B$1,'AW (Minor)'!$O$45,"")</f>
        <v/>
      </c>
      <c r="H32" s="768" t="n"/>
      <c r="I32" s="769" t="n"/>
      <c r="J32" s="767">
        <f>IF('BL (Brockasauras)'!$Y$45&gt;2006+$B$1,'BL (Brockasauras)'!$O$45,"")</f>
        <v/>
      </c>
      <c r="K32" s="768" t="n"/>
      <c r="L32" s="769" t="n"/>
      <c r="M32" s="767">
        <f>IF('CN (Nygaardians)'!$Y$45&gt;2006+$B$1,'CN (Nygaardians)'!$O$45,"")</f>
        <v/>
      </c>
      <c r="N32" s="768" t="n"/>
      <c r="O32" s="769" t="n"/>
      <c r="P32" s="767">
        <f>IF('CS (Shag Dawgs)'!$Y$45&gt;2006+$B$1,'CS (Shag Dawgs)'!$O$45,"")</f>
        <v/>
      </c>
      <c r="Q32" s="768" t="n"/>
      <c r="R32" s="769" t="n"/>
      <c r="S32" s="767">
        <f>IF('DC (Cliff Lee Was Here)'!$Y$45&gt;2006+$B$1,'DC (Cliff Lee Was Here)'!$O$45,"")</f>
        <v/>
      </c>
      <c r="T32" s="768" t="n"/>
      <c r="U32" s="769" t="n"/>
      <c r="V32" s="767">
        <f>IF('JM (JMoney)'!$Y$45&gt;2006+$B$1,'JM (JMoney)'!$O$45,"")</f>
        <v/>
      </c>
      <c r="W32" s="768" t="n"/>
      <c r="X32" s="769" t="n"/>
      <c r="Y32" s="767">
        <f>IF('JJ (metropolitans)'!$Y$45&gt;2006+$B$1,'JJ (metropolitans)'!$O$45,"")</f>
        <v/>
      </c>
      <c r="Z32" s="768" t="n"/>
      <c r="AA32" s="769" t="n"/>
      <c r="AB32" s="767">
        <f>IF('KJ (Stat Sandwich)'!$Y$45&gt;2006+$B$1,'KJ (Stat Sandwich)'!$O$45,"")</f>
        <v/>
      </c>
      <c r="AC32" s="768" t="n"/>
      <c r="AD32" s="769" t="n"/>
      <c r="AE32" s="767">
        <f>IF('EP (Winning De)'!$Y$45&gt;2006+$B$1,'EP (Winning De)'!$O$45,"")</f>
        <v/>
      </c>
      <c r="AF32" s="768" t="n"/>
      <c r="AG32" s="769" t="n"/>
      <c r="AH32" s="767">
        <f>IF('MB (Beckers Wreckers)'!$Y$45&gt;2006+$B$1,'MB (Beckers Wreckers)'!$O$45,"")</f>
        <v/>
      </c>
      <c r="AI32" s="768" t="n"/>
      <c r="AJ32" s="769" t="n"/>
      <c r="AK32" s="767">
        <f>IF('MH (sabermutrics)'!$Y$45&gt;2006+$B$1,'MH (sabermutrics)'!$O$45,"")</f>
        <v/>
      </c>
      <c r="AL32" s="768" t="n"/>
      <c r="AM32" s="769" t="n"/>
      <c r="AN32" s="767">
        <f>IF('MT (Tradezilla)'!$Y$45&gt;2006+$B$1,'MT (Tradezilla)'!$O$45,"")</f>
        <v/>
      </c>
      <c r="AO32" s="768" t="n"/>
      <c r="AP32" s="769" t="n"/>
      <c r="AQ32" s="767">
        <f>IF('SM (Dawsyn)'!$Y$45&gt;2006+$B$1,'SM (Dawsyn)'!$O$45,"")</f>
        <v/>
      </c>
      <c r="AR32" s="768" t="n"/>
      <c r="AS32" s="769" t="n"/>
    </row>
    <row r="33" hidden="1" ht="11.25" customHeight="1" s="26">
      <c r="B33" s="766" t="n"/>
      <c r="C33" s="144" t="n"/>
      <c r="D33" s="158">
        <f>IF('AC (Dumpster Fires)'!$Y$45&gt;2006+$B$1,'AC (Dumpster Fires)'!$AA$45,"")</f>
        <v/>
      </c>
      <c r="E33" s="770">
        <f>IF('AC (Dumpster Fires)'!$Y$45&gt;2006+$B$1,'AC (Dumpster Fires)'!$Y$45,"")</f>
        <v/>
      </c>
      <c r="F33" s="771" t="n"/>
      <c r="G33" s="158">
        <f>IF('AW (Minor)'!$Y$45&gt;2006+$B$1,'AW (Minor)'!$AA$45,"")</f>
        <v/>
      </c>
      <c r="H33" s="770">
        <f>IF('AW (Minor)'!$Y$45&gt;2006+$B$1,'AW (Minor)'!$Y$45,"")</f>
        <v/>
      </c>
      <c r="I33" s="771" t="n"/>
      <c r="J33" s="158">
        <f>IF('BL (Brockasauras)'!$Y$45&gt;2006+$B$1,'BL (Brockasauras)'!$AA$45,"")</f>
        <v/>
      </c>
      <c r="K33" s="770">
        <f>IF('BL (Brockasauras)'!$Y$45&gt;2006+$B$1,'BL (Brockasauras)'!$Y$45,"")</f>
        <v/>
      </c>
      <c r="L33" s="771" t="n"/>
      <c r="M33" s="158">
        <f>IF('CN (Nygaardians)'!$Y$45&gt;2006+$B$1,'CN (Nygaardians)'!$AA$45,"")</f>
        <v/>
      </c>
      <c r="N33" s="770">
        <f>IF('CN (Nygaardians)'!$Y$45&gt;2006+$B$1,'CN (Nygaardians)'!$Y$45,"")</f>
        <v/>
      </c>
      <c r="O33" s="771" t="n"/>
      <c r="P33" s="158">
        <f>IF('CS (Shag Dawgs)'!$Y$45&gt;2006+$B$1,'CS (Shag Dawgs)'!$AA$45,"")</f>
        <v/>
      </c>
      <c r="Q33" s="770">
        <f>IF('CS (Shag Dawgs)'!$Y$45&gt;2006+$B$1,'CS (Shag Dawgs)'!$Y$45,"")</f>
        <v/>
      </c>
      <c r="R33" s="771" t="n"/>
      <c r="S33" s="158">
        <f>IF('DC (Cliff Lee Was Here)'!$Y$45&gt;2006+$B$1,'DC (Cliff Lee Was Here)'!$AA$45,"")</f>
        <v/>
      </c>
      <c r="T33" s="770">
        <f>IF('DC (Cliff Lee Was Here)'!$Y$45&gt;2006+$B$1,'DC (Cliff Lee Was Here)'!$Y$45,"")</f>
        <v/>
      </c>
      <c r="U33" s="771" t="n"/>
      <c r="V33" s="158">
        <f>IF('JM (JMoney)'!$Y$45&gt;2006+$B$1,'JM (JMoney)'!$AA$45,"")</f>
        <v/>
      </c>
      <c r="W33" s="770">
        <f>IF('JM (JMoney)'!$Y$45&gt;2006+$B$1,'JM (JMoney)'!$Y$45,"")</f>
        <v/>
      </c>
      <c r="X33" s="771" t="n"/>
      <c r="Y33" s="158">
        <f>IF('JJ (metropolitans)'!$Y$45&gt;2006+$B$1,'JJ (metropolitans)'!$AA$45,"")</f>
        <v/>
      </c>
      <c r="Z33" s="770">
        <f>IF('JJ (metropolitans)'!$Y$45&gt;2006+$B$1,'JJ (metropolitans)'!$Y$45,"")</f>
        <v/>
      </c>
      <c r="AA33" s="771" t="n"/>
      <c r="AB33" s="158">
        <f>IF('KJ (Stat Sandwich)'!$Y$45&gt;2006+$B$1,'KJ (Stat Sandwich)'!$AA$45,"")</f>
        <v/>
      </c>
      <c r="AC33" s="770">
        <f>IF('KJ (Stat Sandwich)'!$Y$45&gt;2006+$B$1,'KJ (Stat Sandwich)'!$Y$45,"")</f>
        <v/>
      </c>
      <c r="AD33" s="771" t="n"/>
      <c r="AE33" s="158">
        <f>IF('EP (Winning De)'!$Y$45&gt;2006+$B$1,'EP (Winning De)'!$AA$45,"")</f>
        <v/>
      </c>
      <c r="AF33" s="770">
        <f>IF('EP (Winning De)'!$Y$45&gt;2006+$B$1,'EP (Winning De)'!$Y$45,"")</f>
        <v/>
      </c>
      <c r="AG33" s="771" t="n"/>
      <c r="AH33" s="158">
        <f>IF('MB (Beckers Wreckers)'!$Y$45&gt;2006+$B$1,'MB (Beckers Wreckers)'!$AA$45,"")</f>
        <v/>
      </c>
      <c r="AI33" s="770">
        <f>IF('MB (Beckers Wreckers)'!$Y$45&gt;2006+$B$1,'MB (Beckers Wreckers)'!$Y$45,"")</f>
        <v/>
      </c>
      <c r="AJ33" s="771" t="n"/>
      <c r="AK33" s="158">
        <f>IF('MH (sabermutrics)'!$Y$45&gt;2006+$B$1,'MH (sabermutrics)'!$AA$45,"")</f>
        <v/>
      </c>
      <c r="AL33" s="770">
        <f>IF('MH (sabermutrics)'!$Y$45&gt;2006+$B$1,'MH (sabermutrics)'!$Y$45,"")</f>
        <v/>
      </c>
      <c r="AM33" s="771" t="n"/>
      <c r="AN33" s="158">
        <f>IF('MT (Tradezilla)'!$Y$45&gt;2006+$B$1,'MT (Tradezilla)'!$AA$45,"")</f>
        <v/>
      </c>
      <c r="AO33" s="770">
        <f>IF('MT (Tradezilla)'!$Y$45&gt;2006+$B$1,'MT (Tradezilla)'!$Y$45,"")</f>
        <v/>
      </c>
      <c r="AP33" s="771" t="n"/>
      <c r="AQ33" s="158">
        <f>IF('SM (Dawsyn)'!$Y$45&gt;2006+$B$1,'SM (Dawsyn)'!$AA$45,"")</f>
        <v/>
      </c>
      <c r="AR33" s="770">
        <f>IF('SM (Dawsyn)'!$Y$45&gt;2006+$B$1,'SM (Dawsyn)'!$Y$45,"")</f>
        <v/>
      </c>
      <c r="AS33" s="771" t="n"/>
    </row>
    <row r="34" hidden="1" ht="11.25" customHeight="1" s="26">
      <c r="B34" s="766" t="n"/>
      <c r="C34" s="144" t="n"/>
      <c r="D34" s="767">
        <f>IF('AC (Dumpster Fires)'!$Y$48&gt;2006+$B$1,'AC (Dumpster Fires)'!$O$48,"")</f>
        <v/>
      </c>
      <c r="E34" s="768" t="n"/>
      <c r="F34" s="769" t="n"/>
      <c r="G34" s="767">
        <f>IF('AW (Minor)'!$Y$48&gt;2006+$B$1,'AW (Minor)'!$O$48,"")</f>
        <v/>
      </c>
      <c r="H34" s="768" t="n"/>
      <c r="I34" s="769" t="n"/>
      <c r="J34" s="767">
        <f>IF('BL (Brockasauras)'!$Y$48&gt;2006+$B$1,'BL (Brockasauras)'!$O$48,"")</f>
        <v/>
      </c>
      <c r="K34" s="768" t="n"/>
      <c r="L34" s="769" t="n"/>
      <c r="M34" s="767">
        <f>IF('CN (Nygaardians)'!$Y$48&gt;2006+$B$1,'CN (Nygaardians)'!$O$48,"")</f>
        <v/>
      </c>
      <c r="N34" s="768" t="n"/>
      <c r="O34" s="769" t="n"/>
      <c r="P34" s="767">
        <f>IF('CS (Shag Dawgs)'!$Y$48&gt;2006+$B$1,'CS (Shag Dawgs)'!$O$48,"")</f>
        <v/>
      </c>
      <c r="Q34" s="768" t="n"/>
      <c r="R34" s="769" t="n"/>
      <c r="S34" s="767">
        <f>IF('DC (Cliff Lee Was Here)'!$Y$48&gt;2006+$B$1,'DC (Cliff Lee Was Here)'!$O$48,"")</f>
        <v/>
      </c>
      <c r="T34" s="768" t="n"/>
      <c r="U34" s="769" t="n"/>
      <c r="V34" s="767">
        <f>IF('JM (JMoney)'!$Y$48&gt;2006+$B$1,'JM (JMoney)'!$O$48,"")</f>
        <v/>
      </c>
      <c r="W34" s="768" t="n"/>
      <c r="X34" s="769" t="n"/>
      <c r="Y34" s="767">
        <f>IF('JJ (metropolitans)'!$Y$48&gt;2006+$B$1,'JJ (metropolitans)'!$O$48,"")</f>
        <v/>
      </c>
      <c r="Z34" s="768" t="n"/>
      <c r="AA34" s="769" t="n"/>
      <c r="AB34" s="767">
        <f>IF('KJ (Stat Sandwich)'!$Y$48&gt;2006+$B$1,'KJ (Stat Sandwich)'!$O$48,"")</f>
        <v/>
      </c>
      <c r="AC34" s="768" t="n"/>
      <c r="AD34" s="769" t="n"/>
      <c r="AE34" s="767">
        <f>IF('EP (Winning De)'!$Y$48&gt;2006+$B$1,'EP (Winning De)'!$O$48,"")</f>
        <v/>
      </c>
      <c r="AF34" s="768" t="n"/>
      <c r="AG34" s="769" t="n"/>
      <c r="AH34" s="767">
        <f>IF('MB (Beckers Wreckers)'!$Y$48&gt;2006+$B$1,'MB (Beckers Wreckers)'!$O$48,"")</f>
        <v/>
      </c>
      <c r="AI34" s="768" t="n"/>
      <c r="AJ34" s="769" t="n"/>
      <c r="AK34" s="767">
        <f>IF('MH (sabermutrics)'!$Y$48&gt;2006+$B$1,'MH (sabermutrics)'!$O$48,"")</f>
        <v/>
      </c>
      <c r="AL34" s="768" t="n"/>
      <c r="AM34" s="769" t="n"/>
      <c r="AN34" s="767">
        <f>IF('MT (Tradezilla)'!$Y$48&gt;2006+$B$1,'MT (Tradezilla)'!$O$48,"")</f>
        <v/>
      </c>
      <c r="AO34" s="768" t="n"/>
      <c r="AP34" s="769" t="n"/>
      <c r="AQ34" s="767">
        <f>IF('SM (Dawsyn)'!$Y$48&gt;2006+$B$1,'SM (Dawsyn)'!$O$48,"")</f>
        <v/>
      </c>
      <c r="AR34" s="768" t="n"/>
      <c r="AS34" s="769" t="n"/>
    </row>
    <row r="35" hidden="1" ht="11.25" customHeight="1" s="26">
      <c r="A35" s="759" t="n"/>
      <c r="B35" s="756" t="n"/>
      <c r="C35" s="507" t="n"/>
      <c r="D35" s="158">
        <f>IF('AC (Dumpster Fires)'!$Y$48&gt;2006+$B$1,'AC (Dumpster Fires)'!$AA$48,"")</f>
        <v/>
      </c>
      <c r="E35" s="770">
        <f>IF('AC (Dumpster Fires)'!$Y$48&gt;2006+$B$1,'AC (Dumpster Fires)'!$Y$48,"")</f>
        <v/>
      </c>
      <c r="F35" s="771" t="n"/>
      <c r="G35" s="158">
        <f>IF('AW (Minor)'!$Y$48&gt;2006+$B$1,'AW (Minor)'!$AA$48,"")</f>
        <v/>
      </c>
      <c r="H35" s="772">
        <f>IF('AW (Minor)'!$Y$48&gt;2006+$B$1,'AW (Minor)'!$Y$48,"")</f>
        <v/>
      </c>
      <c r="I35" s="756" t="n"/>
      <c r="J35" s="158">
        <f>IF('BL (Brockasauras)'!$Y$48&gt;2006+$B$1,'BL (Brockasauras)'!$AA$48,"")</f>
        <v/>
      </c>
      <c r="K35" s="770">
        <f>IF('BL (Brockasauras)'!$Y$48&gt;2006+$B$1,'BL (Brockasauras)'!$Y$48,"")</f>
        <v/>
      </c>
      <c r="L35" s="771" t="n"/>
      <c r="M35" s="158">
        <f>IF('CN (Nygaardians)'!$Y$48&gt;2006+$B$1,'CN (Nygaardians)'!$AA$48,"")</f>
        <v/>
      </c>
      <c r="N35" s="772">
        <f>IF('CN (Nygaardians)'!$Y$48&gt;2006+$B$1,'CN (Nygaardians)'!$Y$48,"")</f>
        <v/>
      </c>
      <c r="O35" s="756" t="n"/>
      <c r="P35" s="158">
        <f>IF('CS (Shag Dawgs)'!$Y$48&gt;2006+$B$1,'CS (Shag Dawgs)'!$AA$48,"")</f>
        <v/>
      </c>
      <c r="Q35" s="770">
        <f>IF('CS (Shag Dawgs)'!$Y$48&gt;2006+$B$1,'CS (Shag Dawgs)'!$Y$48,"")</f>
        <v/>
      </c>
      <c r="R35" s="771" t="n"/>
      <c r="S35" s="158">
        <f>IF('DC (Cliff Lee Was Here)'!$Y$48&gt;2006+$B$1,'DC (Cliff Lee Was Here)'!$AA$48,"")</f>
        <v/>
      </c>
      <c r="T35" s="770">
        <f>IF('DC (Cliff Lee Was Here)'!$Y$48&gt;2006+$B$1,'DC (Cliff Lee Was Here)'!$Y$48,"")</f>
        <v/>
      </c>
      <c r="U35" s="771" t="n"/>
      <c r="V35" s="158">
        <f>IF('JM (JMoney)'!$Y$48&gt;2006+$B$1,'JM (JMoney)'!$AA$48,"")</f>
        <v/>
      </c>
      <c r="W35" s="772">
        <f>IF('JM (JMoney)'!$Y$48&gt;2006+$B$1,'JM (JMoney)'!$Y$48,"")</f>
        <v/>
      </c>
      <c r="X35" s="756" t="n"/>
      <c r="Y35" s="158">
        <f>IF('JJ (metropolitans)'!$Y$48&gt;2006+$B$1,'JJ (metropolitans)'!$AA$48,"")</f>
        <v/>
      </c>
      <c r="Z35" s="770">
        <f>IF('JJ (metropolitans)'!$Y$48&gt;2006+$B$1,'JJ (metropolitans)'!$Y$48,"")</f>
        <v/>
      </c>
      <c r="AA35" s="771" t="n"/>
      <c r="AB35" s="158">
        <f>IF('KJ (Stat Sandwich)'!$Y$48&gt;2006+$B$1,'KJ (Stat Sandwich)'!$AA$48,"")</f>
        <v/>
      </c>
      <c r="AC35" s="770">
        <f>IF('KJ (Stat Sandwich)'!$Y$48&gt;2006+$B$1,'KJ (Stat Sandwich)'!$Y$48,"")</f>
        <v/>
      </c>
      <c r="AD35" s="771" t="n"/>
      <c r="AE35" s="158">
        <f>IF('EP (Winning De)'!$Y$48&gt;2006+$B$1,'EP (Winning De)'!$AA$48,"")</f>
        <v/>
      </c>
      <c r="AF35" s="770">
        <f>IF('EP (Winning De)'!$Y$48&gt;2006+$B$1,'EP (Winning De)'!$Y$48,"")</f>
        <v/>
      </c>
      <c r="AG35" s="771" t="n"/>
      <c r="AH35" s="158">
        <f>IF('MB (Beckers Wreckers)'!$Y$48&gt;2006+$B$1,'MB (Beckers Wreckers)'!$AA$48,"")</f>
        <v/>
      </c>
      <c r="AI35" s="770">
        <f>IF('MB (Beckers Wreckers)'!$Y$48&gt;2006+$B$1,'MB (Beckers Wreckers)'!$Y$48,"")</f>
        <v/>
      </c>
      <c r="AJ35" s="771" t="n"/>
      <c r="AK35" s="158">
        <f>IF('MH (sabermutrics)'!$Y$48&gt;2006+$B$1,'MH (sabermutrics)'!$AA$48,"")</f>
        <v/>
      </c>
      <c r="AL35" s="770">
        <f>IF('MH (sabermutrics)'!$Y$48&gt;2006+$B$1,'MH (sabermutrics)'!$Y$48,"")</f>
        <v/>
      </c>
      <c r="AM35" s="771" t="n"/>
      <c r="AN35" s="158">
        <f>IF('MT (Tradezilla)'!$Y$48&gt;2006+$B$1,'MT (Tradezilla)'!$AA$48,"")</f>
        <v/>
      </c>
      <c r="AO35" s="770">
        <f>IF('MT (Tradezilla)'!$Y$48&gt;2006+$B$1,'MT (Tradezilla)'!$Y$48,"")</f>
        <v/>
      </c>
      <c r="AP35" s="771" t="n"/>
      <c r="AQ35" s="158">
        <f>IF('SM (Dawsyn)'!$Y$48&gt;2006+$B$1,'SM (Dawsyn)'!$AA$48,"")</f>
        <v/>
      </c>
      <c r="AR35" s="772">
        <f>IF('SM (Dawsyn)'!$Y$48&gt;2006+$B$1,'SM (Dawsyn)'!$Y$48,"")</f>
        <v/>
      </c>
      <c r="AS35" s="756" t="n"/>
    </row>
    <row r="36" ht="4.5" customHeight="1" s="26">
      <c r="A36" s="132" t="n"/>
      <c r="B36" s="132" t="n"/>
      <c r="C36" s="509" t="n"/>
      <c r="D36" s="130" t="n"/>
      <c r="E36" s="132" t="n"/>
      <c r="F36" s="134" t="n"/>
      <c r="G36" s="510" t="n"/>
      <c r="H36" s="511" t="n"/>
      <c r="I36" s="512" t="n"/>
      <c r="J36" s="130" t="n"/>
      <c r="K36" s="132" t="n"/>
      <c r="L36" s="134" t="n"/>
      <c r="M36" s="130" t="n"/>
      <c r="N36" s="132" t="n"/>
      <c r="O36" s="134" t="n"/>
      <c r="P36" s="130" t="n"/>
      <c r="Q36" s="132" t="n"/>
      <c r="R36" s="134" t="n"/>
      <c r="S36" s="130" t="n"/>
      <c r="T36" s="132" t="n"/>
      <c r="U36" s="134" t="n"/>
      <c r="V36" s="510" t="n"/>
      <c r="W36" s="511" t="n"/>
      <c r="X36" s="512" t="n"/>
      <c r="Y36" s="130" t="n"/>
      <c r="Z36" s="132" t="n"/>
      <c r="AA36" s="134" t="n"/>
      <c r="AB36" s="130" t="n"/>
      <c r="AC36" s="132" t="n"/>
      <c r="AD36" s="134" t="n"/>
      <c r="AE36" s="130" t="n"/>
      <c r="AF36" s="132" t="n"/>
      <c r="AG36" s="134" t="n"/>
      <c r="AH36" s="130" t="n"/>
      <c r="AI36" s="132" t="n"/>
      <c r="AJ36" s="134" t="n"/>
      <c r="AK36" s="130" t="n"/>
      <c r="AL36" s="132" t="n"/>
      <c r="AM36" s="134" t="n"/>
      <c r="AN36" s="130" t="n"/>
      <c r="AO36" s="132" t="n"/>
      <c r="AP36" s="134" t="n"/>
      <c r="AQ36" s="130" t="n"/>
      <c r="AR36" s="132" t="n"/>
      <c r="AS36" s="134" t="n"/>
    </row>
    <row r="37" ht="11.25" customHeight="1" s="26">
      <c r="A37" s="773" t="inlineStr">
        <is>
          <t>Farm</t>
        </is>
      </c>
      <c r="B37" s="774" t="inlineStr">
        <is>
          <t>MLB experience?   (Yes/No)</t>
        </is>
      </c>
      <c r="C37" s="515" t="n"/>
      <c r="D37" s="775">
        <f>'AC (Dumpster Fires)'!C38</f>
        <v/>
      </c>
      <c r="E37" s="768" t="n"/>
      <c r="F37" s="769" t="n"/>
      <c r="G37" s="775">
        <f>'AW (Minor)'!C38</f>
        <v/>
      </c>
      <c r="H37" s="768" t="n"/>
      <c r="I37" s="769" t="n"/>
      <c r="J37" s="776">
        <f>IF('BL (Brockasauras)'!$F$38&gt;0,'BL (Brockasauras)'!$C$38,"")</f>
        <v/>
      </c>
      <c r="K37" s="753" t="n"/>
      <c r="L37" s="777" t="n"/>
      <c r="M37" s="776">
        <f>IF('CN (Nygaardians)'!$F$38&gt;0,'CN (Nygaardians)'!$C$38,"")</f>
        <v/>
      </c>
      <c r="N37" s="753" t="n"/>
      <c r="O37" s="777" t="n"/>
      <c r="P37" s="776">
        <f>IF('CS (Shag Dawgs)'!$F$38&gt;0,'CS (Shag Dawgs)'!$C$38,"")</f>
        <v/>
      </c>
      <c r="Q37" s="753" t="n"/>
      <c r="R37" s="777" t="n"/>
      <c r="S37" s="776">
        <f>IF('DC (Cliff Lee Was Here)'!$F$39&gt;0,'DC (Cliff Lee Was Here)'!$C$38,"")</f>
        <v/>
      </c>
      <c r="T37" s="753" t="n"/>
      <c r="U37" s="777" t="n"/>
      <c r="V37" s="767">
        <f>IF('JM (JMoney)'!$F$38&gt;0,'JM (JMoney)'!$C$38,"")</f>
        <v/>
      </c>
      <c r="W37" s="768" t="n"/>
      <c r="X37" s="769" t="n"/>
      <c r="Y37" s="776">
        <f>IF('JJ (metropolitans)'!$F$38&gt;0,'JJ (metropolitans)'!$C$38,"")</f>
        <v/>
      </c>
      <c r="Z37" s="753" t="n"/>
      <c r="AA37" s="777" t="n"/>
      <c r="AB37" s="776">
        <f>IF('KJ (Stat Sandwich)'!$F$38&gt;0,'KJ (Stat Sandwich)'!$C$38,"")</f>
        <v/>
      </c>
      <c r="AC37" s="753" t="n"/>
      <c r="AD37" s="777" t="n"/>
      <c r="AE37" s="776">
        <f>IF('EP (Winning De)'!$F$38&gt;0,'EP (Winning De)'!$C$38,"")</f>
        <v/>
      </c>
      <c r="AF37" s="753" t="n"/>
      <c r="AG37" s="777" t="n"/>
      <c r="AH37" s="776">
        <f>IF('MB (Beckers Wreckers)'!$F$38&gt;0,'MB (Beckers Wreckers)'!$C$38,"")</f>
        <v/>
      </c>
      <c r="AI37" s="753" t="n"/>
      <c r="AJ37" s="777" t="n"/>
      <c r="AK37" s="776">
        <f>IF('MH (sabermutrics)'!$F$38&gt;0,'MH (sabermutrics)'!$C$38,"")</f>
        <v/>
      </c>
      <c r="AL37" s="753" t="n"/>
      <c r="AM37" s="777" t="n"/>
      <c r="AN37" s="767">
        <f>IF('MT (Tradezilla)'!$F$38&gt;0,'MT (Tradezilla)'!$C$38,"")</f>
        <v/>
      </c>
      <c r="AO37" s="768" t="n"/>
      <c r="AP37" s="769" t="n"/>
      <c r="AQ37" s="776">
        <f>IF('SM (Dawsyn)'!$F$38&gt;0,'SM (Dawsyn)'!$C$38,"")</f>
        <v/>
      </c>
      <c r="AR37" s="753" t="n"/>
      <c r="AS37" s="777" t="n"/>
    </row>
    <row r="38" ht="11.25" customHeight="1" s="26">
      <c r="B38" s="766" t="n"/>
      <c r="C38" s="519" t="n"/>
      <c r="D38" s="520">
        <f>'AC (Dumpster Fires)'!F38</f>
        <v/>
      </c>
      <c r="E38" s="778">
        <f>'AC (Dumpster Fires)'!I38</f>
        <v/>
      </c>
      <c r="F38" s="771" t="n"/>
      <c r="G38" s="520">
        <f>'AW (Minor)'!F38</f>
        <v/>
      </c>
      <c r="H38" s="778">
        <f>'AW (Minor)'!I38</f>
        <v/>
      </c>
      <c r="I38" s="771" t="n"/>
      <c r="J38" s="158">
        <f>IF('BL (Brockasauras)'!$F$38&gt;0,'BL (Brockasauras)'!$F$38,"")</f>
        <v/>
      </c>
      <c r="K38" s="778">
        <f>IF('BL (Brockasauras)'!$F$38&gt;0,'BL (Brockasauras)'!$I$38,"")</f>
        <v/>
      </c>
      <c r="L38" s="771" t="n"/>
      <c r="M38" s="158">
        <f>IF('CN (Nygaardians)'!$F$38&gt;0,'CN (Nygaardians)'!$F$38,"")</f>
        <v/>
      </c>
      <c r="N38" s="778">
        <f>IF('CN (Nygaardians)'!$F$38&gt;0,'CN (Nygaardians)'!$I$38,"")</f>
        <v/>
      </c>
      <c r="O38" s="771" t="n"/>
      <c r="P38" s="158">
        <f>IF('CS (Shag Dawgs)'!$F$38&gt;0,'CS (Shag Dawgs)'!$F$38,"")</f>
        <v/>
      </c>
      <c r="Q38" s="778">
        <f>IF('CS (Shag Dawgs)'!$F$38&gt;0,'CS (Shag Dawgs)'!$I$38,"")</f>
        <v/>
      </c>
      <c r="R38" s="771" t="n"/>
      <c r="S38" s="158">
        <f>IF('DC (Cliff Lee Was Here)'!$F$39&gt;0,'DC (Cliff Lee Was Here)'!$F$39,"")</f>
        <v/>
      </c>
      <c r="T38" s="778">
        <f>IF('DC (Cliff Lee Was Here)'!$F$39&gt;0,'DC (Cliff Lee Was Here)'!$I$38,"")</f>
        <v/>
      </c>
      <c r="U38" s="771" t="n"/>
      <c r="V38" s="158">
        <f>IF('JM (JMoney)'!$F$38&gt;0,'JM (JMoney)'!$F$38,"")</f>
        <v/>
      </c>
      <c r="W38" s="778">
        <f>IF('JM (JMoney)'!$F$38&gt;0,'JM (JMoney)'!$I$38,"")</f>
        <v/>
      </c>
      <c r="X38" s="771" t="n"/>
      <c r="Y38" s="158">
        <f>IF('JJ (metropolitans)'!$F$38&gt;0,'JJ (metropolitans)'!$F$38,"")</f>
        <v/>
      </c>
      <c r="Z38" s="770">
        <f>IF('JJ (metropolitans)'!$F$38&gt;0,'JJ (metropolitans)'!$I$38,"")</f>
        <v/>
      </c>
      <c r="AA38" s="771" t="n"/>
      <c r="AB38" s="158">
        <f>IF('KJ (Stat Sandwich)'!$F$38&gt;0,'KJ (Stat Sandwich)'!$F$38,"")</f>
        <v/>
      </c>
      <c r="AC38" s="778">
        <f>IF('KJ (Stat Sandwich)'!$F$38&gt;0,'KJ (Stat Sandwich)'!$I$38,"")</f>
        <v/>
      </c>
      <c r="AD38" s="771" t="n"/>
      <c r="AE38" s="158">
        <f>IF('EP (Winning De)'!$F$38&gt;0,'EP (Winning De)'!$F$38,"")</f>
        <v/>
      </c>
      <c r="AF38" s="778">
        <f>IF('EP (Winning De)'!$F$38&gt;0,'EP (Winning De)'!$I$38,"")</f>
        <v/>
      </c>
      <c r="AG38" s="771" t="n"/>
      <c r="AH38" s="158">
        <f>IF('MB (Beckers Wreckers)'!$F$38&gt;0,'MB (Beckers Wreckers)'!$F$38,"")</f>
        <v/>
      </c>
      <c r="AI38" s="778">
        <f>IF('MB (Beckers Wreckers)'!$F$38&gt;0,'MB (Beckers Wreckers)'!$I$38,"")</f>
        <v/>
      </c>
      <c r="AJ38" s="771" t="n"/>
      <c r="AK38" s="158">
        <f>IF('MH (sabermutrics)'!$F$38&gt;0,'MH (sabermutrics)'!$F$38,"")</f>
        <v/>
      </c>
      <c r="AL38" s="778">
        <f>IF('MH (sabermutrics)'!$F$38&gt;0,'MH (sabermutrics)'!$I$38,"")</f>
        <v/>
      </c>
      <c r="AM38" s="771" t="n"/>
      <c r="AN38" s="158">
        <f>IF('MT (Tradezilla)'!$F$38&gt;0,'MT (Tradezilla)'!$F$38,"")</f>
        <v/>
      </c>
      <c r="AO38" s="778">
        <f>IF('MT (Tradezilla)'!$F$38&gt;0,'MT (Tradezilla)'!$I$38,"")</f>
        <v/>
      </c>
      <c r="AP38" s="771" t="n"/>
      <c r="AQ38" s="158">
        <f>IF('SM (Dawsyn)'!$F$38&gt;0,'SM (Dawsyn)'!$F$38,"")</f>
        <v/>
      </c>
      <c r="AR38" s="778">
        <f>IF('SM (Dawsyn)'!$F$38&gt;0,'SM (Dawsyn)'!$I$38,"")</f>
        <v/>
      </c>
      <c r="AS38" s="771" t="n"/>
    </row>
    <row r="39" ht="11.25" customHeight="1" s="26">
      <c r="B39" s="766" t="n"/>
      <c r="C39" s="519" t="n"/>
      <c r="D39" s="775">
        <f>'AC (Dumpster Fires)'!C39</f>
        <v/>
      </c>
      <c r="E39" s="768" t="n"/>
      <c r="F39" s="769" t="n"/>
      <c r="G39" s="775">
        <f>'AW (Minor)'!C39</f>
        <v/>
      </c>
      <c r="H39" s="768" t="n"/>
      <c r="I39" s="769" t="n"/>
      <c r="J39" s="767">
        <f>IF('BL (Brockasauras)'!$F$39&gt;0,'BL (Brockasauras)'!$C$39,"")</f>
        <v/>
      </c>
      <c r="K39" s="768" t="n"/>
      <c r="L39" s="769" t="n"/>
      <c r="M39" s="776">
        <f>IF('CN (Nygaardians)'!$F$39&gt;0,'CN (Nygaardians)'!$C$39,"")</f>
        <v/>
      </c>
      <c r="N39" s="753" t="n"/>
      <c r="O39" s="777" t="n"/>
      <c r="P39" s="767">
        <f>IF('CS (Shag Dawgs)'!$F$39&gt;0,'CS (Shag Dawgs)'!$C$39,"")</f>
        <v/>
      </c>
      <c r="Q39" s="768" t="n"/>
      <c r="R39" s="769" t="n"/>
      <c r="S39" s="776">
        <f>IF(#REF!&gt;0,'DC (Cliff Lee Was Here)'!$C$39,"")</f>
        <v/>
      </c>
      <c r="T39" s="753" t="n"/>
      <c r="U39" s="777" t="n"/>
      <c r="V39" s="767">
        <f>IF('JM (JMoney)'!$F$39&gt;0,'JM (JMoney)'!$C$39,"")</f>
        <v/>
      </c>
      <c r="W39" s="768" t="n"/>
      <c r="X39" s="769" t="n"/>
      <c r="Y39" s="776">
        <f>IF('JJ (metropolitans)'!$F$39&gt;0,'JJ (metropolitans)'!$C$39,"")</f>
        <v/>
      </c>
      <c r="Z39" s="753" t="n"/>
      <c r="AA39" s="777" t="n"/>
      <c r="AB39" s="767">
        <f>IF('KJ (Stat Sandwich)'!$F$39&gt;0,'KJ (Stat Sandwich)'!$C$39,"")</f>
        <v/>
      </c>
      <c r="AC39" s="768" t="n"/>
      <c r="AD39" s="769" t="n"/>
      <c r="AE39" s="767">
        <f>IF('EP (Winning De)'!$F$39&gt;0,'EP (Winning De)'!$C$39,"")</f>
        <v/>
      </c>
      <c r="AF39" s="768" t="n"/>
      <c r="AG39" s="769" t="n"/>
      <c r="AH39" s="776">
        <f>IF('MB (Beckers Wreckers)'!$F$39&gt;0,'MB (Beckers Wreckers)'!$C$39,"")</f>
        <v/>
      </c>
      <c r="AI39" s="753" t="n"/>
      <c r="AJ39" s="777" t="n"/>
      <c r="AK39" s="776">
        <f>IF('MH (sabermutrics)'!$F$39&gt;0,'MH (sabermutrics)'!$C$39,"")</f>
        <v/>
      </c>
      <c r="AL39" s="753" t="n"/>
      <c r="AM39" s="777" t="n"/>
      <c r="AN39" s="767">
        <f>IF('MT (Tradezilla)'!$F$39&gt;0,'MT (Tradezilla)'!$C$39,"")</f>
        <v/>
      </c>
      <c r="AO39" s="768" t="n"/>
      <c r="AP39" s="769" t="n"/>
      <c r="AQ39" s="767">
        <f>IF('SM (Dawsyn)'!$F$39&gt;0,'SM (Dawsyn)'!$C$39,"")</f>
        <v/>
      </c>
      <c r="AR39" s="768" t="n"/>
      <c r="AS39" s="769" t="n"/>
    </row>
    <row r="40" ht="11.25" customHeight="1" s="26">
      <c r="B40" s="766" t="n"/>
      <c r="C40" s="519" t="n"/>
      <c r="D40" s="520">
        <f>'AC (Dumpster Fires)'!F39</f>
        <v/>
      </c>
      <c r="E40" s="778">
        <f>'AC (Dumpster Fires)'!I39</f>
        <v/>
      </c>
      <c r="F40" s="771" t="n"/>
      <c r="G40" s="520">
        <f>'AW (Minor)'!F39</f>
        <v/>
      </c>
      <c r="H40" s="778">
        <f>'AW (Minor)'!I39</f>
        <v/>
      </c>
      <c r="I40" s="771" t="n"/>
      <c r="J40" s="158">
        <f>IF('BL (Brockasauras)'!$F$39&gt;0,'BL (Brockasauras)'!$F$39,"")</f>
        <v/>
      </c>
      <c r="K40" s="778">
        <f>IF('BL (Brockasauras)'!$F$39&gt;0,'BL (Brockasauras)'!$I$39,"")</f>
        <v/>
      </c>
      <c r="L40" s="771" t="n"/>
      <c r="M40" s="158">
        <f>IF('CN (Nygaardians)'!$F$39&gt;0,'CN (Nygaardians)'!$F$39,"")</f>
        <v/>
      </c>
      <c r="N40" s="778">
        <f>IF('CN (Nygaardians)'!$F$39&gt;0,'CN (Nygaardians)'!$I$39,"")</f>
        <v/>
      </c>
      <c r="O40" s="771" t="n"/>
      <c r="P40" s="158">
        <f>IF('CS (Shag Dawgs)'!$F$39&gt;0,'CS (Shag Dawgs)'!$F$39,"")</f>
        <v/>
      </c>
      <c r="Q40" s="770">
        <f>IF('CS (Shag Dawgs)'!$F$39&gt;0,'CS (Shag Dawgs)'!$I$39,"")</f>
        <v/>
      </c>
      <c r="R40" s="771" t="n"/>
      <c r="S40" s="158">
        <f>IF(#REF!&gt;0,#REF!,"")</f>
        <v/>
      </c>
      <c r="T40" s="770">
        <f>IF(#REF!&gt;0,'DC (Cliff Lee Was Here)'!$I$39,"")</f>
        <v/>
      </c>
      <c r="U40" s="771" t="n"/>
      <c r="V40" s="158">
        <f>IF('JM (JMoney)'!$F$39&gt;0,'JM (JMoney)'!$F$39,"")</f>
        <v/>
      </c>
      <c r="W40" s="770">
        <f>IF('JM (JMoney)'!$F$39&gt;0,'JM (JMoney)'!$I$39,"")</f>
        <v/>
      </c>
      <c r="X40" s="771" t="n"/>
      <c r="Y40" s="158">
        <f>IF('JJ (metropolitans)'!$F$39&gt;0,'JJ (metropolitans)'!$F$39,"")</f>
        <v/>
      </c>
      <c r="Z40" s="770">
        <f>IF('JJ (metropolitans)'!$F$39&gt;0,'JJ (metropolitans)'!$I$39,"")</f>
        <v/>
      </c>
      <c r="AA40" s="771" t="n"/>
      <c r="AB40" s="158">
        <f>IF('KJ (Stat Sandwich)'!$F$39&gt;0,'KJ (Stat Sandwich)'!$F$39,"")</f>
        <v/>
      </c>
      <c r="AC40" s="770">
        <f>IF('KJ (Stat Sandwich)'!$F$39&gt;0,'KJ (Stat Sandwich)'!$I$39,"")</f>
        <v/>
      </c>
      <c r="AD40" s="771" t="n"/>
      <c r="AE40" s="158">
        <f>IF('EP (Winning De)'!$F$39&gt;0,'EP (Winning De)'!$F$39,"")</f>
        <v/>
      </c>
      <c r="AF40" s="778">
        <f>IF('EP (Winning De)'!$F$39&gt;0,'EP (Winning De)'!$I$39,"")</f>
        <v/>
      </c>
      <c r="AG40" s="771" t="n"/>
      <c r="AH40" s="158">
        <f>IF('MB (Beckers Wreckers)'!$F$39&gt;0,'MB (Beckers Wreckers)'!$F$39,"")</f>
        <v/>
      </c>
      <c r="AI40" s="778">
        <f>IF('MB (Beckers Wreckers)'!$F$39&gt;0,'MB (Beckers Wreckers)'!$I$39,"")</f>
        <v/>
      </c>
      <c r="AJ40" s="771" t="n"/>
      <c r="AK40" s="158">
        <f>IF('MH (sabermutrics)'!$F$39&gt;0,'MH (sabermutrics)'!$F$39,"")</f>
        <v/>
      </c>
      <c r="AL40" s="770">
        <f>IF('MH (sabermutrics)'!$F$39&gt;0,'MH (sabermutrics)'!$I$39,"")</f>
        <v/>
      </c>
      <c r="AM40" s="771" t="n"/>
      <c r="AN40" s="158">
        <f>IF('MT (Tradezilla)'!$F$39&gt;0,'MT (Tradezilla)'!$F$39,"")</f>
        <v/>
      </c>
      <c r="AO40" s="778">
        <f>IF('MT (Tradezilla)'!$F$39&gt;0,'MT (Tradezilla)'!$I$39,"")</f>
        <v/>
      </c>
      <c r="AP40" s="771" t="n"/>
      <c r="AQ40" s="158">
        <f>IF('SM (Dawsyn)'!$F$39&gt;0,'SM (Dawsyn)'!$F$39,"")</f>
        <v/>
      </c>
      <c r="AR40" s="778">
        <f>IF('SM (Dawsyn)'!$F$39&gt;0,'SM (Dawsyn)'!$I$39,"")</f>
        <v/>
      </c>
      <c r="AS40" s="771" t="n"/>
    </row>
    <row r="41" ht="11.25" customHeight="1" s="26">
      <c r="B41" s="766" t="n"/>
      <c r="C41" s="519" t="n"/>
      <c r="D41" s="775">
        <f>'AC (Dumpster Fires)'!C40</f>
        <v/>
      </c>
      <c r="E41" s="768" t="n"/>
      <c r="F41" s="769" t="n"/>
      <c r="G41" s="775">
        <f>'AW (Minor)'!C40</f>
        <v/>
      </c>
      <c r="H41" s="768" t="n"/>
      <c r="I41" s="769" t="n"/>
      <c r="J41" s="767">
        <f>IF('BL (Brockasauras)'!$F$40&gt;0,'BL (Brockasauras)'!$C$40,"")</f>
        <v/>
      </c>
      <c r="K41" s="768" t="n"/>
      <c r="L41" s="769" t="n"/>
      <c r="M41" s="767">
        <f>IF('CN (Nygaardians)'!$F$40&gt;0,'CN (Nygaardians)'!$C$40,"")</f>
        <v/>
      </c>
      <c r="N41" s="768" t="n"/>
      <c r="O41" s="769" t="n"/>
      <c r="P41" s="776">
        <f>IF('CS (Shag Dawgs)'!$F$40&gt;0,'CS (Shag Dawgs)'!$C$40,"")</f>
        <v/>
      </c>
      <c r="Q41" s="753" t="n"/>
      <c r="R41" s="777" t="n"/>
      <c r="S41" s="767">
        <f>IF('DC (Cliff Lee Was Here)'!$F$40&gt;0,'DC (Cliff Lee Was Here)'!$C$40,"")</f>
        <v/>
      </c>
      <c r="T41" s="768" t="n"/>
      <c r="U41" s="769" t="n"/>
      <c r="V41" s="767">
        <f>IF('JM (JMoney)'!$F$40&gt;0,'JM (JMoney)'!$C$40,"")</f>
        <v/>
      </c>
      <c r="W41" s="768" t="n"/>
      <c r="X41" s="769" t="n"/>
      <c r="Y41" s="767">
        <f>IF('JJ (metropolitans)'!$F$40&gt;0,'JJ (metropolitans)'!$C$40,"")</f>
        <v/>
      </c>
      <c r="Z41" s="768" t="n"/>
      <c r="AA41" s="769" t="n"/>
      <c r="AB41" s="767">
        <f>IF('KJ (Stat Sandwich)'!$F$40&gt;0,'KJ (Stat Sandwich)'!$C$40,"")</f>
        <v/>
      </c>
      <c r="AC41" s="768" t="n"/>
      <c r="AD41" s="769" t="n"/>
      <c r="AE41" s="767">
        <f>IF('EP (Winning De)'!$F$40&gt;0,'EP (Winning De)'!$C$40,"")</f>
        <v/>
      </c>
      <c r="AF41" s="768" t="n"/>
      <c r="AG41" s="769" t="n"/>
      <c r="AH41" s="767">
        <f>IF('MB (Beckers Wreckers)'!$F$40&gt;0,'MB (Beckers Wreckers)'!$C$40,"")</f>
        <v/>
      </c>
      <c r="AI41" s="768" t="n"/>
      <c r="AJ41" s="769" t="n"/>
      <c r="AK41" s="776">
        <f>IF('MH (sabermutrics)'!$F$40&gt;0,'MH (sabermutrics)'!$C$40,"")</f>
        <v/>
      </c>
      <c r="AL41" s="753" t="n"/>
      <c r="AM41" s="777" t="n"/>
      <c r="AN41" s="767">
        <f>IF('MT (Tradezilla)'!$F$40&gt;0,'MT (Tradezilla)'!$C$40,"")</f>
        <v/>
      </c>
      <c r="AO41" s="768" t="n"/>
      <c r="AP41" s="769" t="n"/>
      <c r="AQ41" s="767">
        <f>IF('SM (Dawsyn)'!$F$40&gt;0,'SM (Dawsyn)'!$C$40,"")</f>
        <v/>
      </c>
      <c r="AR41" s="768" t="n"/>
      <c r="AS41" s="769" t="n"/>
    </row>
    <row r="42" ht="11.25" customHeight="1" s="26">
      <c r="B42" s="766" t="n"/>
      <c r="C42" s="519" t="n"/>
      <c r="D42" s="520">
        <f>'AC (Dumpster Fires)'!F40</f>
        <v/>
      </c>
      <c r="E42" s="778">
        <f>'AC (Dumpster Fires)'!I40</f>
        <v/>
      </c>
      <c r="F42" s="771" t="n"/>
      <c r="G42" s="520">
        <f>'AW (Minor)'!F40</f>
        <v/>
      </c>
      <c r="H42" s="778">
        <f>'AW (Minor)'!I40</f>
        <v/>
      </c>
      <c r="I42" s="771" t="n"/>
      <c r="J42" s="158">
        <f>IF('BL (Brockasauras)'!$F$40&gt;0,'BL (Brockasauras)'!$F$40,"")</f>
        <v/>
      </c>
      <c r="K42" s="778">
        <f>IF('BL (Brockasauras)'!$F$40&gt;0,'BL (Brockasauras)'!$I$40,"")</f>
        <v/>
      </c>
      <c r="L42" s="771" t="n"/>
      <c r="M42" s="158">
        <f>IF('CN (Nygaardians)'!$F$40&gt;0,'CN (Nygaardians)'!$F$40,"")</f>
        <v/>
      </c>
      <c r="N42" s="778">
        <f>IF('CN (Nygaardians)'!$F$40&gt;0,'CN (Nygaardians)'!$I$40,"")</f>
        <v/>
      </c>
      <c r="O42" s="771" t="n"/>
      <c r="P42" s="158">
        <f>IF('CS (Shag Dawgs)'!$F$40&gt;0,'CS (Shag Dawgs)'!$F$40,"")</f>
        <v/>
      </c>
      <c r="Q42" s="770">
        <f>IF('CS (Shag Dawgs)'!$F$40&gt;0,'CS (Shag Dawgs)'!$I$40,"")</f>
        <v/>
      </c>
      <c r="R42" s="771" t="n"/>
      <c r="S42" s="158">
        <f>IF('DC (Cliff Lee Was Here)'!$F$40&gt;0,'DC (Cliff Lee Was Here)'!$F$40,"")</f>
        <v/>
      </c>
      <c r="T42" s="778">
        <f>IF('DC (Cliff Lee Was Here)'!$F$40&gt;0,'DC (Cliff Lee Was Here)'!$I$40,"")</f>
        <v/>
      </c>
      <c r="U42" s="771" t="n"/>
      <c r="V42" s="158">
        <f>IF('JM (JMoney)'!$F$40&gt;0,'JM (JMoney)'!$F$40,"")</f>
        <v/>
      </c>
      <c r="W42" s="770">
        <f>IF('JM (JMoney)'!$F$40&gt;0,'JM (JMoney)'!$I$40,"")</f>
        <v/>
      </c>
      <c r="X42" s="771" t="n"/>
      <c r="Y42" s="158">
        <f>IF('JJ (metropolitans)'!$F$40&gt;0,'JJ (metropolitans)'!$F$40,"")</f>
        <v/>
      </c>
      <c r="Z42" s="770">
        <f>IF('JJ (metropolitans)'!$F$40&gt;0,'JJ (metropolitans)'!$I$40,"")</f>
        <v/>
      </c>
      <c r="AA42" s="771" t="n"/>
      <c r="AB42" s="158">
        <f>IF('KJ (Stat Sandwich)'!$F$40&gt;0,'KJ (Stat Sandwich)'!$F$40,"")</f>
        <v/>
      </c>
      <c r="AC42" s="770">
        <f>IF('KJ (Stat Sandwich)'!$F$40&gt;0,'KJ (Stat Sandwich)'!$I$40,"")</f>
        <v/>
      </c>
      <c r="AD42" s="771" t="n"/>
      <c r="AE42" s="158">
        <f>IF('EP (Winning De)'!$F$40&gt;0,'EP (Winning De)'!$F$40,"")</f>
        <v/>
      </c>
      <c r="AF42" s="778">
        <f>IF('EP (Winning De)'!$F$39&gt;0,'EP (Winning De)'!$I$39,"")</f>
        <v/>
      </c>
      <c r="AG42" s="771" t="n"/>
      <c r="AH42" s="158">
        <f>IF('MB (Beckers Wreckers)'!$F$40&gt;0,'MB (Beckers Wreckers)'!$F$40,"")</f>
        <v/>
      </c>
      <c r="AI42" s="770">
        <f>IF('MB (Beckers Wreckers)'!$F$40&gt;0,'MB (Beckers Wreckers)'!$I$40,"")</f>
        <v/>
      </c>
      <c r="AJ42" s="771" t="n"/>
      <c r="AK42" s="158">
        <f>IF('MH (sabermutrics)'!$F$40&gt;0,'MH (sabermutrics)'!$F$40,"")</f>
        <v/>
      </c>
      <c r="AL42" s="778">
        <f>IF('MH (sabermutrics)'!$F$40&gt;0,'MH (sabermutrics)'!$I$40,"")</f>
        <v/>
      </c>
      <c r="AM42" s="771" t="n"/>
      <c r="AN42" s="158">
        <f>IF('MT (Tradezilla)'!$F$40&gt;0,'MT (Tradezilla)'!$F$40,"")</f>
        <v/>
      </c>
      <c r="AO42" s="778">
        <f>IF('MT (Tradezilla)'!$F$40&gt;0,'MT (Tradezilla)'!$I$40,"")</f>
        <v/>
      </c>
      <c r="AP42" s="771" t="n"/>
      <c r="AQ42" s="158">
        <f>IF('SM (Dawsyn)'!$F$40&gt;0,'SM (Dawsyn)'!$F$40,"")</f>
        <v/>
      </c>
      <c r="AR42" s="778">
        <f>IF('SM (Dawsyn)'!$F$40&gt;0,'SM (Dawsyn)'!$I$40,"")</f>
        <v/>
      </c>
      <c r="AS42" s="771" t="n"/>
    </row>
    <row r="43" ht="11.25" customHeight="1" s="26">
      <c r="B43" s="766" t="n"/>
      <c r="C43" s="519" t="n"/>
      <c r="D43" s="775">
        <f>'AC (Dumpster Fires)'!C41</f>
        <v/>
      </c>
      <c r="E43" s="768" t="n"/>
      <c r="F43" s="769" t="n"/>
      <c r="G43" s="775">
        <f>'AW (Minor)'!C41</f>
        <v/>
      </c>
      <c r="H43" s="768" t="n"/>
      <c r="I43" s="769" t="n"/>
      <c r="J43" s="767">
        <f>IF('BL (Brockasauras)'!$F$41&gt;0,'BL (Brockasauras)'!$C$41,"")</f>
        <v/>
      </c>
      <c r="K43" s="768" t="n"/>
      <c r="L43" s="769" t="n"/>
      <c r="M43" s="776">
        <f>IF('CN (Nygaardians)'!$F$41&gt;0,'CN (Nygaardians)'!$C$41,"")</f>
        <v/>
      </c>
      <c r="N43" s="753" t="n"/>
      <c r="O43" s="777" t="n"/>
      <c r="P43" s="767">
        <f>IF('CS (Shag Dawgs)'!$F$41&gt;0,'CS (Shag Dawgs)'!$C$41,"")</f>
        <v/>
      </c>
      <c r="Q43" s="768" t="n"/>
      <c r="R43" s="769" t="n"/>
      <c r="S43" s="767">
        <f>IF('DC (Cliff Lee Was Here)'!$F$41&gt;0,'DC (Cliff Lee Was Here)'!$C$41,"")</f>
        <v/>
      </c>
      <c r="T43" s="768" t="n"/>
      <c r="U43" s="769" t="n"/>
      <c r="V43" s="767">
        <f>IF('JM (JMoney)'!$F$41&gt;0,'JM (JMoney)'!$C$41,"")</f>
        <v/>
      </c>
      <c r="W43" s="768" t="n"/>
      <c r="X43" s="769" t="n"/>
      <c r="Y43" s="767">
        <f>IF('JJ (metropolitans)'!$F$41&gt;0,'JJ (metropolitans)'!$C$41,"")</f>
        <v/>
      </c>
      <c r="Z43" s="768" t="n"/>
      <c r="AA43" s="769" t="n"/>
      <c r="AB43" s="776">
        <f>IF('KJ (Stat Sandwich)'!$F$41&gt;0,'KJ (Stat Sandwich)'!$C$41,"")</f>
        <v/>
      </c>
      <c r="AC43" s="753" t="n"/>
      <c r="AD43" s="777" t="n"/>
      <c r="AE43" s="767">
        <f>IF('EP (Winning De)'!$F$41&gt;0,'EP (Winning De)'!$C$41,"")</f>
        <v/>
      </c>
      <c r="AF43" s="768" t="n"/>
      <c r="AG43" s="769" t="n"/>
      <c r="AH43" s="767">
        <f>IF('MB (Beckers Wreckers)'!$F$41&gt;0,'MB (Beckers Wreckers)'!$C$41,"")</f>
        <v/>
      </c>
      <c r="AI43" s="768" t="n"/>
      <c r="AJ43" s="769" t="n"/>
      <c r="AK43" s="767">
        <f>IF('MH (sabermutrics)'!$F$41&gt;0,'MH (sabermutrics)'!$C$41,"")</f>
        <v/>
      </c>
      <c r="AL43" s="768" t="n"/>
      <c r="AM43" s="769" t="n"/>
      <c r="AN43" s="767">
        <f>IF('MT (Tradezilla)'!$F$41&gt;0,'MT (Tradezilla)'!$C$41,"")</f>
        <v/>
      </c>
      <c r="AO43" s="768" t="n"/>
      <c r="AP43" s="769" t="n"/>
      <c r="AQ43" s="767">
        <f>IF('SM (Dawsyn)'!$F$41&gt;0,'SM (Dawsyn)'!$C$41,"")</f>
        <v/>
      </c>
      <c r="AR43" s="768" t="n"/>
      <c r="AS43" s="769" t="n"/>
    </row>
    <row r="44" ht="11.25" customHeight="1" s="26">
      <c r="B44" s="766" t="n"/>
      <c r="C44" s="519" t="n"/>
      <c r="D44" s="520">
        <f>'AC (Dumpster Fires)'!F41</f>
        <v/>
      </c>
      <c r="E44" s="778">
        <f>'AC (Dumpster Fires)'!I41</f>
        <v/>
      </c>
      <c r="F44" s="771" t="n"/>
      <c r="G44" s="520">
        <f>'AW (Minor)'!F41</f>
        <v/>
      </c>
      <c r="H44" s="778">
        <f>'AW (Minor)'!I41</f>
        <v/>
      </c>
      <c r="I44" s="771" t="n"/>
      <c r="J44" s="158">
        <f>IF('BL (Brockasauras)'!$F$41&gt;0,'BL (Brockasauras)'!$F$41,"")</f>
        <v/>
      </c>
      <c r="K44" s="778">
        <f>IF('BL (Brockasauras)'!$F$41&gt;0,'BL (Brockasauras)'!$I$41,"")</f>
        <v/>
      </c>
      <c r="L44" s="771" t="n"/>
      <c r="M44" s="158">
        <f>IF('CN (Nygaardians)'!$F$41&gt;0,'CN (Nygaardians)'!$F$41,"")</f>
        <v/>
      </c>
      <c r="N44" s="778">
        <f>IF('CN (Nygaardians)'!$F$41&gt;0,'CN (Nygaardians)'!$I$41,"")</f>
        <v/>
      </c>
      <c r="O44" s="771" t="n"/>
      <c r="P44" s="158">
        <f>IF('CS (Shag Dawgs)'!$F$41&gt;0,'CS (Shag Dawgs)'!$F$41,"")</f>
        <v/>
      </c>
      <c r="Q44" s="770">
        <f>IF('CS (Shag Dawgs)'!$F$41&gt;0,'CS (Shag Dawgs)'!$I$41,"")</f>
        <v/>
      </c>
      <c r="R44" s="771" t="n"/>
      <c r="S44" s="158">
        <f>IF('DC (Cliff Lee Was Here)'!$F$41&gt;0,'DC (Cliff Lee Was Here)'!$F$41,"")</f>
        <v/>
      </c>
      <c r="T44" s="778">
        <f>IF('DC (Cliff Lee Was Here)'!$F$41&gt;0,'DC (Cliff Lee Was Here)'!$I$41,"")</f>
        <v/>
      </c>
      <c r="U44" s="771" t="n"/>
      <c r="V44" s="158">
        <f>IF('JM (JMoney)'!$F$41&gt;0,'JM (JMoney)'!$F$41,"")</f>
        <v/>
      </c>
      <c r="W44" s="770">
        <f>IF('JM (JMoney)'!$F$41&gt;0,'JM (JMoney)'!$I$41,"")</f>
        <v/>
      </c>
      <c r="X44" s="771" t="n"/>
      <c r="Y44" s="158">
        <f>IF('JJ (metropolitans)'!$F$41&gt;0,'JJ (metropolitans)'!$F$41,"")</f>
        <v/>
      </c>
      <c r="Z44" s="770">
        <f>IF('JJ (metropolitans)'!$F$41&gt;0,'JJ (metropolitans)'!$I$41,"")</f>
        <v/>
      </c>
      <c r="AA44" s="771" t="n"/>
      <c r="AB44" s="158">
        <f>IF('KJ (Stat Sandwich)'!$F$41&gt;0,'KJ (Stat Sandwich)'!$F$41,"")</f>
        <v/>
      </c>
      <c r="AC44" s="770">
        <f>IF('KJ (Stat Sandwich)'!$F$41&gt;0,'KJ (Stat Sandwich)'!$I$41,"")</f>
        <v/>
      </c>
      <c r="AD44" s="771" t="n"/>
      <c r="AE44" s="158">
        <f>IF('EP (Winning De)'!$F$41&gt;0,'EP (Winning De)'!$F$41,"")</f>
        <v/>
      </c>
      <c r="AF44" s="770">
        <f>IF('EP (Winning De)'!$F$41&gt;0,'EP (Winning De)'!$I$41,"")</f>
        <v/>
      </c>
      <c r="AG44" s="771" t="n"/>
      <c r="AH44" s="158">
        <f>IF('MB (Beckers Wreckers)'!$F$41&gt;0,'MB (Beckers Wreckers)'!$F$41,"")</f>
        <v/>
      </c>
      <c r="AI44" s="778">
        <f>IF('MB (Beckers Wreckers)'!$F$41&gt;0,'MB (Beckers Wreckers)'!$I$41,"")</f>
        <v/>
      </c>
      <c r="AJ44" s="771" t="n"/>
      <c r="AK44" s="158">
        <f>IF('MH (sabermutrics)'!$F$41&gt;0,'MH (sabermutrics)'!$F$41,"")</f>
        <v/>
      </c>
      <c r="AL44" s="778">
        <f>IF('MH (sabermutrics)'!$F$41&gt;0,'MH (sabermutrics)'!$I$41,"")</f>
        <v/>
      </c>
      <c r="AM44" s="771" t="n"/>
      <c r="AN44" s="158">
        <f>IF('MT (Tradezilla)'!$F$41&gt;0,'MT (Tradezilla)'!$F$41,"")</f>
        <v/>
      </c>
      <c r="AO44" s="778">
        <f>IF('MT (Tradezilla)'!$F$41&gt;0,'MT (Tradezilla)'!$I$41,"")</f>
        <v/>
      </c>
      <c r="AP44" s="771" t="n"/>
      <c r="AQ44" s="158">
        <f>IF('SM (Dawsyn)'!$F$41&gt;0,'SM (Dawsyn)'!$F$41,"")</f>
        <v/>
      </c>
      <c r="AR44" s="778">
        <f>IF('SM (Dawsyn)'!$F$41&gt;0,'SM (Dawsyn)'!$I$41,"")</f>
        <v/>
      </c>
      <c r="AS44" s="771" t="n"/>
    </row>
    <row r="45" ht="11.25" customHeight="1" s="26">
      <c r="B45" s="766" t="n"/>
      <c r="C45" s="519" t="n"/>
      <c r="D45" s="775">
        <f>'AC (Dumpster Fires)'!C42</f>
        <v/>
      </c>
      <c r="E45" s="768" t="n"/>
      <c r="F45" s="769" t="n"/>
      <c r="G45" s="775">
        <f>'AW (Minor)'!C42</f>
        <v/>
      </c>
      <c r="H45" s="768" t="n"/>
      <c r="I45" s="769" t="n"/>
      <c r="J45" s="767">
        <f>IF('BL (Brockasauras)'!$F$42&gt;0,'BL (Brockasauras)'!$C$42,"")</f>
        <v/>
      </c>
      <c r="K45" s="768" t="n"/>
      <c r="L45" s="769" t="n"/>
      <c r="M45" s="776">
        <f>IF('CN (Nygaardians)'!$F$42&gt;0,'CN (Nygaardians)'!$C$42,"")</f>
        <v/>
      </c>
      <c r="N45" s="753" t="n"/>
      <c r="O45" s="777" t="n"/>
      <c r="P45" s="767">
        <f>IF('CS (Shag Dawgs)'!$F$42&gt;0,'CS (Shag Dawgs)'!$C$42,"")</f>
        <v/>
      </c>
      <c r="Q45" s="768" t="n"/>
      <c r="R45" s="769" t="n"/>
      <c r="S45" s="767">
        <f>IF('DC (Cliff Lee Was Here)'!$F$42&gt;0,'DC (Cliff Lee Was Here)'!$C$42,"")</f>
        <v/>
      </c>
      <c r="T45" s="768" t="n"/>
      <c r="U45" s="769" t="n"/>
      <c r="V45" s="767">
        <f>IF('JM (JMoney)'!$F$42&gt;0,'JM (JMoney)'!$C$42,"")</f>
        <v/>
      </c>
      <c r="W45" s="768" t="n"/>
      <c r="X45" s="769" t="n"/>
      <c r="Y45" s="767">
        <f>IF('JJ (metropolitans)'!$F$43&gt;0,'JJ (metropolitans)'!$C$43,"")</f>
        <v/>
      </c>
      <c r="Z45" s="768" t="n"/>
      <c r="AA45" s="769" t="n"/>
      <c r="AB45" s="767">
        <f>IF('KJ (Stat Sandwich)'!$F$42&gt;0,'KJ (Stat Sandwich)'!$C$42,"")</f>
        <v/>
      </c>
      <c r="AC45" s="768" t="n"/>
      <c r="AD45" s="769" t="n"/>
      <c r="AE45" s="767">
        <f>IF('EP (Winning De)'!$F$42&gt;0,'EP (Winning De)'!$C$42,"")</f>
        <v/>
      </c>
      <c r="AF45" s="768" t="n"/>
      <c r="AG45" s="769" t="n"/>
      <c r="AH45" s="767">
        <f>IF('MB (Beckers Wreckers)'!$F$42&gt;0,'MB (Beckers Wreckers)'!$C$42,"")</f>
        <v/>
      </c>
      <c r="AI45" s="768" t="n"/>
      <c r="AJ45" s="769" t="n"/>
      <c r="AK45" s="776">
        <f>IF('MH (sabermutrics)'!$F$42&gt;0,'MH (sabermutrics)'!$C$42,"")</f>
        <v/>
      </c>
      <c r="AL45" s="753" t="n"/>
      <c r="AM45" s="777" t="n"/>
      <c r="AN45" s="767">
        <f>IF('MT (Tradezilla)'!$F$42&gt;0,'MT (Tradezilla)'!$C$42,"")</f>
        <v/>
      </c>
      <c r="AO45" s="768" t="n"/>
      <c r="AP45" s="769" t="n"/>
      <c r="AQ45" s="767">
        <f>IF('SM (Dawsyn)'!$F$42&gt;0,'SM (Dawsyn)'!$C$42,"")</f>
        <v/>
      </c>
      <c r="AR45" s="768" t="n"/>
      <c r="AS45" s="769" t="n"/>
    </row>
    <row r="46" ht="11.25" customHeight="1" s="26">
      <c r="B46" s="766" t="n"/>
      <c r="C46" s="519" t="n"/>
      <c r="D46" s="520">
        <f>'AC (Dumpster Fires)'!F42</f>
        <v/>
      </c>
      <c r="E46" s="778">
        <f>'AC (Dumpster Fires)'!I42</f>
        <v/>
      </c>
      <c r="F46" s="771" t="n"/>
      <c r="G46" s="520">
        <f>'AW (Minor)'!F42</f>
        <v/>
      </c>
      <c r="H46" s="778">
        <f>'AW (Minor)'!I42</f>
        <v/>
      </c>
      <c r="I46" s="771" t="n"/>
      <c r="J46" s="158">
        <f>IF('BL (Brockasauras)'!$F$42&gt;0,'BL (Brockasauras)'!$F$42,"")</f>
        <v/>
      </c>
      <c r="K46" s="770">
        <f>IF('BL (Brockasauras)'!$F$42&gt;0,'BL (Brockasauras)'!$I$42,"")</f>
        <v/>
      </c>
      <c r="L46" s="771" t="n"/>
      <c r="M46" s="158">
        <f>IF('CN (Nygaardians)'!$F$42&gt;0,'CN (Nygaardians)'!$F$42,"")</f>
        <v/>
      </c>
      <c r="N46" s="770">
        <f>IF('CN (Nygaardians)'!$F$42&gt;0,'CN (Nygaardians)'!$I$42,"")</f>
        <v/>
      </c>
      <c r="O46" s="771" t="n"/>
      <c r="P46" s="158">
        <f>IF('CS (Shag Dawgs)'!$F$42&gt;0,'CS (Shag Dawgs)'!$F$42,"")</f>
        <v/>
      </c>
      <c r="Q46" s="770">
        <f>IF('CS (Shag Dawgs)'!$F$42&gt;0,'CS (Shag Dawgs)'!$I$42,"")</f>
        <v/>
      </c>
      <c r="R46" s="771" t="n"/>
      <c r="S46" s="158">
        <f>IF('DC (Cliff Lee Was Here)'!$F$42&gt;0,'DC (Cliff Lee Was Here)'!$F$42,"")</f>
        <v/>
      </c>
      <c r="T46" s="778">
        <f>IF('DC (Cliff Lee Was Here)'!$F$42&gt;0,'DC (Cliff Lee Was Here)'!$I$42,"")</f>
        <v/>
      </c>
      <c r="U46" s="771" t="n"/>
      <c r="V46" s="158">
        <f>IF('JM (JMoney)'!$F$42&gt;0,'JM (JMoney)'!$F$42,"")</f>
        <v/>
      </c>
      <c r="W46" s="770">
        <f>IF('JM (JMoney)'!$F$42&gt;0,'JM (JMoney)'!$I$42,"")</f>
        <v/>
      </c>
      <c r="X46" s="771" t="n"/>
      <c r="Y46" s="158">
        <f>IF('JJ (metropolitans)'!$F$43&gt;0,'JJ (metropolitans)'!$F$43,"")</f>
        <v/>
      </c>
      <c r="Z46" s="770">
        <f>IF('JJ (metropolitans)'!$F$43&gt;0,'JJ (metropolitans)'!$I$43,"")</f>
        <v/>
      </c>
      <c r="AA46" s="771" t="n"/>
      <c r="AB46" s="158">
        <f>IF('KJ (Stat Sandwich)'!$F$42&gt;0,'KJ (Stat Sandwich)'!$F$42,"")</f>
        <v/>
      </c>
      <c r="AC46" s="770">
        <f>IF('KJ (Stat Sandwich)'!$F$42&gt;0,'KJ (Stat Sandwich)'!$I$42,"")</f>
        <v/>
      </c>
      <c r="AD46" s="771" t="n"/>
      <c r="AE46" s="158">
        <f>IF('EP (Winning De)'!$F$42&gt;0,'EP (Winning De)'!$F$42,"")</f>
        <v/>
      </c>
      <c r="AF46" s="778">
        <f>IF('EP (Winning De)'!$F$42&gt;0,'EP (Winning De)'!$I$42,"")</f>
        <v/>
      </c>
      <c r="AG46" s="771" t="n"/>
      <c r="AH46" s="158">
        <f>IF('MB (Beckers Wreckers)'!$F$42&gt;0,'MB (Beckers Wreckers)'!$F$42,"")</f>
        <v/>
      </c>
      <c r="AI46" s="778">
        <f>IF('MB (Beckers Wreckers)'!$F$42&gt;0,'MB (Beckers Wreckers)'!$I$42,"")</f>
        <v/>
      </c>
      <c r="AJ46" s="771" t="n"/>
      <c r="AK46" s="158">
        <f>IF('MH (sabermutrics)'!$F$42&gt;0,'MH (sabermutrics)'!$F$42,"")</f>
        <v/>
      </c>
      <c r="AL46" s="778">
        <f>IF('MH (sabermutrics)'!$F$42&gt;0,'MH (sabermutrics)'!$I$42,"")</f>
        <v/>
      </c>
      <c r="AM46" s="771" t="n"/>
      <c r="AN46" s="158">
        <f>IF('MT (Tradezilla)'!$F$42&gt;0,'MT (Tradezilla)'!$F$42,"")</f>
        <v/>
      </c>
      <c r="AO46" s="778">
        <f>IF('MT (Tradezilla)'!$F$42&gt;0,'MT (Tradezilla)'!$I$42,"")</f>
        <v/>
      </c>
      <c r="AP46" s="771" t="n"/>
      <c r="AQ46" s="158">
        <f>IF('SM (Dawsyn)'!$F$42&gt;0,'SM (Dawsyn)'!$F$42,"")</f>
        <v/>
      </c>
      <c r="AR46" s="778">
        <f>IF('SM (Dawsyn)'!$F$42&gt;0,'SM (Dawsyn)'!$I$42,"")</f>
        <v/>
      </c>
      <c r="AS46" s="771" t="n"/>
    </row>
    <row r="47" ht="11.25" customHeight="1" s="26">
      <c r="B47" s="766" t="n"/>
      <c r="C47" s="519" t="n"/>
      <c r="D47" s="775">
        <f>'AC (Dumpster Fires)'!C43</f>
        <v/>
      </c>
      <c r="E47" s="768" t="n"/>
      <c r="F47" s="769" t="n"/>
      <c r="G47" s="775">
        <f>'AW (Minor)'!C43</f>
        <v/>
      </c>
      <c r="H47" s="768" t="n"/>
      <c r="I47" s="769" t="n"/>
      <c r="J47" s="767">
        <f>IF('BL (Brockasauras)'!$F$43&gt;0,'BL (Brockasauras)'!$C$43,"")</f>
        <v/>
      </c>
      <c r="K47" s="768" t="n"/>
      <c r="L47" s="769" t="n"/>
      <c r="M47" s="776">
        <f>IF('CN (Nygaardians)'!$F$43&gt;0,'CN (Nygaardians)'!$C$43,"")</f>
        <v/>
      </c>
      <c r="N47" s="753" t="n"/>
      <c r="O47" s="777" t="n"/>
      <c r="P47" s="767">
        <f>IF('CS (Shag Dawgs)'!$F$43&gt;0,'CS (Shag Dawgs)'!$C$43,"")</f>
        <v/>
      </c>
      <c r="Q47" s="768" t="n"/>
      <c r="R47" s="769" t="n"/>
      <c r="S47" s="767">
        <f>IF('DC (Cliff Lee Was Here)'!$F$43&gt;0,'DC (Cliff Lee Was Here)'!$C$43,"")</f>
        <v/>
      </c>
      <c r="T47" s="768" t="n"/>
      <c r="U47" s="769" t="n"/>
      <c r="V47" s="767">
        <f>IF('JM (JMoney)'!$F$43&gt;0,'JM (JMoney)'!$C$43,"")</f>
        <v/>
      </c>
      <c r="W47" s="768" t="n"/>
      <c r="X47" s="769" t="n"/>
      <c r="Y47" s="767">
        <f>IF('JJ (metropolitans)'!$F$44&gt;0,'JJ (metropolitans)'!$C$44,"")</f>
        <v/>
      </c>
      <c r="Z47" s="768" t="n"/>
      <c r="AA47" s="769" t="n"/>
      <c r="AB47" s="767">
        <f>IF('KJ (Stat Sandwich)'!$F$43&gt;0,'KJ (Stat Sandwich)'!$C$43,"")</f>
        <v/>
      </c>
      <c r="AC47" s="768" t="n"/>
      <c r="AD47" s="769" t="n"/>
      <c r="AE47" s="767">
        <f>IF('EP (Winning De)'!$F$43&gt;0,'EP (Winning De)'!$C$43,"")</f>
        <v/>
      </c>
      <c r="AF47" s="768" t="n"/>
      <c r="AG47" s="769" t="n"/>
      <c r="AH47" s="767">
        <f>IF('MB (Beckers Wreckers)'!$F$43&gt;0,'MB (Beckers Wreckers)'!$C$43,"")</f>
        <v/>
      </c>
      <c r="AI47" s="768" t="n"/>
      <c r="AJ47" s="769" t="n"/>
      <c r="AK47" s="776">
        <f>IF('MH (sabermutrics)'!$F$43&gt;0,'MH (sabermutrics)'!$C$43,"")</f>
        <v/>
      </c>
      <c r="AL47" s="753" t="n"/>
      <c r="AM47" s="777" t="n"/>
      <c r="AN47" s="767">
        <f>IF('MT (Tradezilla)'!$F$43&gt;0,'MT (Tradezilla)'!$C$43,"")</f>
        <v/>
      </c>
      <c r="AO47" s="768" t="n"/>
      <c r="AP47" s="769" t="n"/>
      <c r="AQ47" s="767">
        <f>IF('SM (Dawsyn)'!$F$43&gt;0,'SM (Dawsyn)'!$C$43,"")</f>
        <v/>
      </c>
      <c r="AR47" s="768" t="n"/>
      <c r="AS47" s="769" t="n"/>
    </row>
    <row r="48" ht="11.25" customHeight="1" s="26">
      <c r="B48" s="766" t="n"/>
      <c r="C48" s="519" t="n"/>
      <c r="D48" s="520">
        <f>'AC (Dumpster Fires)'!F43</f>
        <v/>
      </c>
      <c r="E48" s="778">
        <f>'AC (Dumpster Fires)'!I43</f>
        <v/>
      </c>
      <c r="F48" s="771" t="n"/>
      <c r="G48" s="520">
        <f>'AW (Minor)'!F43</f>
        <v/>
      </c>
      <c r="H48" s="778">
        <f>'AW (Minor)'!I43</f>
        <v/>
      </c>
      <c r="I48" s="771" t="n"/>
      <c r="J48" s="158">
        <f>IF('BL (Brockasauras)'!$F$43&gt;0,'BL (Brockasauras)'!$F$43,"")</f>
        <v/>
      </c>
      <c r="K48" s="770">
        <f>IF('BL (Brockasauras)'!$F$43&gt;0,'BL (Brockasauras)'!$I$43,"")</f>
        <v/>
      </c>
      <c r="L48" s="771" t="n"/>
      <c r="M48" s="158">
        <f>IF('CN (Nygaardians)'!$F$43&gt;0,'CN (Nygaardians)'!$F$43,"")</f>
        <v/>
      </c>
      <c r="N48" s="770">
        <f>IF('CN (Nygaardians)'!$F$43&gt;0,'CN (Nygaardians)'!$I$43,"")</f>
        <v/>
      </c>
      <c r="O48" s="771" t="n"/>
      <c r="P48" s="158">
        <f>IF('CS (Shag Dawgs)'!$F$43&gt;0,'CS (Shag Dawgs)'!$F$43,"")</f>
        <v/>
      </c>
      <c r="Q48" s="770">
        <f>IF('CS (Shag Dawgs)'!$F$43&gt;0,'CS (Shag Dawgs)'!$I$43,"")</f>
        <v/>
      </c>
      <c r="R48" s="771" t="n"/>
      <c r="S48" s="158">
        <f>IF('DC (Cliff Lee Was Here)'!$F$43&gt;0,'DC (Cliff Lee Was Here)'!$F$43,"")</f>
        <v/>
      </c>
      <c r="T48" s="778">
        <f>IF('DC (Cliff Lee Was Here)'!$F$43&gt;0,'DC (Cliff Lee Was Here)'!$I$43,"")</f>
        <v/>
      </c>
      <c r="U48" s="771" t="n"/>
      <c r="V48" s="158">
        <f>IF('JM (JMoney)'!$F$43&gt;0,'JM (JMoney)'!$F$43,"")</f>
        <v/>
      </c>
      <c r="W48" s="770">
        <f>IF('JM (JMoney)'!$F$43&gt;0,'JM (JMoney)'!$I$43,"")</f>
        <v/>
      </c>
      <c r="X48" s="771" t="n"/>
      <c r="Y48" s="158">
        <f>IF('JJ (metropolitans)'!$F$44&gt;0,'JJ (metropolitans)'!$F$44,"")</f>
        <v/>
      </c>
      <c r="Z48" s="770">
        <f>IF('JJ (metropolitans)'!$F$41&gt;0,'JJ (metropolitans)'!$I$44,"")</f>
        <v/>
      </c>
      <c r="AA48" s="771" t="n"/>
      <c r="AB48" s="158">
        <f>IF('KJ (Stat Sandwich)'!$F$43&gt;0,'KJ (Stat Sandwich)'!$F$43,"")</f>
        <v/>
      </c>
      <c r="AC48" s="770">
        <f>IF('KJ (Stat Sandwich)'!$F$43&gt;0,'KJ (Stat Sandwich)'!$I$43,"")</f>
        <v/>
      </c>
      <c r="AD48" s="771" t="n"/>
      <c r="AE48" s="158">
        <f>IF('EP (Winning De)'!$F$43&gt;0,'EP (Winning De)'!$F$43,"")</f>
        <v/>
      </c>
      <c r="AF48" s="778">
        <f>IF('EP (Winning De)'!$F$43&gt;0,'EP (Winning De)'!$I$43,"")</f>
        <v/>
      </c>
      <c r="AG48" s="771" t="n"/>
      <c r="AH48" s="158">
        <f>IF('MB (Beckers Wreckers)'!$F$43&gt;0,'MB (Beckers Wreckers)'!$F$43,"")</f>
        <v/>
      </c>
      <c r="AI48" s="778">
        <f>IF('MB (Beckers Wreckers)'!$F$43&gt;0,'MB (Beckers Wreckers)'!$I$43,"")</f>
        <v/>
      </c>
      <c r="AJ48" s="771" t="n"/>
      <c r="AK48" s="158">
        <f>IF('MH (sabermutrics)'!$F$43&gt;0,'MH (sabermutrics)'!$F$43,"")</f>
        <v/>
      </c>
      <c r="AL48" s="778">
        <f>IF('MH (sabermutrics)'!$F$43&gt;0,'MH (sabermutrics)'!$I$43,"")</f>
        <v/>
      </c>
      <c r="AM48" s="771" t="n"/>
      <c r="AN48" s="158">
        <f>IF('MT (Tradezilla)'!$F$43&gt;0,'MT (Tradezilla)'!$F$43,"")</f>
        <v/>
      </c>
      <c r="AO48" s="770">
        <f>IF('MT (Tradezilla)'!$F$43&gt;0,'MT (Tradezilla)'!$I$43,"")</f>
        <v/>
      </c>
      <c r="AP48" s="771" t="n"/>
      <c r="AQ48" s="158">
        <f>IF('SM (Dawsyn)'!$F$43&gt;0,'SM (Dawsyn)'!$F$43,"")</f>
        <v/>
      </c>
      <c r="AR48" s="778">
        <f>IF('SM (Dawsyn)'!$F$43&gt;0,'SM (Dawsyn)'!$I$43,"")</f>
        <v/>
      </c>
      <c r="AS48" s="771" t="n"/>
    </row>
    <row r="49" ht="11.25" customHeight="1" s="26">
      <c r="B49" s="766" t="n"/>
      <c r="C49" s="519" t="n"/>
      <c r="D49" s="775">
        <f>'AC (Dumpster Fires)'!C44</f>
        <v/>
      </c>
      <c r="E49" s="768" t="n"/>
      <c r="F49" s="769" t="n"/>
      <c r="G49" s="775">
        <f>'AW (Minor)'!C44</f>
        <v/>
      </c>
      <c r="H49" s="768" t="n"/>
      <c r="I49" s="769" t="n"/>
      <c r="J49" s="767">
        <f>IF('BL (Brockasauras)'!$F$44&gt;0,'BL (Brockasauras)'!$C$44,"")</f>
        <v/>
      </c>
      <c r="K49" s="768" t="n"/>
      <c r="L49" s="769" t="n"/>
      <c r="M49" s="767">
        <f>IF('CN (Nygaardians)'!$F$44&gt;0,'CN (Nygaardians)'!$C$44,"")</f>
        <v/>
      </c>
      <c r="N49" s="768" t="n"/>
      <c r="O49" s="769" t="n"/>
      <c r="P49" s="776">
        <f>IF('CS (Shag Dawgs)'!$F$44&gt;0,'CS (Shag Dawgs)'!$C$44,"")</f>
        <v/>
      </c>
      <c r="Q49" s="753" t="n"/>
      <c r="R49" s="777" t="n"/>
      <c r="S49" s="767">
        <f>IF('DC (Cliff Lee Was Here)'!$F$44&gt;0,'DC (Cliff Lee Was Here)'!$C$44,"")</f>
        <v/>
      </c>
      <c r="T49" s="768" t="n"/>
      <c r="U49" s="769" t="n"/>
      <c r="V49" s="767">
        <f>IF('JM (JMoney)'!$F$44&gt;0,'JM (JMoney)'!$C$44,"")</f>
        <v/>
      </c>
      <c r="W49" s="768" t="n"/>
      <c r="X49" s="769" t="n"/>
      <c r="Y49" s="767">
        <f>IF('JJ (metropolitans)'!$F$45&gt;0,'JJ (metropolitans)'!$C$45,"")</f>
        <v/>
      </c>
      <c r="Z49" s="768" t="n"/>
      <c r="AA49" s="769" t="n"/>
      <c r="AB49" s="767">
        <f>IF('KJ (Stat Sandwich)'!$F$44&gt;0,'KJ (Stat Sandwich)'!$C$44,"")</f>
        <v/>
      </c>
      <c r="AC49" s="768" t="n"/>
      <c r="AD49" s="769" t="n"/>
      <c r="AE49" s="767">
        <f>IF('EP (Winning De)'!$F$44&gt;0,'EP (Winning De)'!$C$44,"")</f>
        <v/>
      </c>
      <c r="AF49" s="768" t="n"/>
      <c r="AG49" s="769" t="n"/>
      <c r="AH49" s="767">
        <f>IF('MB (Beckers Wreckers)'!$F$44&gt;0,'MB (Beckers Wreckers)'!$C$44,"")</f>
        <v/>
      </c>
      <c r="AI49" s="768" t="n"/>
      <c r="AJ49" s="769" t="n"/>
      <c r="AK49" s="776">
        <f>IF('MH (sabermutrics)'!$F$44&gt;0,'MH (sabermutrics)'!$C$44,"")</f>
        <v/>
      </c>
      <c r="AL49" s="753" t="n"/>
      <c r="AM49" s="777" t="n"/>
      <c r="AN49" s="767">
        <f>IF('MT (Tradezilla)'!$F$44&gt;0,'MT (Tradezilla)'!$C$44,"")</f>
        <v/>
      </c>
      <c r="AO49" s="768" t="n"/>
      <c r="AP49" s="769" t="n"/>
      <c r="AQ49" s="767">
        <f>IF('SM (Dawsyn)'!$F$44&gt;0,'SM (Dawsyn)'!$C$44,"")</f>
        <v/>
      </c>
      <c r="AR49" s="768" t="n"/>
      <c r="AS49" s="769" t="n"/>
    </row>
    <row r="50" ht="11.25" customHeight="1" s="26">
      <c r="B50" s="766" t="n"/>
      <c r="C50" s="519" t="n"/>
      <c r="D50" s="520">
        <f>'AC (Dumpster Fires)'!F44</f>
        <v/>
      </c>
      <c r="E50" s="778">
        <f>'AC (Dumpster Fires)'!I44</f>
        <v/>
      </c>
      <c r="F50" s="771" t="n"/>
      <c r="G50" s="520">
        <f>'AW (Minor)'!F44</f>
        <v/>
      </c>
      <c r="H50" s="778">
        <f>'AW (Minor)'!I44</f>
        <v/>
      </c>
      <c r="I50" s="771" t="n"/>
      <c r="J50" s="158">
        <f>IF('BL (Brockasauras)'!$F$44&gt;0,'BL (Brockasauras)'!$F$44,"")</f>
        <v/>
      </c>
      <c r="K50" s="770">
        <f>IF('BL (Brockasauras)'!$F$44&gt;0,'BL (Brockasauras)'!$I$44,"")</f>
        <v/>
      </c>
      <c r="L50" s="771" t="n"/>
      <c r="M50" s="158">
        <f>IF('CN (Nygaardians)'!$F$44&gt;0,'CN (Nygaardians)'!$F$44,"")</f>
        <v/>
      </c>
      <c r="N50" s="770">
        <f>IF('CN (Nygaardians)'!$F$44&gt;0,'CN (Nygaardians)'!$I$44,"")</f>
        <v/>
      </c>
      <c r="O50" s="771" t="n"/>
      <c r="P50" s="158">
        <f>IF('CS (Shag Dawgs)'!$F$44&gt;0,'CS (Shag Dawgs)'!$F$44,"")</f>
        <v/>
      </c>
      <c r="Q50" s="770">
        <f>IF('CS (Shag Dawgs)'!$F$44&gt;0,'CS (Shag Dawgs)'!$I$44,"")</f>
        <v/>
      </c>
      <c r="R50" s="771" t="n"/>
      <c r="S50" s="158">
        <f>IF('DC (Cliff Lee Was Here)'!$F$44&gt;0,'DC (Cliff Lee Was Here)'!$F$44,"")</f>
        <v/>
      </c>
      <c r="T50" s="778">
        <f>IF('DC (Cliff Lee Was Here)'!$F$44&gt;0,'DC (Cliff Lee Was Here)'!$I$44,"")</f>
        <v/>
      </c>
      <c r="U50" s="771" t="n"/>
      <c r="V50" s="158">
        <f>IF('JM (JMoney)'!$F$44&gt;0,'JM (JMoney)'!$F$44,"")</f>
        <v/>
      </c>
      <c r="W50" s="770">
        <f>IF('JM (JMoney)'!$F$44&gt;0,'JM (JMoney)'!$I$44,"")</f>
        <v/>
      </c>
      <c r="X50" s="771" t="n"/>
      <c r="Y50" s="158">
        <f>IF('JJ (metropolitans)'!$F$45&gt;0,'JJ (metropolitans)'!$F$45,"")</f>
        <v/>
      </c>
      <c r="Z50" s="158">
        <f>IF('JJ (metropolitans)'!$F$45&gt;0,'JJ (metropolitans)'!$F$45,"")</f>
        <v/>
      </c>
      <c r="AA50" s="779" t="n"/>
      <c r="AB50" s="158">
        <f>IF('KJ (Stat Sandwich)'!$F$44&gt;0,'KJ (Stat Sandwich)'!$F$44,"")</f>
        <v/>
      </c>
      <c r="AC50" s="770">
        <f>IF('KJ (Stat Sandwich)'!$F$44&gt;0,'KJ (Stat Sandwich)'!$I$44,"")</f>
        <v/>
      </c>
      <c r="AD50" s="771" t="n"/>
      <c r="AE50" s="158">
        <f>IF('EP (Winning De)'!$F$44&gt;0,'EP (Winning De)'!$F$44,"")</f>
        <v/>
      </c>
      <c r="AF50" s="778">
        <f>IF('EP (Winning De)'!$F$44&gt;0,'EP (Winning De)'!$I$44,"")</f>
        <v/>
      </c>
      <c r="AG50" s="771" t="n"/>
      <c r="AH50" s="158">
        <f>IF('MB (Beckers Wreckers)'!$F$44&gt;0,'MB (Beckers Wreckers)'!$F$44,"")</f>
        <v/>
      </c>
      <c r="AI50" s="778">
        <f>IF('MB (Beckers Wreckers)'!$F$44&gt;0,'MB (Beckers Wreckers)'!$I$44,"")</f>
        <v/>
      </c>
      <c r="AJ50" s="771" t="n"/>
      <c r="AK50" s="158">
        <f>IF('MH (sabermutrics)'!$F$44&gt;0,'MH (sabermutrics)'!$F$44,"")</f>
        <v/>
      </c>
      <c r="AL50" s="770">
        <f>IF('MH (sabermutrics)'!$F$44&gt;0,'MH (sabermutrics)'!$I$44,"")</f>
        <v/>
      </c>
      <c r="AM50" s="771" t="n"/>
      <c r="AN50" s="158">
        <f>IF('MT (Tradezilla)'!$F$44&gt;0,'MT (Tradezilla)'!$F$44,"")</f>
        <v/>
      </c>
      <c r="AO50" s="770">
        <f>IF('MT (Tradezilla)'!$F$44&gt;0,'MT (Tradezilla)'!$I$44,"")</f>
        <v/>
      </c>
      <c r="AP50" s="771" t="n"/>
      <c r="AQ50" s="158">
        <f>IF('SM (Dawsyn)'!$F$44&gt;0,'SM (Dawsyn)'!$F$44,"")</f>
        <v/>
      </c>
      <c r="AR50" s="770">
        <f>IF('SM (Dawsyn)'!$F$44&gt;0,'SM (Dawsyn)'!$I$44,"")</f>
        <v/>
      </c>
      <c r="AS50" s="771" t="n"/>
    </row>
    <row r="51" ht="11.25" customHeight="1" s="26">
      <c r="B51" s="766" t="n"/>
      <c r="C51" s="519" t="n"/>
      <c r="D51" s="775">
        <f>'AC (Dumpster Fires)'!C45</f>
        <v/>
      </c>
      <c r="E51" s="768" t="n"/>
      <c r="F51" s="769" t="n"/>
      <c r="G51" s="775">
        <f>'AW (Minor)'!C45</f>
        <v/>
      </c>
      <c r="H51" s="768" t="n"/>
      <c r="I51" s="769" t="n"/>
      <c r="J51" s="767">
        <f>IF('BL (Brockasauras)'!$F$45&gt;0,'BL (Brockasauras)'!$C$45,"")</f>
        <v/>
      </c>
      <c r="K51" s="768" t="n"/>
      <c r="L51" s="769" t="n"/>
      <c r="M51" s="767">
        <f>IF('CN (Nygaardians)'!$F$45&gt;0,'CN (Nygaardians)'!$C$45,"")</f>
        <v/>
      </c>
      <c r="N51" s="768" t="n"/>
      <c r="O51" s="769" t="n"/>
      <c r="P51" s="776">
        <f>IF('CS (Shag Dawgs)'!$F$45&gt;0,'CS (Shag Dawgs)'!$C$45,"")</f>
        <v/>
      </c>
      <c r="Q51" s="753" t="n"/>
      <c r="R51" s="777" t="n"/>
      <c r="S51" s="767">
        <f>IF('DC (Cliff Lee Was Here)'!$F$45&gt;0,'DC (Cliff Lee Was Here)'!$C$45,"")</f>
        <v/>
      </c>
      <c r="T51" s="768" t="n"/>
      <c r="U51" s="769" t="n"/>
      <c r="V51" s="767">
        <f>IF('JM (JMoney)'!$F$40&gt;0,'JM (JMoney)'!$C$40,"")</f>
        <v/>
      </c>
      <c r="W51" s="768" t="n"/>
      <c r="X51" s="769" t="n"/>
      <c r="Y51" s="767">
        <f>IF('JJ (metropolitans)'!$F$46&gt;0,'JJ (metropolitans)'!$C$46,"")</f>
        <v/>
      </c>
      <c r="Z51" s="768" t="n"/>
      <c r="AA51" s="769" t="n"/>
      <c r="AB51" s="767">
        <f>IF('KJ (Stat Sandwich)'!$F$45&gt;0,'KJ (Stat Sandwich)'!$C$45,"")</f>
        <v/>
      </c>
      <c r="AC51" s="768" t="n"/>
      <c r="AD51" s="769" t="n"/>
      <c r="AE51" s="767">
        <f>IF('EP (Winning De)'!$F$45&gt;0,'EP (Winning De)'!$C$45,"")</f>
        <v/>
      </c>
      <c r="AF51" s="768" t="n"/>
      <c r="AG51" s="769" t="n"/>
      <c r="AH51" s="767">
        <f>IF('MB (Beckers Wreckers)'!$F$45&gt;0,'MB (Beckers Wreckers)'!$C$45,"")</f>
        <v/>
      </c>
      <c r="AI51" s="768" t="n"/>
      <c r="AJ51" s="769" t="n"/>
      <c r="AK51" s="776">
        <f>IF('MH (sabermutrics)'!$F$45&gt;0,'MH (sabermutrics)'!$C$45,"")</f>
        <v/>
      </c>
      <c r="AL51" s="753" t="n"/>
      <c r="AM51" s="777" t="n"/>
      <c r="AN51" s="767">
        <f>IF('MT (Tradezilla)'!$F$45&gt;0,'MT (Tradezilla)'!$C$45,"")</f>
        <v/>
      </c>
      <c r="AO51" s="768" t="n"/>
      <c r="AP51" s="769" t="n"/>
      <c r="AQ51" s="767">
        <f>IF('SM (Dawsyn)'!$F$45&gt;0,'SM (Dawsyn)'!$C$45,"")</f>
        <v/>
      </c>
      <c r="AR51" s="768" t="n"/>
      <c r="AS51" s="769" t="n"/>
    </row>
    <row r="52" ht="11.25" customHeight="1" s="26">
      <c r="B52" s="766" t="n"/>
      <c r="C52" s="519" t="n"/>
      <c r="D52" s="520">
        <f>'AC (Dumpster Fires)'!F45</f>
        <v/>
      </c>
      <c r="E52" s="778">
        <f>'AC (Dumpster Fires)'!I45</f>
        <v/>
      </c>
      <c r="F52" s="771" t="n"/>
      <c r="G52" s="520">
        <f>'AW (Minor)'!F45</f>
        <v/>
      </c>
      <c r="H52" s="778">
        <f>'AW (Minor)'!I45</f>
        <v/>
      </c>
      <c r="I52" s="771" t="n"/>
      <c r="J52" s="158">
        <f>IF('BL (Brockasauras)'!$F$45&gt;0,'BL (Brockasauras)'!$F$45,"")</f>
        <v/>
      </c>
      <c r="K52" s="770">
        <f>IF('BL (Brockasauras)'!$F$45&gt;0,'BL (Brockasauras)'!$I$45,"")</f>
        <v/>
      </c>
      <c r="L52" s="771" t="n"/>
      <c r="M52" s="158">
        <f>IF('CN (Nygaardians)'!$F$45&gt;0,'CN (Nygaardians)'!$F$45,"")</f>
        <v/>
      </c>
      <c r="N52" s="770">
        <f>IF('CN (Nygaardians)'!$F$45&gt;0,'CN (Nygaardians)'!$I$45,"")</f>
        <v/>
      </c>
      <c r="O52" s="771" t="n"/>
      <c r="P52" s="158">
        <f>IF('CS (Shag Dawgs)'!$F$45&gt;0,'CS (Shag Dawgs)'!$F$45,"")</f>
        <v/>
      </c>
      <c r="Q52" s="770">
        <f>IF('CS (Shag Dawgs)'!$F$45&gt;0,'CS (Shag Dawgs)'!$I$45,"")</f>
        <v/>
      </c>
      <c r="R52" s="771" t="n"/>
      <c r="S52" s="158">
        <f>IF('DC (Cliff Lee Was Here)'!$F$45&gt;0,'DC (Cliff Lee Was Here)'!$F$45,"")</f>
        <v/>
      </c>
      <c r="T52" s="770">
        <f>IF('DC (Cliff Lee Was Here)'!$F$45&gt;0,'DC (Cliff Lee Was Here)'!$I$45,"")</f>
        <v/>
      </c>
      <c r="U52" s="771" t="n"/>
      <c r="V52" s="158">
        <f>IF('JM (JMoney)'!$F$40&gt;0,'JM (JMoney)'!$F$40,"")</f>
        <v/>
      </c>
      <c r="W52" s="770">
        <f>IF('JM (JMoney)'!$F$40&gt;0,'JM (JMoney)'!$I$40,"")</f>
        <v/>
      </c>
      <c r="X52" s="771" t="n"/>
      <c r="Y52" s="158">
        <f>IF('JJ (metropolitans)'!$F$46&gt;0,'JJ (metropolitans)'!$F$46,"")</f>
        <v/>
      </c>
      <c r="Z52" s="158">
        <f>IF('JJ (metropolitans)'!$F$46&gt;0,'JJ (metropolitans)'!$F$46,"")</f>
        <v/>
      </c>
      <c r="AA52" s="779" t="n"/>
      <c r="AB52" s="158">
        <f>IF('KJ (Stat Sandwich)'!$F$45&gt;0,'KJ (Stat Sandwich)'!$F$45,"")</f>
        <v/>
      </c>
      <c r="AC52" s="770">
        <f>IF('KJ (Stat Sandwich)'!$F$45&gt;0,'KJ (Stat Sandwich)'!$I$45,"")</f>
        <v/>
      </c>
      <c r="AD52" s="771" t="n"/>
      <c r="AE52" s="158">
        <f>IF('EP (Winning De)'!$F$45&gt;0,'EP (Winning De)'!$F$45,"")</f>
        <v/>
      </c>
      <c r="AF52" s="770">
        <f>IF('EP (Winning De)'!$F$45&gt;0,'EP (Winning De)'!$I$45,"")</f>
        <v/>
      </c>
      <c r="AG52" s="771" t="n"/>
      <c r="AH52" s="158">
        <f>IF('MB (Beckers Wreckers)'!$F$45&gt;0,'MB (Beckers Wreckers)'!$F$45,"")</f>
        <v/>
      </c>
      <c r="AI52" s="778">
        <f>IF('MB (Beckers Wreckers)'!$F$45&gt;0,'MB (Beckers Wreckers)'!$I$45,"")</f>
        <v/>
      </c>
      <c r="AJ52" s="771" t="n"/>
      <c r="AK52" s="158">
        <f>IF('MH (sabermutrics)'!$F$45&gt;0,'MH (sabermutrics)'!$F$45,"")</f>
        <v/>
      </c>
      <c r="AL52" s="770">
        <f>IF('MH (sabermutrics)'!$F$45&gt;0,'MH (sabermutrics)'!$I$45,"")</f>
        <v/>
      </c>
      <c r="AM52" s="771" t="n"/>
      <c r="AN52" s="158">
        <f>IF('MT (Tradezilla)'!$F$45&gt;0,'MT (Tradezilla)'!$F$45,"")</f>
        <v/>
      </c>
      <c r="AO52" s="770">
        <f>IF('MT (Tradezilla)'!$F$45&gt;0,'MT (Tradezilla)'!$I$45,"")</f>
        <v/>
      </c>
      <c r="AP52" s="771" t="n"/>
      <c r="AQ52" s="158">
        <f>IF('SM (Dawsyn)'!$F$45&gt;0,'SM (Dawsyn)'!$F$45,"")</f>
        <v/>
      </c>
      <c r="AR52" s="770">
        <f>IF('SM (Dawsyn)'!$F$45&gt;0,'SM (Dawsyn)'!$I$45,"")</f>
        <v/>
      </c>
      <c r="AS52" s="771" t="n"/>
    </row>
    <row r="53" ht="11.25" customHeight="1" s="26">
      <c r="B53" s="766" t="n"/>
      <c r="C53" s="519" t="n"/>
      <c r="D53" s="775">
        <f>'AC (Dumpster Fires)'!C46</f>
        <v/>
      </c>
      <c r="E53" s="768" t="n"/>
      <c r="F53" s="769" t="n"/>
      <c r="G53" s="775">
        <f>'AW (Minor)'!C46</f>
        <v/>
      </c>
      <c r="H53" s="768" t="n"/>
      <c r="I53" s="769" t="n"/>
      <c r="J53" s="767">
        <f>IF('BL (Brockasauras)'!$F$46&gt;0,'BL (Brockasauras)'!$C$46,"")</f>
        <v/>
      </c>
      <c r="K53" s="768" t="n"/>
      <c r="L53" s="769" t="n"/>
      <c r="M53" s="767">
        <f>IF('CN (Nygaardians)'!$F$46&gt;0,'CN (Nygaardians)'!$C$46,"")</f>
        <v/>
      </c>
      <c r="N53" s="768" t="n"/>
      <c r="O53" s="769" t="n"/>
      <c r="P53" s="767">
        <f>IF('CS (Shag Dawgs)'!$F$46&gt;0,'CS (Shag Dawgs)'!$C$46,"")</f>
        <v/>
      </c>
      <c r="Q53" s="768" t="n"/>
      <c r="R53" s="769" t="n"/>
      <c r="S53" s="767">
        <f>IF('DC (Cliff Lee Was Here)'!$F$46&gt;0,'DC (Cliff Lee Was Here)'!$C$46,"")</f>
        <v/>
      </c>
      <c r="T53" s="768" t="n"/>
      <c r="U53" s="769" t="n"/>
      <c r="V53" s="767">
        <f>IF('JM (JMoney)'!$F$46&gt;0,'JM (JMoney)'!$C$46,"")</f>
        <v/>
      </c>
      <c r="W53" s="768" t="n"/>
      <c r="X53" s="769" t="n"/>
      <c r="Y53" s="767">
        <f>IF('JJ (metropolitans)'!$F$46&gt;0,'JJ (metropolitans)'!$C$46,"")</f>
        <v/>
      </c>
      <c r="Z53" s="768" t="n"/>
      <c r="AA53" s="769" t="n"/>
      <c r="AB53" s="767">
        <f>IF('KJ (Stat Sandwich)'!$F$46&gt;0,'KJ (Stat Sandwich)'!$C$46,"")</f>
        <v/>
      </c>
      <c r="AC53" s="768" t="n"/>
      <c r="AD53" s="769" t="n"/>
      <c r="AE53" s="767">
        <f>IF('EP (Winning De)'!$F$46&gt;0,'EP (Winning De)'!$C$46,"")</f>
        <v/>
      </c>
      <c r="AF53" s="768" t="n"/>
      <c r="AG53" s="769" t="n"/>
      <c r="AH53" s="767">
        <f>IF('MB (Beckers Wreckers)'!$F$46&gt;0,'MB (Beckers Wreckers)'!$C$46,"")</f>
        <v/>
      </c>
      <c r="AI53" s="768" t="n"/>
      <c r="AJ53" s="769" t="n"/>
      <c r="AK53" s="776">
        <f>IF('MH (sabermutrics)'!$F$46&gt;0,'MH (sabermutrics)'!$C$46,"")</f>
        <v/>
      </c>
      <c r="AL53" s="753" t="n"/>
      <c r="AM53" s="777" t="n"/>
      <c r="AN53" s="767">
        <f>IF('MT (Tradezilla)'!$F$46&gt;0,'MT (Tradezilla)'!$C$46,"")</f>
        <v/>
      </c>
      <c r="AO53" s="768" t="n"/>
      <c r="AP53" s="769" t="n"/>
      <c r="AQ53" s="767">
        <f>IF('SM (Dawsyn)'!$F$46&gt;0,'SM (Dawsyn)'!$C$46,"")</f>
        <v/>
      </c>
      <c r="AR53" s="768" t="n"/>
      <c r="AS53" s="769" t="n"/>
    </row>
    <row r="54" ht="11.25" customHeight="1" s="26">
      <c r="B54" s="766" t="n"/>
      <c r="C54" s="519" t="n"/>
      <c r="D54" s="520">
        <f>'AC (Dumpster Fires)'!F46</f>
        <v/>
      </c>
      <c r="E54" s="778">
        <f>'AC (Dumpster Fires)'!I46</f>
        <v/>
      </c>
      <c r="F54" s="771" t="n"/>
      <c r="G54" s="520">
        <f>'AW (Minor)'!F46</f>
        <v/>
      </c>
      <c r="H54" s="778">
        <f>'AW (Minor)'!I46</f>
        <v/>
      </c>
      <c r="I54" s="771" t="n"/>
      <c r="J54" s="158">
        <f>IF('BL (Brockasauras)'!$F$46&gt;0,'BL (Brockasauras)'!$F$46,"")</f>
        <v/>
      </c>
      <c r="K54" s="770">
        <f>IF('BL (Brockasauras)'!$F$46&gt;0,'BL (Brockasauras)'!$I$46,"")</f>
        <v/>
      </c>
      <c r="L54" s="771" t="n"/>
      <c r="M54" s="158">
        <f>IF('CN (Nygaardians)'!$F$46&gt;0,'CN (Nygaardians)'!$F$46,"")</f>
        <v/>
      </c>
      <c r="N54" s="770">
        <f>IF('CN (Nygaardians)'!$F$46&gt;0,'CN (Nygaardians)'!$I$46,"")</f>
        <v/>
      </c>
      <c r="O54" s="771" t="n"/>
      <c r="P54" s="158">
        <f>IF('CS (Shag Dawgs)'!$F$46&gt;0,'CS (Shag Dawgs)'!$F$46,"")</f>
        <v/>
      </c>
      <c r="Q54" s="770">
        <f>IF('CS (Shag Dawgs)'!$F$46&gt;0,'CS (Shag Dawgs)'!$I$46,"")</f>
        <v/>
      </c>
      <c r="R54" s="771" t="n"/>
      <c r="S54" s="158">
        <f>IF('DC (Cliff Lee Was Here)'!$F$46&gt;0,'DC (Cliff Lee Was Here)'!$F$46,"")</f>
        <v/>
      </c>
      <c r="T54" s="778">
        <f>IF('DC (Cliff Lee Was Here)'!$F$46&gt;0,'DC (Cliff Lee Was Here)'!$I$46,"")</f>
        <v/>
      </c>
      <c r="U54" s="771" t="n"/>
      <c r="V54" s="158">
        <f>IF('JM (JMoney)'!$F$46&gt;0,'JM (JMoney)'!$F$46,"")</f>
        <v/>
      </c>
      <c r="W54" s="770">
        <f>IF('JM (JMoney)'!$F$46&gt;0,'JM (JMoney)'!$I$46,"")</f>
        <v/>
      </c>
      <c r="X54" s="771" t="n"/>
      <c r="Y54" s="158">
        <f>IF('JJ (metropolitans)'!$F$46&gt;0,'JJ (metropolitans)'!$F$46,"")</f>
        <v/>
      </c>
      <c r="Z54" s="770">
        <f>IF('JJ (metropolitans)'!$F$46&gt;0,'JJ (metropolitans)'!$I$46,"")</f>
        <v/>
      </c>
      <c r="AA54" s="771" t="n"/>
      <c r="AB54" s="158">
        <f>IF('KJ (Stat Sandwich)'!$F$46&gt;0,'KJ (Stat Sandwich)'!$F$46,"")</f>
        <v/>
      </c>
      <c r="AC54" s="770">
        <f>IF('KJ (Stat Sandwich)'!$F$46&gt;0,'KJ (Stat Sandwich)'!$I$46,"")</f>
        <v/>
      </c>
      <c r="AD54" s="771" t="n"/>
      <c r="AE54" s="158">
        <f>IF('EP (Winning De)'!$F$46&gt;0,'EP (Winning De)'!$F$46,"")</f>
        <v/>
      </c>
      <c r="AF54" s="770">
        <f>IF('EP (Winning De)'!$F$46&gt;0,'EP (Winning De)'!$I$46,"")</f>
        <v/>
      </c>
      <c r="AG54" s="771" t="n"/>
      <c r="AH54" s="158">
        <f>IF('MB (Beckers Wreckers)'!$F$46&gt;0,'MB (Beckers Wreckers)'!$F$46,"")</f>
        <v/>
      </c>
      <c r="AI54" s="778">
        <f>IF('MB (Beckers Wreckers)'!$F$46&gt;0,'MB (Beckers Wreckers)'!$I$46,"")</f>
        <v/>
      </c>
      <c r="AJ54" s="771" t="n"/>
      <c r="AK54" s="158">
        <f>IF('MH (sabermutrics)'!$F$46&gt;0,'MH (sabermutrics)'!$F$46,"")</f>
        <v/>
      </c>
      <c r="AL54" s="770">
        <f>IF('MH (sabermutrics)'!$F$46&gt;0,'MH (sabermutrics)'!$I$46,"")</f>
        <v/>
      </c>
      <c r="AM54" s="771" t="n"/>
      <c r="AN54" s="158">
        <f>IF('MT (Tradezilla)'!$F$46&gt;0,'MT (Tradezilla)'!$F$46,"")</f>
        <v/>
      </c>
      <c r="AO54" s="770">
        <f>IF('MT (Tradezilla)'!$F$46&gt;0,'MT (Tradezilla)'!$I$46,"")</f>
        <v/>
      </c>
      <c r="AP54" s="771" t="n"/>
      <c r="AQ54" s="158">
        <f>IF('SM (Dawsyn)'!$F$46&gt;0,'SM (Dawsyn)'!$F$46,"")</f>
        <v/>
      </c>
      <c r="AR54" s="770">
        <f>IF('SM (Dawsyn)'!$F$46&gt;0,'SM (Dawsyn)'!$I$46,"")</f>
        <v/>
      </c>
      <c r="AS54" s="771" t="n"/>
    </row>
    <row r="55" ht="11.25" customHeight="1" s="26">
      <c r="B55" s="766" t="n"/>
      <c r="C55" s="519" t="n"/>
      <c r="D55" s="775">
        <f>'AC (Dumpster Fires)'!C47</f>
        <v/>
      </c>
      <c r="E55" s="768" t="n"/>
      <c r="F55" s="769" t="n"/>
      <c r="G55" s="775">
        <f>'AW (Minor)'!C47</f>
        <v/>
      </c>
      <c r="H55" s="768" t="n"/>
      <c r="I55" s="769" t="n"/>
      <c r="J55" s="780">
        <f>IF('BL (Brockasauras)'!$F$47&gt;0,'BL (Brockasauras)'!$C$47,"")</f>
        <v/>
      </c>
      <c r="L55" s="766" t="n"/>
      <c r="M55" s="767">
        <f>IF('CN (Nygaardians)'!$F$47&gt;0,'CN (Nygaardians)'!$C$47,"")</f>
        <v/>
      </c>
      <c r="N55" s="768" t="n"/>
      <c r="O55" s="769" t="n"/>
      <c r="P55" s="780">
        <f>IF('CS (Shag Dawgs)'!$F$47&gt;0,'CS (Shag Dawgs)'!$C$47,"")</f>
        <v/>
      </c>
      <c r="R55" s="766" t="n"/>
      <c r="S55" s="780">
        <f>IF('DC (Cliff Lee Was Here)'!$F$47&gt;0,'DC (Cliff Lee Was Here)'!$C$47,"")</f>
        <v/>
      </c>
      <c r="U55" s="766" t="n"/>
      <c r="V55" s="767">
        <f>IF('JM (JMoney)'!$F$47&gt;0,'JM (JMoney)'!$C$47,"")</f>
        <v/>
      </c>
      <c r="W55" s="768" t="n"/>
      <c r="X55" s="769" t="n"/>
      <c r="Y55" s="780">
        <f>IF('JJ (metropolitans)'!$F$47&gt;0,'JJ (metropolitans)'!$C$47,"")</f>
        <v/>
      </c>
      <c r="AA55" s="766" t="n"/>
      <c r="AB55" s="767">
        <f>IF('KJ (Stat Sandwich)'!$F$47&gt;0,'KJ (Stat Sandwich)'!$C$47,"")</f>
        <v/>
      </c>
      <c r="AC55" s="768" t="n"/>
      <c r="AD55" s="769" t="n"/>
      <c r="AE55" s="767">
        <f>IF('EP (Winning De)'!$F$47&gt;0,'EP (Winning De)'!$C$47,"")</f>
        <v/>
      </c>
      <c r="AF55" s="768" t="n"/>
      <c r="AG55" s="769" t="n"/>
      <c r="AH55" s="780">
        <f>IF('MB (Beckers Wreckers)'!$F$47&gt;0,'MB (Beckers Wreckers)'!$C$47,"")</f>
        <v/>
      </c>
      <c r="AJ55" s="766" t="n"/>
      <c r="AK55" s="776">
        <f>IF('MH (sabermutrics)'!$F$47&gt;0,'MH (sabermutrics)'!$C$47,"")</f>
        <v/>
      </c>
      <c r="AL55" s="753" t="n"/>
      <c r="AM55" s="777" t="n"/>
      <c r="AN55" s="780">
        <f>IF('MT (Tradezilla)'!$F$47&gt;0,'MT (Tradezilla)'!$C$47,"")</f>
        <v/>
      </c>
      <c r="AP55" s="766" t="n"/>
      <c r="AQ55" s="767">
        <f>IF('SM (Dawsyn)'!$F$47&gt;0,'SM (Dawsyn)'!$C$47,"")</f>
        <v/>
      </c>
      <c r="AR55" s="768" t="n"/>
      <c r="AS55" s="769" t="n"/>
    </row>
    <row r="56" ht="11.25" customHeight="1" s="26">
      <c r="B56" s="766" t="n"/>
      <c r="C56" s="519" t="n"/>
      <c r="D56" s="520">
        <f>'AC (Dumpster Fires)'!F47</f>
        <v/>
      </c>
      <c r="E56" s="778">
        <f>'AC (Dumpster Fires)'!I47</f>
        <v/>
      </c>
      <c r="F56" s="771" t="n"/>
      <c r="G56" s="520">
        <f>'AW (Minor)'!F47</f>
        <v/>
      </c>
      <c r="H56" s="778">
        <f>'AW (Minor)'!I47</f>
        <v/>
      </c>
      <c r="I56" s="771" t="n"/>
      <c r="J56" s="158">
        <f>IF('BL (Brockasauras)'!$F$47&gt;0,'BL (Brockasauras)'!$F$47,"")</f>
        <v/>
      </c>
      <c r="K56" s="770">
        <f>IF('BL (Brockasauras)'!$F$47&gt;0,'BL (Brockasauras)'!$I$47,"")</f>
        <v/>
      </c>
      <c r="L56" s="771" t="n"/>
      <c r="M56" s="158">
        <f>IF('CN (Nygaardians)'!$F$47&gt;0,'CN (Nygaardians)'!$F$47,"")</f>
        <v/>
      </c>
      <c r="N56" s="770">
        <f>IF('CN (Nygaardians)'!$F$47&gt;0,'CN (Nygaardians)'!$I$47,"")</f>
        <v/>
      </c>
      <c r="O56" s="771" t="n"/>
      <c r="P56" s="158">
        <f>IF('CS (Shag Dawgs)'!$F$47&gt;0,'CS (Shag Dawgs)'!$F$47,"")</f>
        <v/>
      </c>
      <c r="Q56" s="770">
        <f>IF('CS (Shag Dawgs)'!$F$47&gt;0,'CS (Shag Dawgs)'!$I$47,"")</f>
        <v/>
      </c>
      <c r="R56" s="771" t="n"/>
      <c r="S56" s="158">
        <f>IF('DC (Cliff Lee Was Here)'!$F$47&gt;0,'DC (Cliff Lee Was Here)'!$F$47,"")</f>
        <v/>
      </c>
      <c r="T56" s="778">
        <f>IF('DC (Cliff Lee Was Here)'!$F$47&gt;0,'DC (Cliff Lee Was Here)'!$I$47,"")</f>
        <v/>
      </c>
      <c r="U56" s="771" t="n"/>
      <c r="V56" s="158">
        <f>IF('JM (JMoney)'!$F$47&gt;0,'JM (JMoney)'!$F$47,"")</f>
        <v/>
      </c>
      <c r="W56" s="770">
        <f>IF('JM (JMoney)'!$F$47&gt;0,'JM (JMoney)'!$I$47,"")</f>
        <v/>
      </c>
      <c r="X56" s="771" t="n"/>
      <c r="Y56" s="158">
        <f>IF('JJ (metropolitans)'!$F$47&gt;0,'JJ (metropolitans)'!$F$47,"")</f>
        <v/>
      </c>
      <c r="Z56" s="770">
        <f>IF('JJ (metropolitans)'!$F$47&gt;0,'JJ (metropolitans)'!$I$47,"")</f>
        <v/>
      </c>
      <c r="AA56" s="771" t="n"/>
      <c r="AB56" s="158">
        <f>IF('KJ (Stat Sandwich)'!$F$47&gt;0,'KJ (Stat Sandwich)'!$F$47,"")</f>
        <v/>
      </c>
      <c r="AC56" s="770">
        <f>IF('KJ (Stat Sandwich)'!$F$47&gt;0,'KJ (Stat Sandwich)'!$I$47,"")</f>
        <v/>
      </c>
      <c r="AD56" s="771" t="n"/>
      <c r="AE56" s="158">
        <f>IF('EP (Winning De)'!$F$47&gt;0,'EP (Winning De)'!$F$47,"")</f>
        <v/>
      </c>
      <c r="AF56" s="770">
        <f>IF('EP (Winning De)'!$F$47&gt;0,'EP (Winning De)'!$I$47,"")</f>
        <v/>
      </c>
      <c r="AG56" s="771" t="n"/>
      <c r="AH56" s="158">
        <f>IF('MB (Beckers Wreckers)'!$F$47&gt;0,'MB (Beckers Wreckers)'!$F$47,"")</f>
        <v/>
      </c>
      <c r="AI56" s="778">
        <f>IF('MB (Beckers Wreckers)'!$F$47&gt;0,'MB (Beckers Wreckers)'!$I$47,"")</f>
        <v/>
      </c>
      <c r="AJ56" s="771" t="n"/>
      <c r="AK56" s="158">
        <f>IF('MH (sabermutrics)'!$F$47&gt;0,'MH (sabermutrics)'!$F$47,"")</f>
        <v/>
      </c>
      <c r="AL56" s="770">
        <f>IF('MH (sabermutrics)'!$F$47&gt;0,'MH (sabermutrics)'!$I$47,"")</f>
        <v/>
      </c>
      <c r="AM56" s="771" t="n"/>
      <c r="AN56" s="158">
        <f>IF('MT (Tradezilla)'!$F$47&gt;0,'MT (Tradezilla)'!$F$47,"")</f>
        <v/>
      </c>
      <c r="AO56" s="770">
        <f>IF('MT (Tradezilla)'!$F$47&gt;0,'MT (Tradezilla)'!$I$47,"")</f>
        <v/>
      </c>
      <c r="AP56" s="771" t="n"/>
      <c r="AQ56" s="158">
        <f>IF('SM (Dawsyn)'!$F$47&gt;0,'SM (Dawsyn)'!$F$47,"")</f>
        <v/>
      </c>
      <c r="AR56" s="770">
        <f>IF('SM (Dawsyn)'!$F$47&gt;0,'SM (Dawsyn)'!$I$47,"")</f>
        <v/>
      </c>
      <c r="AS56" s="771" t="n"/>
    </row>
    <row r="57" ht="11.25" customHeight="1" s="26">
      <c r="B57" s="766" t="n"/>
      <c r="C57" s="519" t="n"/>
      <c r="D57" s="781">
        <f>'AC (Dumpster Fires)'!C48</f>
        <v/>
      </c>
      <c r="E57" s="768" t="n"/>
      <c r="F57" s="769" t="n"/>
      <c r="G57" s="775">
        <f>'AW (Minor)'!C48</f>
        <v/>
      </c>
      <c r="H57" s="768" t="n"/>
      <c r="I57" s="769" t="n"/>
      <c r="J57" s="767">
        <f>IF('BL (Brockasauras)'!$F$48&gt;0,'BL (Brockasauras)'!$C$48,"")</f>
        <v/>
      </c>
      <c r="K57" s="768" t="n"/>
      <c r="L57" s="769" t="n"/>
      <c r="M57" s="767">
        <f>IF('CN (Nygaardians)'!$F$48&gt;0,'CN (Nygaardians)'!$C$48,"")</f>
        <v/>
      </c>
      <c r="N57" s="768" t="n"/>
      <c r="O57" s="769" t="n"/>
      <c r="P57" s="767">
        <f>IF('CS (Shag Dawgs)'!$F$48&gt;0,'CS (Shag Dawgs)'!$C$48,"")</f>
        <v/>
      </c>
      <c r="Q57" s="768" t="n"/>
      <c r="R57" s="769" t="n"/>
      <c r="S57" s="767">
        <f>IF('DC (Cliff Lee Was Here)'!$F$48&gt;0,'DC (Cliff Lee Was Here)'!$C$48,"")</f>
        <v/>
      </c>
      <c r="T57" s="768" t="n"/>
      <c r="U57" s="769" t="n"/>
      <c r="V57" s="767">
        <f>IF('JM (JMoney)'!$F$48&gt;0,'JM (JMoney)'!$C$48,"")</f>
        <v/>
      </c>
      <c r="W57" s="768" t="n"/>
      <c r="X57" s="769" t="n"/>
      <c r="Y57" s="767">
        <f>IF('JJ (metropolitans)'!$F$48&gt;0,'JJ (metropolitans)'!$C$48,"")</f>
        <v/>
      </c>
      <c r="Z57" s="768" t="n"/>
      <c r="AA57" s="769" t="n"/>
      <c r="AB57" s="767">
        <f>IF('KJ (Stat Sandwich)'!$F$48&gt;0,'KJ (Stat Sandwich)'!$C$48,"")</f>
        <v/>
      </c>
      <c r="AC57" s="768" t="n"/>
      <c r="AD57" s="769" t="n"/>
      <c r="AE57" s="767">
        <f>IF('EP (Winning De)'!$F$48&gt;0,'EP (Winning De)'!$C$48,"")</f>
        <v/>
      </c>
      <c r="AF57" s="768" t="n"/>
      <c r="AG57" s="769" t="n"/>
      <c r="AH57" s="767">
        <f>IF('MB (Beckers Wreckers)'!$F$48&gt;0,'MB (Beckers Wreckers)'!$C$48,"")</f>
        <v/>
      </c>
      <c r="AI57" s="768" t="n"/>
      <c r="AJ57" s="769" t="n"/>
      <c r="AK57" s="776">
        <f>IF('MH (sabermutrics)'!$F$48&gt;0,'MH (sabermutrics)'!$C$48,"")</f>
        <v/>
      </c>
      <c r="AL57" s="753" t="n"/>
      <c r="AM57" s="777" t="n"/>
      <c r="AN57" s="767">
        <f>IF('MT (Tradezilla)'!$F$48&gt;0,'MT (Tradezilla)'!$C$48,"")</f>
        <v/>
      </c>
      <c r="AO57" s="768" t="n"/>
      <c r="AP57" s="769" t="n"/>
      <c r="AQ57" s="767">
        <f>IF('SM (Dawsyn)'!$F$48&gt;0,'SM (Dawsyn)'!$C$48,"")</f>
        <v/>
      </c>
      <c r="AR57" s="768" t="n"/>
      <c r="AS57" s="769" t="n"/>
    </row>
    <row r="58" ht="11.25" customHeight="1" s="26">
      <c r="B58" s="766" t="n"/>
      <c r="C58" s="519" t="n"/>
      <c r="D58" s="520">
        <f>'AC (Dumpster Fires)'!F48</f>
        <v/>
      </c>
      <c r="E58" s="778">
        <f>'AC (Dumpster Fires)'!I48</f>
        <v/>
      </c>
      <c r="F58" s="771" t="n"/>
      <c r="G58" s="520">
        <f>'AW (Minor)'!F48</f>
        <v/>
      </c>
      <c r="H58" s="778">
        <f>'AW (Minor)'!I48</f>
        <v/>
      </c>
      <c r="I58" s="771" t="n"/>
      <c r="J58" s="158">
        <f>IF('BL (Brockasauras)'!$F$48&gt;0,'BL (Brockasauras)'!$F$48,"")</f>
        <v/>
      </c>
      <c r="K58" s="770">
        <f>IF('BL (Brockasauras)'!$F$48&gt;0,'BL (Brockasauras)'!$I$48,"")</f>
        <v/>
      </c>
      <c r="L58" s="771" t="n"/>
      <c r="M58" s="158">
        <f>IF('CN (Nygaardians)'!$F$48&gt;0,'CN (Nygaardians)'!$F$48,"")</f>
        <v/>
      </c>
      <c r="N58" s="770">
        <f>IF('CN (Nygaardians)'!$F$48&gt;0,'CN (Nygaardians)'!$I$48,"")</f>
        <v/>
      </c>
      <c r="O58" s="771" t="n"/>
      <c r="P58" s="158">
        <f>IF('CS (Shag Dawgs)'!$F$48&gt;0,'CS (Shag Dawgs)'!$F$48,"")</f>
        <v/>
      </c>
      <c r="Q58" s="770">
        <f>IF('CS (Shag Dawgs)'!$F$48&gt;0,'CS (Shag Dawgs)'!$I$48,"")</f>
        <v/>
      </c>
      <c r="R58" s="771" t="n"/>
      <c r="S58" s="158">
        <f>IF('DC (Cliff Lee Was Here)'!$F$48&gt;0,'DC (Cliff Lee Was Here)'!$F$48,"")</f>
        <v/>
      </c>
      <c r="T58" s="778">
        <f>IF('DC (Cliff Lee Was Here)'!$F$48&gt;0,'DC (Cliff Lee Was Here)'!$I$48,"")</f>
        <v/>
      </c>
      <c r="U58" s="771" t="n"/>
      <c r="V58" s="158">
        <f>IF('JM (JMoney)'!$F$48&gt;0,'JM (JMoney)'!$F$48,"")</f>
        <v/>
      </c>
      <c r="W58" s="770">
        <f>IF('JM (JMoney)'!$F$48&gt;0,'JM (JMoney)'!$I$48,"")</f>
        <v/>
      </c>
      <c r="X58" s="771" t="n"/>
      <c r="Y58" s="158">
        <f>IF('JJ (metropolitans)'!$F$48&gt;0,'JJ (metropolitans)'!$F$48,"")</f>
        <v/>
      </c>
      <c r="Z58" s="770">
        <f>IF('JJ (metropolitans)'!$F$48&gt;0,'JJ (metropolitans)'!$I$48,"")</f>
        <v/>
      </c>
      <c r="AA58" s="771" t="n"/>
      <c r="AB58" s="158">
        <f>IF('KJ (Stat Sandwich)'!$F$48&gt;0,'KJ (Stat Sandwich)'!$F$48,"")</f>
        <v/>
      </c>
      <c r="AC58" s="770">
        <f>IF('KJ (Stat Sandwich)'!$F$48&gt;0,'KJ (Stat Sandwich)'!$I$48,"")</f>
        <v/>
      </c>
      <c r="AD58" s="771" t="n"/>
      <c r="AE58" s="158">
        <f>IF('EP (Winning De)'!$F$48&gt;0,'EP (Winning De)'!$F$48,"")</f>
        <v/>
      </c>
      <c r="AF58" s="770">
        <f>IF('EP (Winning De)'!$F$48&gt;0,'EP (Winning De)'!$I$48,"")</f>
        <v/>
      </c>
      <c r="AG58" s="771" t="n"/>
      <c r="AH58" s="158">
        <f>IF('MB (Beckers Wreckers)'!$F$48&gt;0,'MB (Beckers Wreckers)'!$F$48,"")</f>
        <v/>
      </c>
      <c r="AI58" s="778">
        <f>IF('MB (Beckers Wreckers)'!$F$48&gt;0,'MB (Beckers Wreckers)'!$I$48,"")</f>
        <v/>
      </c>
      <c r="AJ58" s="771" t="n"/>
      <c r="AK58" s="158">
        <f>IF('MH (sabermutrics)'!$F$48&gt;0,'MH (sabermutrics)'!$F$48,"")</f>
        <v/>
      </c>
      <c r="AL58" s="770">
        <f>IF('MH (sabermutrics)'!$F$48&gt;0,'MH (sabermutrics)'!$I$48,"")</f>
        <v/>
      </c>
      <c r="AM58" s="771" t="n"/>
      <c r="AN58" s="158">
        <f>IF('MT (Tradezilla)'!$F$48&gt;0,'MT (Tradezilla)'!$F$48,"")</f>
        <v/>
      </c>
      <c r="AO58" s="770">
        <f>IF('MT (Tradezilla)'!$F$48&gt;0,'MT (Tradezilla)'!$I$48,"")</f>
        <v/>
      </c>
      <c r="AP58" s="771" t="n"/>
      <c r="AQ58" s="158">
        <f>IF('SM (Dawsyn)'!$F$48&gt;0,'SM (Dawsyn)'!$F$48,"")</f>
        <v/>
      </c>
      <c r="AR58" s="770">
        <f>IF('SM (Dawsyn)'!$F$48&gt;0,'SM (Dawsyn)'!$I$48,"")</f>
        <v/>
      </c>
      <c r="AS58" s="771" t="n"/>
    </row>
    <row r="59" ht="11.25" customHeight="1" s="26">
      <c r="B59" s="766" t="n"/>
      <c r="C59" s="519" t="n"/>
      <c r="D59" s="775">
        <f>'AC (Dumpster Fires)'!C49</f>
        <v/>
      </c>
      <c r="E59" s="768" t="n"/>
      <c r="F59" s="769" t="n"/>
      <c r="G59" s="775">
        <f>'AW (Minor)'!C49</f>
        <v/>
      </c>
      <c r="H59" s="768" t="n"/>
      <c r="I59" s="769" t="n"/>
      <c r="J59" s="767">
        <f>IF('BL (Brockasauras)'!$F$49&gt;0,'BL (Brockasauras)'!$C$49,"")</f>
        <v/>
      </c>
      <c r="K59" s="768" t="n"/>
      <c r="L59" s="769" t="n"/>
      <c r="M59" s="767">
        <f>IF('CN (Nygaardians)'!$F$49&gt;0,'CN (Nygaardians)'!$C$49,"")</f>
        <v/>
      </c>
      <c r="N59" s="768" t="n"/>
      <c r="O59" s="769" t="n"/>
      <c r="P59" s="767">
        <f>IF('CS (Shag Dawgs)'!$F$49&gt;0,'CS (Shag Dawgs)'!$C$49,"")</f>
        <v/>
      </c>
      <c r="Q59" s="768" t="n"/>
      <c r="R59" s="769" t="n"/>
      <c r="S59" s="767">
        <f>IF('DC (Cliff Lee Was Here)'!$F$49&gt;0,'DC (Cliff Lee Was Here)'!$C$49,"")</f>
        <v/>
      </c>
      <c r="T59" s="768" t="n"/>
      <c r="U59" s="769" t="n"/>
      <c r="V59" s="767">
        <f>IF('JM (JMoney)'!$F$49&gt;0,'JM (JMoney)'!$C$49,"")</f>
        <v/>
      </c>
      <c r="W59" s="768" t="n"/>
      <c r="X59" s="769" t="n"/>
      <c r="Y59" s="767">
        <f>IF('JJ (metropolitans)'!$F$49&gt;0,'JJ (metropolitans)'!$C$49,"")</f>
        <v/>
      </c>
      <c r="Z59" s="768" t="n"/>
      <c r="AA59" s="769" t="n"/>
      <c r="AB59" s="767">
        <f>IF('KJ (Stat Sandwich)'!$F$49&gt;0,'KJ (Stat Sandwich)'!$C$49,"")</f>
        <v/>
      </c>
      <c r="AC59" s="768" t="n"/>
      <c r="AD59" s="769" t="n"/>
      <c r="AE59" s="767">
        <f>IF('EP (Winning De)'!$F$49&gt;0,'EP (Winning De)'!$C$49,"")</f>
        <v/>
      </c>
      <c r="AF59" s="768" t="n"/>
      <c r="AG59" s="769" t="n"/>
      <c r="AH59" s="767">
        <f>IF('MB (Beckers Wreckers)'!$F$49&gt;0,'MB (Beckers Wreckers)'!$C$49,"")</f>
        <v/>
      </c>
      <c r="AI59" s="768" t="n"/>
      <c r="AJ59" s="769" t="n"/>
      <c r="AK59" s="767">
        <f>IF('MH (sabermutrics)'!$F$49&gt;0,'MH (sabermutrics)'!$C$49,"")</f>
        <v/>
      </c>
      <c r="AL59" s="768" t="n"/>
      <c r="AM59" s="769" t="n"/>
      <c r="AN59" s="767">
        <f>IF('MT (Tradezilla)'!$F$49&gt;0,'MT (Tradezilla)'!$C$49,"")</f>
        <v/>
      </c>
      <c r="AO59" s="768" t="n"/>
      <c r="AP59" s="769" t="n"/>
      <c r="AQ59" s="767">
        <f>IF('SM (Dawsyn)'!$F$49&gt;0,'SM (Dawsyn)'!$C$49,"")</f>
        <v/>
      </c>
      <c r="AR59" s="768" t="n"/>
      <c r="AS59" s="769" t="n"/>
    </row>
    <row r="60" ht="11.25" customHeight="1" s="26">
      <c r="B60" s="766" t="n"/>
      <c r="C60" s="519" t="n"/>
      <c r="D60" s="520">
        <f>'AC (Dumpster Fires)'!F49</f>
        <v/>
      </c>
      <c r="E60" s="778">
        <f>'AC (Dumpster Fires)'!I49</f>
        <v/>
      </c>
      <c r="F60" s="771" t="n"/>
      <c r="G60" s="520">
        <f>'AW (Minor)'!F49</f>
        <v/>
      </c>
      <c r="H60" s="778">
        <f>'AW (Minor)'!I49</f>
        <v/>
      </c>
      <c r="I60" s="771" t="n"/>
      <c r="J60" s="158">
        <f>IF('BL (Brockasauras)'!$F$49&gt;0,'BL (Brockasauras)'!$F$49,"")</f>
        <v/>
      </c>
      <c r="K60" s="770">
        <f>IF('BL (Brockasauras)'!$F$49&gt;0,'BL (Brockasauras)'!$I$49,"")</f>
        <v/>
      </c>
      <c r="L60" s="771" t="n"/>
      <c r="M60" s="158">
        <f>IF('CN (Nygaardians)'!$F$49&gt;0,'CN (Nygaardians)'!$F$49,"")</f>
        <v/>
      </c>
      <c r="N60" s="770">
        <f>IF('CN (Nygaardians)'!$F$49&gt;0,'CN (Nygaardians)'!$I$49,"")</f>
        <v/>
      </c>
      <c r="O60" s="771" t="n"/>
      <c r="P60" s="158">
        <f>IF('CS (Shag Dawgs)'!$F$49&gt;0,'CS (Shag Dawgs)'!$F$49,"")</f>
        <v/>
      </c>
      <c r="Q60" s="770">
        <f>IF('CS (Shag Dawgs)'!$F$49&gt;0,'CS (Shag Dawgs)'!$I$49,"")</f>
        <v/>
      </c>
      <c r="R60" s="771" t="n"/>
      <c r="S60" s="158">
        <f>IF('DC (Cliff Lee Was Here)'!$F$49&gt;0,'DC (Cliff Lee Was Here)'!$F$49,"")</f>
        <v/>
      </c>
      <c r="T60" s="778">
        <f>IF('DC (Cliff Lee Was Here)'!$F$49&gt;0,'DC (Cliff Lee Was Here)'!$I$49,"")</f>
        <v/>
      </c>
      <c r="U60" s="771" t="n"/>
      <c r="V60" s="158">
        <f>IF('JM (JMoney)'!$F$49&gt;0,'JM (JMoney)'!$F$49,"")</f>
        <v/>
      </c>
      <c r="W60" s="770">
        <f>IF('JM (JMoney)'!$F$49&gt;0,'JM (JMoney)'!$I$49,"")</f>
        <v/>
      </c>
      <c r="X60" s="771" t="n"/>
      <c r="Y60" s="158">
        <f>IF('JJ (metropolitans)'!$F$49&gt;0,'JJ (metropolitans)'!$F$49,"")</f>
        <v/>
      </c>
      <c r="Z60" s="770">
        <f>IF('JJ (metropolitans)'!$F$49&gt;0,'JJ (metropolitans)'!$I$49,"")</f>
        <v/>
      </c>
      <c r="AA60" s="771" t="n"/>
      <c r="AB60" s="158">
        <f>IF('KJ (Stat Sandwich)'!$F$49&gt;0,'KJ (Stat Sandwich)'!$F$49,"")</f>
        <v/>
      </c>
      <c r="AC60" s="770">
        <f>IF('KJ (Stat Sandwich)'!$F$49&gt;0,'KJ (Stat Sandwich)'!$I$49,"")</f>
        <v/>
      </c>
      <c r="AD60" s="771" t="n"/>
      <c r="AE60" s="158">
        <f>IF('EP (Winning De)'!$F$49&gt;0,'EP (Winning De)'!$F$49,"")</f>
        <v/>
      </c>
      <c r="AF60" s="770">
        <f>IF('EP (Winning De)'!$F$49&gt;0,'EP (Winning De)'!$I$49,"")</f>
        <v/>
      </c>
      <c r="AG60" s="771" t="n"/>
      <c r="AH60" s="158">
        <f>IF('MB (Beckers Wreckers)'!$F$49&gt;0,'MB (Beckers Wreckers)'!$F$49,"")</f>
        <v/>
      </c>
      <c r="AI60" s="778">
        <f>IF('MB (Beckers Wreckers)'!$F$49&gt;0,'MB (Beckers Wreckers)'!$I$49,"")</f>
        <v/>
      </c>
      <c r="AJ60" s="771" t="n"/>
      <c r="AK60" s="158">
        <f>IF('MH (sabermutrics)'!$F$49&gt;0,'MH (sabermutrics)'!$F$49,"")</f>
        <v/>
      </c>
      <c r="AL60" s="770">
        <f>IF('MH (sabermutrics)'!$F$49&gt;0,'MH (sabermutrics)'!$I$49,"")</f>
        <v/>
      </c>
      <c r="AM60" s="771" t="n"/>
      <c r="AN60" s="158">
        <f>IF('MT (Tradezilla)'!$F$49&gt;0,'MT (Tradezilla)'!$F$49,"")</f>
        <v/>
      </c>
      <c r="AO60" s="770">
        <f>IF('MT (Tradezilla)'!$F$49&gt;0,'MT (Tradezilla)'!$I$49,"")</f>
        <v/>
      </c>
      <c r="AP60" s="771" t="n"/>
      <c r="AQ60" s="158">
        <f>IF('SM (Dawsyn)'!$F$49&gt;0,'SM (Dawsyn)'!$F$49,"")</f>
        <v/>
      </c>
      <c r="AR60" s="770">
        <f>IF('SM (Dawsyn)'!$F$49&gt;0,'SM (Dawsyn)'!$I$49,"")</f>
        <v/>
      </c>
      <c r="AS60" s="771" t="n"/>
    </row>
    <row r="61" ht="11.25" customHeight="1" s="26">
      <c r="B61" s="766" t="n"/>
      <c r="C61" s="519" t="n"/>
      <c r="D61" s="781">
        <f>'AC (Dumpster Fires)'!C50</f>
        <v/>
      </c>
      <c r="E61" s="768" t="n"/>
      <c r="F61" s="769" t="n"/>
      <c r="G61" s="775">
        <f>'AW (Minor)'!C50</f>
        <v/>
      </c>
      <c r="H61" s="768" t="n"/>
      <c r="I61" s="769" t="n"/>
      <c r="J61" s="767">
        <f>IF('BL (Brockasauras)'!$F$50&gt;0,'BL (Brockasauras)'!$C$50,"")</f>
        <v/>
      </c>
      <c r="K61" s="768" t="n"/>
      <c r="L61" s="769" t="n"/>
      <c r="M61" s="767">
        <f>IF('CN (Nygaardians)'!$F$50&gt;0,'CN (Nygaardians)'!$C$50,"")</f>
        <v/>
      </c>
      <c r="N61" s="768" t="n"/>
      <c r="O61" s="769" t="n"/>
      <c r="P61" s="767">
        <f>IF('CS (Shag Dawgs)'!$F$50&gt;0,'CS (Shag Dawgs)'!$C$50,"")</f>
        <v/>
      </c>
      <c r="Q61" s="768" t="n"/>
      <c r="R61" s="769" t="n"/>
      <c r="S61" s="767">
        <f>IF('DC (Cliff Lee Was Here)'!$F$50&gt;0,'DC (Cliff Lee Was Here)'!$C$50,"")</f>
        <v/>
      </c>
      <c r="T61" s="768" t="n"/>
      <c r="U61" s="769" t="n"/>
      <c r="V61" s="767">
        <f>IF('JM (JMoney)'!$F$50&gt;0,'JM (JMoney)'!$C$50,"")</f>
        <v/>
      </c>
      <c r="W61" s="768" t="n"/>
      <c r="X61" s="769" t="n"/>
      <c r="Y61" s="767">
        <f>IF('JJ (metropolitans)'!$F$50&gt;0,'JJ (metropolitans)'!$C$50,"")</f>
        <v/>
      </c>
      <c r="Z61" s="768" t="n"/>
      <c r="AA61" s="769" t="n"/>
      <c r="AB61" s="767">
        <f>IF('KJ (Stat Sandwich)'!$F$50&gt;0,'KJ (Stat Sandwich)'!$C$50,"")</f>
        <v/>
      </c>
      <c r="AC61" s="768" t="n"/>
      <c r="AD61" s="769" t="n"/>
      <c r="AE61" s="767">
        <f>IF('EP (Winning De)'!$F$50&gt;0,'EP (Winning De)'!$C$50,"")</f>
        <v/>
      </c>
      <c r="AF61" s="768" t="n"/>
      <c r="AG61" s="769" t="n"/>
      <c r="AH61" s="767">
        <f>IF('MB (Beckers Wreckers)'!$F$50&gt;0,'MB (Beckers Wreckers)'!$C$50,"")</f>
        <v/>
      </c>
      <c r="AI61" s="768" t="n"/>
      <c r="AJ61" s="769" t="n"/>
      <c r="AK61" s="767">
        <f>IF('MH (sabermutrics)'!$F$50&gt;0,'MH (sabermutrics)'!$C$50,"")</f>
        <v/>
      </c>
      <c r="AL61" s="768" t="n"/>
      <c r="AM61" s="769" t="n"/>
      <c r="AN61" s="767">
        <f>IF('MT (Tradezilla)'!$F$50&gt;0,'MT (Tradezilla)'!$C$50,"")</f>
        <v/>
      </c>
      <c r="AO61" s="768" t="n"/>
      <c r="AP61" s="769" t="n"/>
      <c r="AQ61" s="767">
        <f>IF('SM (Dawsyn)'!$F$50&gt;0,'SM (Dawsyn)'!$C$50,"")</f>
        <v/>
      </c>
      <c r="AR61" s="768" t="n"/>
      <c r="AS61" s="769" t="n"/>
    </row>
    <row r="62" ht="11.25" customHeight="1" s="26">
      <c r="B62" s="766" t="n"/>
      <c r="C62" s="519" t="n"/>
      <c r="D62" s="520">
        <f>'AC (Dumpster Fires)'!F50</f>
        <v/>
      </c>
      <c r="E62" s="778">
        <f>'AC (Dumpster Fires)'!I50</f>
        <v/>
      </c>
      <c r="F62" s="771" t="n"/>
      <c r="G62" s="520">
        <f>'AW (Minor)'!F50</f>
        <v/>
      </c>
      <c r="H62" s="778">
        <f>'AW (Minor)'!I50</f>
        <v/>
      </c>
      <c r="I62" s="771" t="n"/>
      <c r="J62" s="158">
        <f>IF('BL (Brockasauras)'!$F$50&gt;0,'BL (Brockasauras)'!$F$50,"")</f>
        <v/>
      </c>
      <c r="K62" s="770">
        <f>IF('BL (Brockasauras)'!$F$50&gt;0,'BL (Brockasauras)'!$I$50,"")</f>
        <v/>
      </c>
      <c r="L62" s="771" t="n"/>
      <c r="M62" s="158">
        <f>IF('CN (Nygaardians)'!$F$50&gt;0,'CN (Nygaardians)'!$F$50,"")</f>
        <v/>
      </c>
      <c r="N62" s="770">
        <f>IF('CN (Nygaardians)'!$F$50&gt;0,'CN (Nygaardians)'!$I$50,"")</f>
        <v/>
      </c>
      <c r="O62" s="771" t="n"/>
      <c r="P62" s="158">
        <f>IF('CS (Shag Dawgs)'!$F$50&gt;0,'CS (Shag Dawgs)'!$F$50,"")</f>
        <v/>
      </c>
      <c r="Q62" s="770">
        <f>IF('CS (Shag Dawgs)'!$F$50&gt;0,'CS (Shag Dawgs)'!$I$50,"")</f>
        <v/>
      </c>
      <c r="R62" s="771" t="n"/>
      <c r="S62" s="158">
        <f>IF('DC (Cliff Lee Was Here)'!$F$50&gt;0,'DC (Cliff Lee Was Here)'!$F$50,"")</f>
        <v/>
      </c>
      <c r="T62" s="770">
        <f>IF('DC (Cliff Lee Was Here)'!$F$50&gt;0,'DC (Cliff Lee Was Here)'!$I$50,"")</f>
        <v/>
      </c>
      <c r="U62" s="771" t="n"/>
      <c r="V62" s="158">
        <f>IF('JM (JMoney)'!$F$50&gt;0,'JM (JMoney)'!$F$50,"")</f>
        <v/>
      </c>
      <c r="W62" s="770">
        <f>IF('JM (JMoney)'!$F$50&gt;0,'JM (JMoney)'!$I$50,"")</f>
        <v/>
      </c>
      <c r="X62" s="771" t="n"/>
      <c r="Y62" s="158">
        <f>IF('JJ (metropolitans)'!$F$50&gt;0,'JJ (metropolitans)'!$F$50,"")</f>
        <v/>
      </c>
      <c r="Z62" s="770">
        <f>IF('JJ (metropolitans)'!$F$50&gt;0,'JJ (metropolitans)'!$I$50,"")</f>
        <v/>
      </c>
      <c r="AA62" s="771" t="n"/>
      <c r="AB62" s="158">
        <f>IF('KJ (Stat Sandwich)'!$F$50&gt;0,'KJ (Stat Sandwich)'!$F$50,"")</f>
        <v/>
      </c>
      <c r="AC62" s="770">
        <f>IF('KJ (Stat Sandwich)'!$F$50&gt;0,'KJ (Stat Sandwich)'!$I$50,"")</f>
        <v/>
      </c>
      <c r="AD62" s="771" t="n"/>
      <c r="AE62" s="158">
        <f>IF('EP (Winning De)'!$F$50&gt;0,'EP (Winning De)'!$F$50,"")</f>
        <v/>
      </c>
      <c r="AF62" s="770">
        <f>IF('EP (Winning De)'!$F$50&gt;0,'EP (Winning De)'!$I$50,"")</f>
        <v/>
      </c>
      <c r="AG62" s="771" t="n"/>
      <c r="AH62" s="158">
        <f>IF('MB (Beckers Wreckers)'!$F$50&gt;0,'MB (Beckers Wreckers)'!$F$50,"")</f>
        <v/>
      </c>
      <c r="AI62" s="778">
        <f>IF('MB (Beckers Wreckers)'!$F$50&gt;0,'MB (Beckers Wreckers)'!$I$50,"")</f>
        <v/>
      </c>
      <c r="AJ62" s="771" t="n"/>
      <c r="AK62" s="158">
        <f>IF('MH (sabermutrics)'!$F$50&gt;0,'MH (sabermutrics)'!$F$50,"")</f>
        <v/>
      </c>
      <c r="AL62" s="770">
        <f>IF('MH (sabermutrics)'!$F$50&gt;0,'MH (sabermutrics)'!$I$50,"")</f>
        <v/>
      </c>
      <c r="AM62" s="771" t="n"/>
      <c r="AN62" s="158">
        <f>IF('MT (Tradezilla)'!$F$50&gt;0,'MT (Tradezilla)'!$F$50,"")</f>
        <v/>
      </c>
      <c r="AO62" s="770">
        <f>IF('MT (Tradezilla)'!$F$50&gt;0,'MT (Tradezilla)'!$I$50,"")</f>
        <v/>
      </c>
      <c r="AP62" s="771" t="n"/>
      <c r="AQ62" s="158">
        <f>IF('SM (Dawsyn)'!$F$50&gt;0,'SM (Dawsyn)'!$F$50,"")</f>
        <v/>
      </c>
      <c r="AR62" s="770">
        <f>IF('SM (Dawsyn)'!$F$50&gt;0,'SM (Dawsyn)'!$I$50,"")</f>
        <v/>
      </c>
      <c r="AS62" s="771" t="n"/>
    </row>
    <row r="63" ht="11.25" customHeight="1" s="26">
      <c r="B63" s="766" t="n"/>
      <c r="C63" s="519" t="n"/>
      <c r="D63" s="775">
        <f>'AC (Dumpster Fires)'!C51</f>
        <v/>
      </c>
      <c r="E63" s="768" t="n"/>
      <c r="F63" s="769" t="n"/>
      <c r="G63" s="775">
        <f>'AW (Minor)'!C51</f>
        <v/>
      </c>
      <c r="H63" s="768" t="n"/>
      <c r="I63" s="769" t="n"/>
      <c r="J63" s="767">
        <f>IF('BL (Brockasauras)'!$F$51&gt;0,'BL (Brockasauras)'!$C$51,"")</f>
        <v/>
      </c>
      <c r="K63" s="768" t="n"/>
      <c r="L63" s="769" t="n"/>
      <c r="M63" s="767">
        <f>IF('CN (Nygaardians)'!$F$51&gt;0,'CN (Nygaardians)'!$C$51,"")</f>
        <v/>
      </c>
      <c r="N63" s="768" t="n"/>
      <c r="O63" s="769" t="n"/>
      <c r="P63" s="767">
        <f>IF('CS (Shag Dawgs)'!$F$51&gt;0,'CS (Shag Dawgs)'!$C$51,"")</f>
        <v/>
      </c>
      <c r="Q63" s="768" t="n"/>
      <c r="R63" s="769" t="n"/>
      <c r="S63" s="767">
        <f>IF('DC (Cliff Lee Was Here)'!$F$51&gt;0,'DC (Cliff Lee Was Here)'!$C$51,"")</f>
        <v/>
      </c>
      <c r="T63" s="768" t="n"/>
      <c r="U63" s="769" t="n"/>
      <c r="V63" s="767">
        <f>IF('JM (JMoney)'!$F$51&gt;0,'JM (JMoney)'!$C$51,"")</f>
        <v/>
      </c>
      <c r="W63" s="768" t="n"/>
      <c r="X63" s="769" t="n"/>
      <c r="Y63" s="767">
        <f>IF('JJ (metropolitans)'!$F$51&gt;0,'JJ (metropolitans)'!$C$51,"")</f>
        <v/>
      </c>
      <c r="Z63" s="768" t="n"/>
      <c r="AA63" s="769" t="n"/>
      <c r="AB63" s="767">
        <f>IF('KJ (Stat Sandwich)'!$F$51&gt;0,'KJ (Stat Sandwich)'!$C$51,"")</f>
        <v/>
      </c>
      <c r="AC63" s="768" t="n"/>
      <c r="AD63" s="769" t="n"/>
      <c r="AE63" s="767">
        <f>IF('EP (Winning De)'!$F$51&gt;0,'EP (Winning De)'!$C$51,"")</f>
        <v/>
      </c>
      <c r="AF63" s="768" t="n"/>
      <c r="AG63" s="769" t="n"/>
      <c r="AH63" s="767">
        <f>IF('MB (Beckers Wreckers)'!$F$51&gt;0,'MB (Beckers Wreckers)'!$C$51,"")</f>
        <v/>
      </c>
      <c r="AI63" s="768" t="n"/>
      <c r="AJ63" s="769" t="n"/>
      <c r="AK63" s="776">
        <f>IF('MH (sabermutrics)'!$F$51&gt;0,'MH (sabermutrics)'!$C$51,"")</f>
        <v/>
      </c>
      <c r="AL63" s="753" t="n"/>
      <c r="AM63" s="777" t="n"/>
      <c r="AN63" s="767">
        <f>IF('MT (Tradezilla)'!$F$51&gt;0,'MT (Tradezilla)'!$C$51,"")</f>
        <v/>
      </c>
      <c r="AO63" s="768" t="n"/>
      <c r="AP63" s="769" t="n"/>
      <c r="AQ63" s="767">
        <f>IF('SM (Dawsyn)'!$F$51&gt;0,'SM (Dawsyn)'!$C$51,"")</f>
        <v/>
      </c>
      <c r="AR63" s="768" t="n"/>
      <c r="AS63" s="769" t="n"/>
    </row>
    <row r="64" ht="11.25" customHeight="1" s="26">
      <c r="B64" s="766" t="n"/>
      <c r="C64" s="519" t="n"/>
      <c r="D64" s="520">
        <f>'AC (Dumpster Fires)'!F51</f>
        <v/>
      </c>
      <c r="E64" s="778">
        <f>'AC (Dumpster Fires)'!J51</f>
        <v/>
      </c>
      <c r="F64" s="771" t="n"/>
      <c r="G64" s="520">
        <f>'AW (Minor)'!F51</f>
        <v/>
      </c>
      <c r="H64" s="778">
        <f>'AW (Minor)'!I51</f>
        <v/>
      </c>
      <c r="I64" s="771" t="n"/>
      <c r="J64" s="158">
        <f>IF('BL (Brockasauras)'!$F$51&gt;0,'BL (Brockasauras)'!$F$51,"")</f>
        <v/>
      </c>
      <c r="K64" s="770">
        <f>IF('BL (Brockasauras)'!$F$51&gt;0,'BL (Brockasauras)'!$I$51,"")</f>
        <v/>
      </c>
      <c r="L64" s="771" t="n"/>
      <c r="M64" s="158">
        <f>IF('CN (Nygaardians)'!$F$51&gt;0,'CN (Nygaardians)'!$F$51,"")</f>
        <v/>
      </c>
      <c r="N64" s="770">
        <f>IF('CN (Nygaardians)'!$F$51&gt;0,'CN (Nygaardians)'!$I$51,"")</f>
        <v/>
      </c>
      <c r="O64" s="771" t="n"/>
      <c r="P64" s="158">
        <f>IF('CS (Shag Dawgs)'!$F$51&gt;0,'CS (Shag Dawgs)'!$F$51,"")</f>
        <v/>
      </c>
      <c r="Q64" s="770">
        <f>IF('CS (Shag Dawgs)'!$F$51&gt;0,'CS (Shag Dawgs)'!$I$51,"")</f>
        <v/>
      </c>
      <c r="R64" s="771" t="n"/>
      <c r="S64" s="158">
        <f>IF('DC (Cliff Lee Was Here)'!$F$51&gt;0,'DC (Cliff Lee Was Here)'!$F$51,"")</f>
        <v/>
      </c>
      <c r="T64" s="770">
        <f>IF('DC (Cliff Lee Was Here)'!$F$51&gt;0,'DC (Cliff Lee Was Here)'!$I$51,"")</f>
        <v/>
      </c>
      <c r="U64" s="771" t="n"/>
      <c r="V64" s="158">
        <f>IF('JM (JMoney)'!$F$51&gt;0,'JM (JMoney)'!$F$51,"")</f>
        <v/>
      </c>
      <c r="W64" s="770">
        <f>IF('JM (JMoney)'!$F$51&gt;0,'JM (JMoney)'!$I$51,"")</f>
        <v/>
      </c>
      <c r="X64" s="771" t="n"/>
      <c r="Y64" s="158">
        <f>IF('JJ (metropolitans)'!$F$51&gt;0,'JJ (metropolitans)'!$F$51,"")</f>
        <v/>
      </c>
      <c r="Z64" s="770">
        <f>IF('JJ (metropolitans)'!$F$51&gt;0,'JJ (metropolitans)'!$I$51,"")</f>
        <v/>
      </c>
      <c r="AA64" s="771" t="n"/>
      <c r="AB64" s="158">
        <f>IF('KJ (Stat Sandwich)'!$F$51&gt;0,'KJ (Stat Sandwich)'!$F$51,"")</f>
        <v/>
      </c>
      <c r="AC64" s="770">
        <f>IF('KJ (Stat Sandwich)'!$F$51&gt;0,'KJ (Stat Sandwich)'!$I$51,"")</f>
        <v/>
      </c>
      <c r="AD64" s="771" t="n"/>
      <c r="AE64" s="158">
        <f>IF('EP (Winning De)'!$F$51&gt;0,'EP (Winning De)'!$F$51,"")</f>
        <v/>
      </c>
      <c r="AF64" s="770">
        <f>IF('EP (Winning De)'!$F$51&gt;0,'EP (Winning De)'!$I$51,"")</f>
        <v/>
      </c>
      <c r="AG64" s="771" t="n"/>
      <c r="AH64" s="158">
        <f>IF('MB (Beckers Wreckers)'!$F$51&gt;0,'MB (Beckers Wreckers)'!$F$51,"")</f>
        <v/>
      </c>
      <c r="AI64" s="770">
        <f>IF('MB (Beckers Wreckers)'!$F$51&gt;0,'MB (Beckers Wreckers)'!$I$51,"")</f>
        <v/>
      </c>
      <c r="AJ64" s="771" t="n"/>
      <c r="AK64" s="158">
        <f>IF('MH (sabermutrics)'!$F$51&gt;0,'MH (sabermutrics)'!$F$51,"")</f>
        <v/>
      </c>
      <c r="AL64" s="770">
        <f>IF('MH (sabermutrics)'!$F$51&gt;0,'MH (sabermutrics)'!$I$51,"")</f>
        <v/>
      </c>
      <c r="AM64" s="771" t="n"/>
      <c r="AN64" s="158">
        <f>IF('MT (Tradezilla)'!$F$51&gt;0,'MT (Tradezilla)'!$F$51,"")</f>
        <v/>
      </c>
      <c r="AO64" s="770">
        <f>IF('MT (Tradezilla)'!$F$51&gt;0,'MT (Tradezilla)'!$I$51,"")</f>
        <v/>
      </c>
      <c r="AP64" s="771" t="n"/>
      <c r="AQ64" s="158">
        <f>IF('SM (Dawsyn)'!$F$51&gt;0,'SM (Dawsyn)'!$F$51,"")</f>
        <v/>
      </c>
      <c r="AR64" s="770">
        <f>IF('SM (Dawsyn)'!$F$51&gt;0,'SM (Dawsyn)'!$I$51,"")</f>
        <v/>
      </c>
      <c r="AS64" s="771" t="n"/>
    </row>
    <row r="65" ht="11.25" customHeight="1" s="26">
      <c r="B65" s="766" t="n"/>
      <c r="C65" s="519" t="n"/>
      <c r="D65" s="775">
        <f>'AC (Dumpster Fires)'!C52</f>
        <v/>
      </c>
      <c r="E65" s="768" t="n"/>
      <c r="F65" s="769" t="n"/>
      <c r="G65" s="775">
        <f>'AW (Minor)'!C54</f>
        <v/>
      </c>
      <c r="H65" s="768" t="n"/>
      <c r="I65" s="769" t="n"/>
      <c r="J65" s="767">
        <f>IF('BL (Brockasauras)'!$F$52&gt;0,'BL (Brockasauras)'!$C$52,"")</f>
        <v/>
      </c>
      <c r="K65" s="768" t="n"/>
      <c r="L65" s="769" t="n"/>
      <c r="M65" s="767">
        <f>IF('CN (Nygaardians)'!$F$52&gt;0,'CN (Nygaardians)'!$C$52,"")</f>
        <v/>
      </c>
      <c r="N65" s="768" t="n"/>
      <c r="O65" s="769" t="n"/>
      <c r="P65" s="767">
        <f>IF('CS (Shag Dawgs)'!$F$52&gt;0,'CS (Shag Dawgs)'!$C$52,"")</f>
        <v/>
      </c>
      <c r="Q65" s="768" t="n"/>
      <c r="R65" s="769" t="n"/>
      <c r="S65" s="767">
        <f>IF('DC (Cliff Lee Was Here)'!$F$52&gt;0,'DC (Cliff Lee Was Here)'!$C$52,"")</f>
        <v/>
      </c>
      <c r="T65" s="768" t="n"/>
      <c r="U65" s="769" t="n"/>
      <c r="V65" s="767">
        <f>IF('JM (JMoney)'!$F$52&gt;0,'JM (JMoney)'!$C$52,"")</f>
        <v/>
      </c>
      <c r="W65" s="768" t="n"/>
      <c r="X65" s="769" t="n"/>
      <c r="Y65" s="767">
        <f>IF('JJ (metropolitans)'!$F$52&gt;0,'JJ (metropolitans)'!$C$52,"")</f>
        <v/>
      </c>
      <c r="Z65" s="768" t="n"/>
      <c r="AA65" s="769" t="n"/>
      <c r="AB65" s="767">
        <f>IF('KJ (Stat Sandwich)'!$F$52&gt;0,'KJ (Stat Sandwich)'!$C$52,"")</f>
        <v/>
      </c>
      <c r="AC65" s="768" t="n"/>
      <c r="AD65" s="769" t="n"/>
      <c r="AE65" s="767">
        <f>IF('EP (Winning De)'!$F$52&gt;0,'EP (Winning De)'!$C$52,"")</f>
        <v/>
      </c>
      <c r="AF65" s="768" t="n"/>
      <c r="AG65" s="769" t="n"/>
      <c r="AH65" s="767">
        <f>IF('MB (Beckers Wreckers)'!$F$52&gt;0,'MB (Beckers Wreckers)'!$C$52,"")</f>
        <v/>
      </c>
      <c r="AI65" s="768" t="n"/>
      <c r="AJ65" s="769" t="n"/>
      <c r="AK65" s="767">
        <f>IF('MH (sabermutrics)'!$F$52&gt;0,'MH (sabermutrics)'!$C$52,"")</f>
        <v/>
      </c>
      <c r="AL65" s="768" t="n"/>
      <c r="AM65" s="769" t="n"/>
      <c r="AN65" s="767">
        <f>IF('MT (Tradezilla)'!$F$52&gt;0,'MT (Tradezilla)'!$C$52,"")</f>
        <v/>
      </c>
      <c r="AO65" s="768" t="n"/>
      <c r="AP65" s="769" t="n"/>
      <c r="AQ65" s="767">
        <f>IF('SM (Dawsyn)'!$F$52&gt;0,'SM (Dawsyn)'!$C$52,"")</f>
        <v/>
      </c>
      <c r="AR65" s="768" t="n"/>
      <c r="AS65" s="769" t="n"/>
    </row>
    <row r="66" ht="11.25" customHeight="1" s="26">
      <c r="B66" s="766" t="n"/>
      <c r="C66" s="519" t="n"/>
      <c r="D66" s="520">
        <f>'AC (Dumpster Fires)'!F52</f>
        <v/>
      </c>
      <c r="E66" s="778">
        <f>'AC (Dumpster Fires)'!J52</f>
        <v/>
      </c>
      <c r="F66" s="771" t="n"/>
      <c r="G66" s="158">
        <f>'AW (Minor)'!F54</f>
        <v/>
      </c>
      <c r="H66" s="778">
        <f>'AW (Minor)'!I54</f>
        <v/>
      </c>
      <c r="I66" s="771" t="n"/>
      <c r="J66" s="158">
        <f>IF('BL (Brockasauras)'!$F$52&gt;0,'BL (Brockasauras)'!$F$52,"")</f>
        <v/>
      </c>
      <c r="K66" s="770">
        <f>IF('BL (Brockasauras)'!$F$52&gt;0,'BL (Brockasauras)'!$I$52,"")</f>
        <v/>
      </c>
      <c r="L66" s="771" t="n"/>
      <c r="M66" s="158">
        <f>IF('CN (Nygaardians)'!$F$52&gt;0,'CN (Nygaardians)'!$F$52,"")</f>
        <v/>
      </c>
      <c r="N66" s="770">
        <f>IF('CN (Nygaardians)'!$F$52&gt;0,'CN (Nygaardians)'!$I$52,"")</f>
        <v/>
      </c>
      <c r="O66" s="771" t="n"/>
      <c r="P66" s="158">
        <f>IF('CS (Shag Dawgs)'!$F$52&gt;0,'CS (Shag Dawgs)'!$F$52,"")</f>
        <v/>
      </c>
      <c r="Q66" s="770">
        <f>IF('CS (Shag Dawgs)'!$F$52&gt;0,'CS (Shag Dawgs)'!$I$52,"")</f>
        <v/>
      </c>
      <c r="R66" s="771" t="n"/>
      <c r="S66" s="158">
        <f>IF('DC (Cliff Lee Was Here)'!$F$52&gt;0,'DC (Cliff Lee Was Here)'!$F$52,"")</f>
        <v/>
      </c>
      <c r="T66" s="770">
        <f>IF('DC (Cliff Lee Was Here)'!$F$52&gt;0,'DC (Cliff Lee Was Here)'!$I$52,"")</f>
        <v/>
      </c>
      <c r="U66" s="771" t="n"/>
      <c r="V66" s="158">
        <f>IF('JM (JMoney)'!$F$52&gt;0,'JM (JMoney)'!$F$52,"")</f>
        <v/>
      </c>
      <c r="W66" s="770">
        <f>IF('JM (JMoney)'!$F$52&gt;0,'JM (JMoney)'!$I$52,"")</f>
        <v/>
      </c>
      <c r="X66" s="771" t="n"/>
      <c r="Y66" s="158">
        <f>IF('JJ (metropolitans)'!$F$52&gt;0,'JJ (metropolitans)'!$F$52,"")</f>
        <v/>
      </c>
      <c r="Z66" s="770">
        <f>IF('JJ (metropolitans)'!$F$52&gt;0,'JJ (metropolitans)'!$I$52,"")</f>
        <v/>
      </c>
      <c r="AA66" s="771" t="n"/>
      <c r="AB66" s="158">
        <f>IF('KJ (Stat Sandwich)'!$F$52&gt;0,'KJ (Stat Sandwich)'!$F$52,"")</f>
        <v/>
      </c>
      <c r="AC66" s="770">
        <f>IF('KJ (Stat Sandwich)'!$F$52&gt;0,'KJ (Stat Sandwich)'!$I$52,"")</f>
        <v/>
      </c>
      <c r="AD66" s="771" t="n"/>
      <c r="AE66" s="158">
        <f>IF('EP (Winning De)'!$F$52&gt;0,'EP (Winning De)'!$F$52,"")</f>
        <v/>
      </c>
      <c r="AF66" s="770">
        <f>IF('EP (Winning De)'!$F$52&gt;0,'EP (Winning De)'!$I$52,"")</f>
        <v/>
      </c>
      <c r="AG66" s="771" t="n"/>
      <c r="AH66" s="158">
        <f>IF('MB (Beckers Wreckers)'!$F$52&gt;0,'MB (Beckers Wreckers)'!$F$52,"")</f>
        <v/>
      </c>
      <c r="AI66" s="770">
        <f>IF('MB (Beckers Wreckers)'!$F$52&gt;0,'MB (Beckers Wreckers)'!$I$52,"")</f>
        <v/>
      </c>
      <c r="AJ66" s="771" t="n"/>
      <c r="AK66" s="158">
        <f>IF('MH (sabermutrics)'!$F$52&gt;0,'MH (sabermutrics)'!$F$52,"")</f>
        <v/>
      </c>
      <c r="AL66" s="770">
        <f>IF('MH (sabermutrics)'!$F$52&gt;0,'MH (sabermutrics)'!$I$52,"")</f>
        <v/>
      </c>
      <c r="AM66" s="771" t="n"/>
      <c r="AN66" s="158">
        <f>IF('MT (Tradezilla)'!$F$52&gt;0,'MT (Tradezilla)'!$F$52,"")</f>
        <v/>
      </c>
      <c r="AO66" s="770">
        <f>IF('MT (Tradezilla)'!$F$52&gt;0,'MT (Tradezilla)'!$I$52,"")</f>
        <v/>
      </c>
      <c r="AP66" s="771" t="n"/>
      <c r="AQ66" s="158">
        <f>IF('SM (Dawsyn)'!$F$52&gt;0,'SM (Dawsyn)'!$F$52,"")</f>
        <v/>
      </c>
      <c r="AR66" s="770">
        <f>IF('SM (Dawsyn)'!$F$52&gt;0,'SM (Dawsyn)'!$I$52,"")</f>
        <v/>
      </c>
      <c r="AS66" s="771" t="n"/>
    </row>
    <row r="67" ht="11.25" customHeight="1" s="26">
      <c r="B67" s="766" t="n"/>
      <c r="C67" s="519" t="n"/>
      <c r="D67" s="775">
        <f>'AC (Dumpster Fires)'!C53</f>
        <v/>
      </c>
      <c r="E67" s="768" t="n"/>
      <c r="F67" s="769" t="n"/>
      <c r="G67" s="775">
        <f>'AW (Minor)'!C55</f>
        <v/>
      </c>
      <c r="H67" s="768" t="n"/>
      <c r="I67" s="769" t="n"/>
      <c r="J67" s="780">
        <f>IF('BL (Brockasauras)'!$F$53&gt;0,'BL (Brockasauras)'!$C$53,"")</f>
        <v/>
      </c>
      <c r="L67" s="766" t="n"/>
      <c r="M67" s="767">
        <f>IF('CN (Nygaardians)'!$F$53&gt;0,'CN (Nygaardians)'!$C$53,"")</f>
        <v/>
      </c>
      <c r="N67" s="768" t="n"/>
      <c r="O67" s="769" t="n"/>
      <c r="P67" s="780">
        <f>IF('CS (Shag Dawgs)'!$F$53&gt;0,'CS (Shag Dawgs)'!$C$53,"")</f>
        <v/>
      </c>
      <c r="R67" s="766" t="n"/>
      <c r="S67" s="780">
        <f>IF('DC (Cliff Lee Was Here)'!$F$53&gt;0,'DC (Cliff Lee Was Here)'!$C$53,"")</f>
        <v/>
      </c>
      <c r="U67" s="766" t="n"/>
      <c r="V67" s="767">
        <f>IF('JM (JMoney)'!$F$53&gt;0,'JM (JMoney)'!$C$53,"")</f>
        <v/>
      </c>
      <c r="W67" s="768" t="n"/>
      <c r="X67" s="769" t="n"/>
      <c r="Y67" s="780">
        <f>IF('JJ (metropolitans)'!$F$53&gt;0,'JJ (metropolitans)'!$C$53,"")</f>
        <v/>
      </c>
      <c r="AA67" s="766" t="n"/>
      <c r="AB67" s="780">
        <f>IF('KJ (Stat Sandwich)'!$F$53&gt;0,'KJ (Stat Sandwich)'!$C$53,"")</f>
        <v/>
      </c>
      <c r="AD67" s="766" t="n"/>
      <c r="AE67" s="780">
        <f>IF('EP (Winning De)'!$F$53&gt;0,'EP (Winning De)'!$C$53,"")</f>
        <v/>
      </c>
      <c r="AG67" s="766" t="n"/>
      <c r="AH67" s="780">
        <f>IF('MB (Beckers Wreckers)'!$F$53&gt;0,'MB (Beckers Wreckers)'!$C$53,"")</f>
        <v/>
      </c>
      <c r="AJ67" s="766" t="n"/>
      <c r="AK67" s="780">
        <f>IF('MH (sabermutrics)'!$F$53&gt;0,'MH (sabermutrics)'!$C$53,"")</f>
        <v/>
      </c>
      <c r="AM67" s="766" t="n"/>
      <c r="AN67" s="780">
        <f>IF('MT (Tradezilla)'!$F$53&gt;0,'MT (Tradezilla)'!$C$53,"")</f>
        <v/>
      </c>
      <c r="AP67" s="766" t="n"/>
      <c r="AQ67" s="767">
        <f>IF('SM (Dawsyn)'!$F$53&gt;0,'SM (Dawsyn)'!$C$53,"")</f>
        <v/>
      </c>
      <c r="AR67" s="768" t="n"/>
      <c r="AS67" s="769" t="n"/>
    </row>
    <row r="68" ht="11.25" customHeight="1" s="26">
      <c r="B68" s="766" t="n"/>
      <c r="C68" s="519" t="n"/>
      <c r="D68" s="520">
        <f>'AC (Dumpster Fires)'!F53</f>
        <v/>
      </c>
      <c r="E68" s="778">
        <f>'AC (Dumpster Fires)'!J53</f>
        <v/>
      </c>
      <c r="F68" s="771" t="n"/>
      <c r="G68" s="158">
        <f>'AW (Minor)'!F55</f>
        <v/>
      </c>
      <c r="H68" s="778">
        <f>'AW (Minor)'!I55</f>
        <v/>
      </c>
      <c r="I68" s="771" t="n"/>
      <c r="J68" s="158">
        <f>IF('BL (Brockasauras)'!$F$53&gt;0,'BL (Brockasauras)'!$F$53,"")</f>
        <v/>
      </c>
      <c r="K68" s="770">
        <f>IF('BL (Brockasauras)'!$F$53&gt;0,'BL (Brockasauras)'!$I$53,"")</f>
        <v/>
      </c>
      <c r="L68" s="771" t="n"/>
      <c r="M68" s="158">
        <f>IF('CN (Nygaardians)'!$F$53&gt;0,'CN (Nygaardians)'!$F$53,"")</f>
        <v/>
      </c>
      <c r="N68" s="770">
        <f>IF('CN (Nygaardians)'!$F$53&gt;0,'CN (Nygaardians)'!$I$53,"")</f>
        <v/>
      </c>
      <c r="O68" s="771" t="n"/>
      <c r="P68" s="158">
        <f>IF('CS (Shag Dawgs)'!$F$53&gt;0,'CS (Shag Dawgs)'!$F$53,"")</f>
        <v/>
      </c>
      <c r="Q68" s="770">
        <f>IF('CS (Shag Dawgs)'!$F$53&gt;0,'CS (Shag Dawgs)'!$I$53,"")</f>
        <v/>
      </c>
      <c r="R68" s="771" t="n"/>
      <c r="S68" s="158">
        <f>IF('DC (Cliff Lee Was Here)'!$F$53&gt;0,'DC (Cliff Lee Was Here)'!$F$53,"")</f>
        <v/>
      </c>
      <c r="T68" s="770">
        <f>IF('DC (Cliff Lee Was Here)'!$F$53&gt;0,'DC (Cliff Lee Was Here)'!$I$53,"")</f>
        <v/>
      </c>
      <c r="U68" s="771" t="n"/>
      <c r="V68" s="158">
        <f>IF('JM (JMoney)'!$F$53&gt;0,'JM (JMoney)'!$F$53,"")</f>
        <v/>
      </c>
      <c r="W68" s="770">
        <f>IF('JM (JMoney)'!$F$53&gt;0,'JM (JMoney)'!$I$53,"")</f>
        <v/>
      </c>
      <c r="X68" s="771" t="n"/>
      <c r="Y68" s="158">
        <f>IF('JJ (metropolitans)'!$F$53&gt;0,'JJ (metropolitans)'!$F$53,"")</f>
        <v/>
      </c>
      <c r="Z68" s="770">
        <f>IF('JJ (metropolitans)'!$F$53&gt;0,'JJ (metropolitans)'!$I$53,"")</f>
        <v/>
      </c>
      <c r="AA68" s="771" t="n"/>
      <c r="AB68" s="158">
        <f>IF('KJ (Stat Sandwich)'!$F$53&gt;0,'KJ (Stat Sandwich)'!$F$53,"")</f>
        <v/>
      </c>
      <c r="AC68" s="770">
        <f>IF('KJ (Stat Sandwich)'!$F$53&gt;0,'KJ (Stat Sandwich)'!$I$53,"")</f>
        <v/>
      </c>
      <c r="AD68" s="771" t="n"/>
      <c r="AE68" s="158">
        <f>IF('EP (Winning De)'!$F$53&gt;0,'EP (Winning De)'!$F$53,"")</f>
        <v/>
      </c>
      <c r="AF68" s="770">
        <f>IF('EP (Winning De)'!$F$53&gt;0,'EP (Winning De)'!$I$53,"")</f>
        <v/>
      </c>
      <c r="AG68" s="771" t="n"/>
      <c r="AH68" s="158">
        <f>IF('MB (Beckers Wreckers)'!$F$53&gt;0,'MB (Beckers Wreckers)'!$F$53,"")</f>
        <v/>
      </c>
      <c r="AI68" s="770">
        <f>IF('MB (Beckers Wreckers)'!$F$53&gt;0,'MB (Beckers Wreckers)'!$I$53,"")</f>
        <v/>
      </c>
      <c r="AJ68" s="771" t="n"/>
      <c r="AK68" s="158">
        <f>IF('MH (sabermutrics)'!$F$53&gt;0,'MH (sabermutrics)'!$F$53,"")</f>
        <v/>
      </c>
      <c r="AL68" s="770">
        <f>IF('MH (sabermutrics)'!$F$53&gt;0,'MH (sabermutrics)'!$I$53,"")</f>
        <v/>
      </c>
      <c r="AM68" s="771" t="n"/>
      <c r="AN68" s="158">
        <f>IF('MT (Tradezilla)'!$F$53&gt;0,'MT (Tradezilla)'!$F$53,"")</f>
        <v/>
      </c>
      <c r="AO68" s="770">
        <f>IF('MT (Tradezilla)'!$F$53&gt;0,'MT (Tradezilla)'!$I$53,"")</f>
        <v/>
      </c>
      <c r="AP68" s="771" t="n"/>
      <c r="AQ68" s="158">
        <f>IF('SM (Dawsyn)'!$F$53&gt;0,'SM (Dawsyn)'!$F$53,"")</f>
        <v/>
      </c>
      <c r="AR68" s="770">
        <f>IF('SM (Dawsyn)'!$F$53&gt;0,'SM (Dawsyn)'!$I$53,"")</f>
        <v/>
      </c>
      <c r="AS68" s="771" t="n"/>
    </row>
    <row r="69" ht="11.25" customHeight="1" s="26">
      <c r="B69" s="766" t="n"/>
      <c r="C69" s="519" t="n"/>
      <c r="D69" s="782" t="n"/>
      <c r="F69" s="766" t="n"/>
      <c r="G69" s="767">
        <f>IF('AW (Minor)'!$F$54&gt;0,'AW (Minor)'!$C$54,"")</f>
        <v/>
      </c>
      <c r="H69" s="768" t="n"/>
      <c r="I69" s="769" t="n"/>
      <c r="J69" s="767">
        <f>IF('BL (Brockasauras)'!$F$54&gt;0,'BL (Brockasauras)'!$C$54,"")</f>
        <v/>
      </c>
      <c r="K69" s="768" t="n"/>
      <c r="L69" s="769" t="n"/>
      <c r="M69" s="767">
        <f>IF('CN (Nygaardians)'!$F$54&gt;0,'CN (Nygaardians)'!$C$54,"")</f>
        <v/>
      </c>
      <c r="N69" s="768" t="n"/>
      <c r="O69" s="769" t="n"/>
      <c r="P69" s="767">
        <f>IF('CS (Shag Dawgs)'!$F$54&gt;0,'CS (Shag Dawgs)'!$C$54,"")</f>
        <v/>
      </c>
      <c r="Q69" s="768" t="n"/>
      <c r="R69" s="769" t="n"/>
      <c r="S69" s="767">
        <f>IF('DC (Cliff Lee Was Here)'!$F$54&gt;0,'DC (Cliff Lee Was Here)'!$C$54,"")</f>
        <v/>
      </c>
      <c r="T69" s="768" t="n"/>
      <c r="U69" s="769" t="n"/>
      <c r="V69" s="767">
        <f>IF('JM (JMoney)'!$F$54&gt;0,'JM (JMoney)'!$C$54,"")</f>
        <v/>
      </c>
      <c r="W69" s="768" t="n"/>
      <c r="X69" s="769" t="n"/>
      <c r="Y69" s="767">
        <f>IF('JJ (metropolitans)'!$F$54&gt;0,'JJ (metropolitans)'!$C$54,"")</f>
        <v/>
      </c>
      <c r="Z69" s="768" t="n"/>
      <c r="AA69" s="769" t="n"/>
      <c r="AB69" s="767">
        <f>IF('KJ (Stat Sandwich)'!$F$54&gt;0,'KJ (Stat Sandwich)'!$C$54,"")</f>
        <v/>
      </c>
      <c r="AC69" s="768" t="n"/>
      <c r="AD69" s="769" t="n"/>
      <c r="AE69" s="767">
        <f>IF('EP (Winning De)'!$F$54&gt;0,'EP (Winning De)'!$C$54,"")</f>
        <v/>
      </c>
      <c r="AF69" s="768" t="n"/>
      <c r="AG69" s="769" t="n"/>
      <c r="AH69" s="767">
        <f>IF('MB (Beckers Wreckers)'!$F$54&gt;0,'MB (Beckers Wreckers)'!$C$54,"")</f>
        <v/>
      </c>
      <c r="AI69" s="768" t="n"/>
      <c r="AJ69" s="769" t="n"/>
      <c r="AK69" s="767">
        <f>IF('MH (sabermutrics)'!$F$54&gt;0,'MH (sabermutrics)'!$C$54,"")</f>
        <v/>
      </c>
      <c r="AL69" s="768" t="n"/>
      <c r="AM69" s="769" t="n"/>
      <c r="AN69" s="767">
        <f>IF('MT (Tradezilla)'!$F$54&gt;0,'MT (Tradezilla)'!$C$54,"")</f>
        <v/>
      </c>
      <c r="AO69" s="768" t="n"/>
      <c r="AP69" s="769" t="n"/>
      <c r="AQ69" s="767">
        <f>IF('SM (Dawsyn)'!$F$54&gt;0,'SM (Dawsyn)'!$C$54,"")</f>
        <v/>
      </c>
      <c r="AR69" s="768" t="n"/>
      <c r="AS69" s="769" t="n"/>
    </row>
    <row r="70" ht="11.25" customHeight="1" s="26">
      <c r="B70" s="766" t="n"/>
      <c r="C70" s="519" t="n"/>
      <c r="D70" s="520" t="n"/>
      <c r="E70" s="770" t="n"/>
      <c r="F70" s="771" t="n"/>
      <c r="G70" s="158">
        <f>IF('AW (Minor)'!$F$54&gt;0,'AW (Minor)'!$F$54,"")</f>
        <v/>
      </c>
      <c r="H70" s="770">
        <f>IF('AW (Minor)'!$F$54&gt;0,'AW (Minor)'!$I$54,"")</f>
        <v/>
      </c>
      <c r="I70" s="771" t="n"/>
      <c r="J70" s="158">
        <f>IF('BL (Brockasauras)'!$F$54&gt;0,'BL (Brockasauras)'!$F$54,"")</f>
        <v/>
      </c>
      <c r="K70" s="770">
        <f>IF('BL (Brockasauras)'!$F$54&gt;0,'BL (Brockasauras)'!$I$54,"")</f>
        <v/>
      </c>
      <c r="L70" s="771" t="n"/>
      <c r="M70" s="158">
        <f>IF('CN (Nygaardians)'!$F$54&gt;0,'CN (Nygaardians)'!$F$54,"")</f>
        <v/>
      </c>
      <c r="N70" s="770">
        <f>IF('CN (Nygaardians)'!$F$54&gt;0,'CN (Nygaardians)'!$I$54,"")</f>
        <v/>
      </c>
      <c r="O70" s="771" t="n"/>
      <c r="P70" s="158">
        <f>IF('CS (Shag Dawgs)'!$F$54&gt;0,'CS (Shag Dawgs)'!$F$54,"")</f>
        <v/>
      </c>
      <c r="Q70" s="770">
        <f>IF('CS (Shag Dawgs)'!$F$54&gt;0,'CS (Shag Dawgs)'!$I$54,"")</f>
        <v/>
      </c>
      <c r="R70" s="771" t="n"/>
      <c r="S70" s="158">
        <f>IF('DC (Cliff Lee Was Here)'!$F$54&gt;0,'DC (Cliff Lee Was Here)'!$F$54,"")</f>
        <v/>
      </c>
      <c r="T70" s="770">
        <f>IF('DC (Cliff Lee Was Here)'!$F$54&gt;0,'DC (Cliff Lee Was Here)'!$I$54,"")</f>
        <v/>
      </c>
      <c r="U70" s="771" t="n"/>
      <c r="V70" s="158">
        <f>IF('JM (JMoney)'!$F$54&gt;0,'JM (JMoney)'!$F$54,"")</f>
        <v/>
      </c>
      <c r="W70" s="770">
        <f>IF('JM (JMoney)'!$F$54&gt;0,'JM (JMoney)'!$I$54,"")</f>
        <v/>
      </c>
      <c r="X70" s="771" t="n"/>
      <c r="Y70" s="158">
        <f>IF('JJ (metropolitans)'!$F$54&gt;0,'JJ (metropolitans)'!$F$54,"")</f>
        <v/>
      </c>
      <c r="Z70" s="770">
        <f>IF('JJ (metropolitans)'!$F$54&gt;0,'JJ (metropolitans)'!$I$54,"")</f>
        <v/>
      </c>
      <c r="AA70" s="771" t="n"/>
      <c r="AB70" s="158">
        <f>IF('KJ (Stat Sandwich)'!$F$54&gt;0,'KJ (Stat Sandwich)'!$F$54,"")</f>
        <v/>
      </c>
      <c r="AC70" s="770">
        <f>IF('KJ (Stat Sandwich)'!$F$54&gt;0,'KJ (Stat Sandwich)'!$I$54,"")</f>
        <v/>
      </c>
      <c r="AD70" s="771" t="n"/>
      <c r="AE70" s="158">
        <f>IF('EP (Winning De)'!$F$54&gt;0,'EP (Winning De)'!$F$54,"")</f>
        <v/>
      </c>
      <c r="AF70" s="770">
        <f>IF('EP (Winning De)'!$F$54&gt;0,'EP (Winning De)'!$I$54,"")</f>
        <v/>
      </c>
      <c r="AG70" s="771" t="n"/>
      <c r="AH70" s="158">
        <f>IF('MB (Beckers Wreckers)'!$F$54&gt;0,'MB (Beckers Wreckers)'!$F$54,"")</f>
        <v/>
      </c>
      <c r="AI70" s="770">
        <f>IF('MB (Beckers Wreckers)'!$F$54&gt;0,'MB (Beckers Wreckers)'!$I$54,"")</f>
        <v/>
      </c>
      <c r="AJ70" s="771" t="n"/>
      <c r="AK70" s="158">
        <f>IF('MH (sabermutrics)'!$F$54&gt;0,'MH (sabermutrics)'!$F$54,"")</f>
        <v/>
      </c>
      <c r="AL70" s="770">
        <f>IF('MH (sabermutrics)'!$F$54&gt;0,'MH (sabermutrics)'!$I$54,"")</f>
        <v/>
      </c>
      <c r="AM70" s="771" t="n"/>
      <c r="AN70" s="158">
        <f>IF('MT (Tradezilla)'!$F$54&gt;0,'MT (Tradezilla)'!$F$54,"")</f>
        <v/>
      </c>
      <c r="AO70" s="770">
        <f>IF('MT (Tradezilla)'!$F$54&gt;0,'MT (Tradezilla)'!$I$54,"")</f>
        <v/>
      </c>
      <c r="AP70" s="771" t="n"/>
      <c r="AQ70" s="158">
        <f>IF('SM (Dawsyn)'!$F$54&gt;0,'SM (Dawsyn)'!$F$54,"")</f>
        <v/>
      </c>
      <c r="AR70" s="770">
        <f>IF('SM (Dawsyn)'!$F$54&gt;0,'SM (Dawsyn)'!$I$54,"")</f>
        <v/>
      </c>
      <c r="AS70" s="771" t="n"/>
    </row>
    <row r="71" ht="11.25" customHeight="1" s="26">
      <c r="B71" s="766" t="n"/>
      <c r="C71" s="519" t="n"/>
      <c r="D71" s="782" t="n"/>
      <c r="F71" s="766" t="n"/>
      <c r="G71" s="767">
        <f>IF('AW (Minor)'!$F$55&gt;0,'AW (Minor)'!$C$55,"")</f>
        <v/>
      </c>
      <c r="H71" s="768" t="n"/>
      <c r="I71" s="769" t="n"/>
      <c r="J71" s="767">
        <f>IF('BL (Brockasauras)'!$F$55&gt;0,'BL (Brockasauras)'!$C$55,"")</f>
        <v/>
      </c>
      <c r="K71" s="768" t="n"/>
      <c r="L71" s="769" t="n"/>
      <c r="M71" s="767">
        <f>IF('CN (Nygaardians)'!$F$55&gt;0,'CN (Nygaardians)'!$C$55,"")</f>
        <v/>
      </c>
      <c r="N71" s="768" t="n"/>
      <c r="O71" s="769" t="n"/>
      <c r="P71" s="767">
        <f>IF('CS (Shag Dawgs)'!$F$55&gt;0,'CS (Shag Dawgs)'!$C$55,"")</f>
        <v/>
      </c>
      <c r="Q71" s="768" t="n"/>
      <c r="R71" s="769" t="n"/>
      <c r="S71" s="767">
        <f>IF('DC (Cliff Lee Was Here)'!$F$55&gt;0,'DC (Cliff Lee Was Here)'!$C$55,"")</f>
        <v/>
      </c>
      <c r="T71" s="768" t="n"/>
      <c r="U71" s="769" t="n"/>
      <c r="V71" s="767">
        <f>IF('JM (JMoney)'!$F$55&gt;0,'JM (JMoney)'!$C$55,"")</f>
        <v/>
      </c>
      <c r="W71" s="768" t="n"/>
      <c r="X71" s="769" t="n"/>
      <c r="Y71" s="767">
        <f>IF('JJ (metropolitans)'!$F$55&gt;0,'JJ (metropolitans)'!$C$55,"")</f>
        <v/>
      </c>
      <c r="Z71" s="768" t="n"/>
      <c r="AA71" s="769" t="n"/>
      <c r="AB71" s="767">
        <f>IF('KJ (Stat Sandwich)'!$F$55&gt;0,'KJ (Stat Sandwich)'!$C$55,"")</f>
        <v/>
      </c>
      <c r="AC71" s="768" t="n"/>
      <c r="AD71" s="769" t="n"/>
      <c r="AE71" s="767">
        <f>IF('EP (Winning De)'!$F$55&gt;0,'EP (Winning De)'!$C$55,"")</f>
        <v/>
      </c>
      <c r="AF71" s="768" t="n"/>
      <c r="AG71" s="769" t="n"/>
      <c r="AH71" s="767">
        <f>IF('MB (Beckers Wreckers)'!$F$55&gt;0,'MB (Beckers Wreckers)'!$C$55,"")</f>
        <v/>
      </c>
      <c r="AI71" s="768" t="n"/>
      <c r="AJ71" s="769" t="n"/>
      <c r="AK71" s="767">
        <f>IF('MH (sabermutrics)'!$F$55&gt;0,'MH (sabermutrics)'!$C$55,"")</f>
        <v/>
      </c>
      <c r="AL71" s="768" t="n"/>
      <c r="AM71" s="769" t="n"/>
      <c r="AN71" s="767">
        <f>IF('MT (Tradezilla)'!$F$55&gt;0,'MT (Tradezilla)'!$C$55,"")</f>
        <v/>
      </c>
      <c r="AO71" s="768" t="n"/>
      <c r="AP71" s="769" t="n"/>
      <c r="AQ71" s="767">
        <f>IF('SM (Dawsyn)'!$F$55&gt;0,'SM (Dawsyn)'!$C$55,"")</f>
        <v/>
      </c>
      <c r="AR71" s="768" t="n"/>
      <c r="AS71" s="769" t="n"/>
    </row>
    <row r="72" ht="11.25" customHeight="1" s="26">
      <c r="B72" s="766" t="n"/>
      <c r="C72" s="519" t="n"/>
      <c r="D72" s="520" t="n"/>
      <c r="E72" s="770" t="n"/>
      <c r="F72" s="771" t="n"/>
      <c r="G72" s="158">
        <f>IF('AW (Minor)'!$F$55&gt;0,'AW (Minor)'!$F$55,"")</f>
        <v/>
      </c>
      <c r="H72" s="770">
        <f>IF('AW (Minor)'!$F$55&gt;0,'AW (Minor)'!$I$55,"")</f>
        <v/>
      </c>
      <c r="I72" s="771" t="n"/>
      <c r="J72" s="158">
        <f>IF('BL (Brockasauras)'!$F$55&gt;0,'BL (Brockasauras)'!$F$55,"")</f>
        <v/>
      </c>
      <c r="K72" s="770">
        <f>IF('BL (Brockasauras)'!$F$55&gt;0,'BL (Brockasauras)'!$I$55,"")</f>
        <v/>
      </c>
      <c r="L72" s="771" t="n"/>
      <c r="M72" s="158">
        <f>IF('CN (Nygaardians)'!$F$55&gt;0,'CN (Nygaardians)'!$F$55,"")</f>
        <v/>
      </c>
      <c r="N72" s="770">
        <f>IF('CN (Nygaardians)'!$F$55&gt;0,'CN (Nygaardians)'!$I$55,"")</f>
        <v/>
      </c>
      <c r="O72" s="771" t="n"/>
      <c r="P72" s="158">
        <f>IF('CS (Shag Dawgs)'!$F$55&gt;0,'CS (Shag Dawgs)'!$F$55,"")</f>
        <v/>
      </c>
      <c r="Q72" s="770">
        <f>IF('CS (Shag Dawgs)'!$F$55&gt;0,'CS (Shag Dawgs)'!$I$55,"")</f>
        <v/>
      </c>
      <c r="R72" s="771" t="n"/>
      <c r="S72" s="158">
        <f>IF('DC (Cliff Lee Was Here)'!$F$55&gt;0,'DC (Cliff Lee Was Here)'!$F$55,"")</f>
        <v/>
      </c>
      <c r="T72" s="770">
        <f>IF('DC (Cliff Lee Was Here)'!$F$55&gt;0,'DC (Cliff Lee Was Here)'!$I$55,"")</f>
        <v/>
      </c>
      <c r="U72" s="771" t="n"/>
      <c r="V72" s="158">
        <f>IF('JM (JMoney)'!$F$55&gt;0,'JM (JMoney)'!$F$55,"")</f>
        <v/>
      </c>
      <c r="W72" s="770">
        <f>IF('JM (JMoney)'!$F$55&gt;0,'JM (JMoney)'!$I$55,"")</f>
        <v/>
      </c>
      <c r="X72" s="771" t="n"/>
      <c r="Y72" s="158">
        <f>IF('JJ (metropolitans)'!$F$55&gt;0,'JJ (metropolitans)'!$F$55,"")</f>
        <v/>
      </c>
      <c r="Z72" s="770">
        <f>IF('JJ (metropolitans)'!$F$55&gt;0,'JJ (metropolitans)'!$I$55,"")</f>
        <v/>
      </c>
      <c r="AA72" s="771" t="n"/>
      <c r="AB72" s="158">
        <f>IF('KJ (Stat Sandwich)'!$F$55&gt;0,'KJ (Stat Sandwich)'!$F$55,"")</f>
        <v/>
      </c>
      <c r="AC72" s="770">
        <f>IF('KJ (Stat Sandwich)'!$F$55&gt;0,'KJ (Stat Sandwich)'!$I$55,"")</f>
        <v/>
      </c>
      <c r="AD72" s="771" t="n"/>
      <c r="AE72" s="158">
        <f>IF('EP (Winning De)'!$F$55&gt;0,'EP (Winning De)'!$F$55,"")</f>
        <v/>
      </c>
      <c r="AF72" s="770">
        <f>IF('EP (Winning De)'!$F$55&gt;0,'EP (Winning De)'!$I$55,"")</f>
        <v/>
      </c>
      <c r="AG72" s="771" t="n"/>
      <c r="AH72" s="158">
        <f>IF('MB (Beckers Wreckers)'!$F$55&gt;0,'MB (Beckers Wreckers)'!$F$55,"")</f>
        <v/>
      </c>
      <c r="AI72" s="770">
        <f>IF('MB (Beckers Wreckers)'!$F$55&gt;0,'MB (Beckers Wreckers)'!$I$55,"")</f>
        <v/>
      </c>
      <c r="AJ72" s="771" t="n"/>
      <c r="AK72" s="158">
        <f>IF('MH (sabermutrics)'!$F$55&gt;0,'MH (sabermutrics)'!$F$55,"")</f>
        <v/>
      </c>
      <c r="AL72" s="770">
        <f>IF('MH (sabermutrics)'!$F$55&gt;0,'MH (sabermutrics)'!$I$55,"")</f>
        <v/>
      </c>
      <c r="AM72" s="771" t="n"/>
      <c r="AN72" s="158">
        <f>IF('MT (Tradezilla)'!$F$55&gt;0,'MT (Tradezilla)'!$F$55,"")</f>
        <v/>
      </c>
      <c r="AO72" s="770">
        <f>IF('MT (Tradezilla)'!$F$55&gt;0,'MT (Tradezilla)'!$I$55,"")</f>
        <v/>
      </c>
      <c r="AP72" s="771" t="n"/>
      <c r="AQ72" s="158">
        <f>IF('SM (Dawsyn)'!$F$55&gt;0,'SM (Dawsyn)'!$F$55,"")</f>
        <v/>
      </c>
      <c r="AR72" s="770">
        <f>IF('SM (Dawsyn)'!$F$55&gt;0,'SM (Dawsyn)'!$I$55,"")</f>
        <v/>
      </c>
      <c r="AS72" s="771" t="n"/>
    </row>
    <row r="73" ht="11.25" customHeight="1" s="26">
      <c r="B73" s="766" t="n"/>
      <c r="C73" s="519" t="n"/>
      <c r="D73" s="782" t="n"/>
      <c r="F73" s="766" t="n"/>
      <c r="G73" s="767">
        <f>IF('AW (Minor)'!$F$56&gt;0,'AW (Minor)'!$C$56,"")</f>
        <v/>
      </c>
      <c r="H73" s="768" t="n"/>
      <c r="I73" s="769" t="n"/>
      <c r="J73" s="780">
        <f>IF('BL (Brockasauras)'!$F$56&gt;0,'BL (Brockasauras)'!$C$56,"")</f>
        <v/>
      </c>
      <c r="L73" s="766" t="n"/>
      <c r="M73" s="767">
        <f>IF('CN (Nygaardians)'!$F$56&gt;0,'CN (Nygaardians)'!$C$56,"")</f>
        <v/>
      </c>
      <c r="N73" s="768" t="n"/>
      <c r="O73" s="769" t="n"/>
      <c r="P73" s="780">
        <f>IF('CS (Shag Dawgs)'!$F$56&gt;0,'CS (Shag Dawgs)'!$C$56,"")</f>
        <v/>
      </c>
      <c r="R73" s="766" t="n"/>
      <c r="S73" s="780">
        <f>IF('DC (Cliff Lee Was Here)'!$F$56&gt;0,'DC (Cliff Lee Was Here)'!$C$56,"")</f>
        <v/>
      </c>
      <c r="U73" s="766" t="n"/>
      <c r="V73" s="767">
        <f>IF('JM (JMoney)'!$F$56&gt;0,'JM (JMoney)'!$C$56,"")</f>
        <v/>
      </c>
      <c r="W73" s="768" t="n"/>
      <c r="X73" s="769" t="n"/>
      <c r="Y73" s="780">
        <f>IF('JJ (metropolitans)'!$F$56&gt;0,'JJ (metropolitans)'!$C$56,"")</f>
        <v/>
      </c>
      <c r="AA73" s="766" t="n"/>
      <c r="AB73" s="780">
        <f>IF('KJ (Stat Sandwich)'!$F$56&gt;0,'KJ (Stat Sandwich)'!$C$56,"")</f>
        <v/>
      </c>
      <c r="AD73" s="766" t="n"/>
      <c r="AE73" s="780">
        <f>IF('EP (Winning De)'!$F$56&gt;0,'EP (Winning De)'!$C$56,"")</f>
        <v/>
      </c>
      <c r="AG73" s="766" t="n"/>
      <c r="AH73" s="780">
        <f>IF('MB (Beckers Wreckers)'!$F$56&gt;0,'MB (Beckers Wreckers)'!$C$56,"")</f>
        <v/>
      </c>
      <c r="AJ73" s="766" t="n"/>
      <c r="AK73" s="780">
        <f>IF('MH (sabermutrics)'!$F$56&gt;0,'MH (sabermutrics)'!$C$56,"")</f>
        <v/>
      </c>
      <c r="AM73" s="766" t="n"/>
      <c r="AN73" s="780">
        <f>IF('MT (Tradezilla)'!$F$56&gt;0,'MT (Tradezilla)'!$C$56,"")</f>
        <v/>
      </c>
      <c r="AP73" s="766" t="n"/>
      <c r="AQ73" s="767">
        <f>IF('SM (Dawsyn)'!$F$56&gt;0,'SM (Dawsyn)'!$C$56,"")</f>
        <v/>
      </c>
      <c r="AR73" s="768" t="n"/>
      <c r="AS73" s="769" t="n"/>
    </row>
    <row r="74" ht="11.25" customHeight="1" s="26">
      <c r="B74" s="766" t="n"/>
      <c r="C74" s="519" t="n"/>
      <c r="D74" s="520" t="n"/>
      <c r="E74" s="770" t="n"/>
      <c r="F74" s="771" t="n"/>
      <c r="G74" s="158">
        <f>IF('AW (Minor)'!$F$56&gt;0,'AW (Minor)'!$F$56,"")</f>
        <v/>
      </c>
      <c r="H74" s="770">
        <f>IF('AW (Minor)'!$F$56&gt;0,'AW (Minor)'!$I$56,"")</f>
        <v/>
      </c>
      <c r="I74" s="771" t="n"/>
      <c r="J74" s="158">
        <f>IF('BL (Brockasauras)'!$F$56&gt;0,'BL (Brockasauras)'!$F$56,"")</f>
        <v/>
      </c>
      <c r="K74" s="770">
        <f>IF('BL (Brockasauras)'!$F$56&gt;0,'BL (Brockasauras)'!$I$56,"")</f>
        <v/>
      </c>
      <c r="L74" s="771" t="n"/>
      <c r="M74" s="158">
        <f>IF('CN (Nygaardians)'!$F$56&gt;0,'CN (Nygaardians)'!$F$56,"")</f>
        <v/>
      </c>
      <c r="N74" s="770">
        <f>IF('CN (Nygaardians)'!$F$56&gt;0,'CN (Nygaardians)'!$I$56,"")</f>
        <v/>
      </c>
      <c r="O74" s="771" t="n"/>
      <c r="P74" s="158">
        <f>IF('CS (Shag Dawgs)'!$F$56&gt;0,'CS (Shag Dawgs)'!$F$56,"")</f>
        <v/>
      </c>
      <c r="Q74" s="770">
        <f>IF('CS (Shag Dawgs)'!$F$56&gt;0,'CS (Shag Dawgs)'!$I$56,"")</f>
        <v/>
      </c>
      <c r="R74" s="771" t="n"/>
      <c r="S74" s="158">
        <f>IF('DC (Cliff Lee Was Here)'!$F$56&gt;0,'DC (Cliff Lee Was Here)'!$F$56,"")</f>
        <v/>
      </c>
      <c r="T74" s="770">
        <f>IF('DC (Cliff Lee Was Here)'!$F$56&gt;0,'DC (Cliff Lee Was Here)'!$I$56,"")</f>
        <v/>
      </c>
      <c r="U74" s="771" t="n"/>
      <c r="V74" s="158">
        <f>IF('JM (JMoney)'!$F$56&gt;0,'JM (JMoney)'!$F$56,"")</f>
        <v/>
      </c>
      <c r="W74" s="770">
        <f>IF('JM (JMoney)'!$F$56&gt;0,'JM (JMoney)'!$I$56,"")</f>
        <v/>
      </c>
      <c r="X74" s="771" t="n"/>
      <c r="Y74" s="158">
        <f>IF('JJ (metropolitans)'!$F$56&gt;0,'JJ (metropolitans)'!$F$56,"")</f>
        <v/>
      </c>
      <c r="Z74" s="770">
        <f>IF('JJ (metropolitans)'!$F$56&gt;0,'JJ (metropolitans)'!$I$56,"")</f>
        <v/>
      </c>
      <c r="AA74" s="771" t="n"/>
      <c r="AB74" s="158">
        <f>IF('KJ (Stat Sandwich)'!$F$56&gt;0,'KJ (Stat Sandwich)'!$F$56,"")</f>
        <v/>
      </c>
      <c r="AC74" s="770">
        <f>IF('KJ (Stat Sandwich)'!$F$56&gt;0,'KJ (Stat Sandwich)'!$I$56,"")</f>
        <v/>
      </c>
      <c r="AD74" s="771" t="n"/>
      <c r="AE74" s="158">
        <f>IF('EP (Winning De)'!$F$56&gt;0,'EP (Winning De)'!$F$56,"")</f>
        <v/>
      </c>
      <c r="AF74" s="770">
        <f>IF('EP (Winning De)'!$F$56&gt;0,'EP (Winning De)'!$I$56,"")</f>
        <v/>
      </c>
      <c r="AG74" s="771" t="n"/>
      <c r="AH74" s="158">
        <f>IF('MB (Beckers Wreckers)'!$F$56&gt;0,'MB (Beckers Wreckers)'!$F$56,"")</f>
        <v/>
      </c>
      <c r="AI74" s="770">
        <f>IF('MB (Beckers Wreckers)'!$F$56&gt;0,'MB (Beckers Wreckers)'!$I$56,"")</f>
        <v/>
      </c>
      <c r="AJ74" s="771" t="n"/>
      <c r="AK74" s="158">
        <f>IF('MH (sabermutrics)'!$F$56&gt;0,'MH (sabermutrics)'!$F$56,"")</f>
        <v/>
      </c>
      <c r="AL74" s="770">
        <f>IF('MH (sabermutrics)'!$F$56&gt;0,'MH (sabermutrics)'!$I$56,"")</f>
        <v/>
      </c>
      <c r="AM74" s="771" t="n"/>
      <c r="AN74" s="158">
        <f>IF('MT (Tradezilla)'!$F$56&gt;0,'MT (Tradezilla)'!$F$56,"")</f>
        <v/>
      </c>
      <c r="AO74" s="770">
        <f>IF('MT (Tradezilla)'!$F$56&gt;0,'MT (Tradezilla)'!$I$56,"")</f>
        <v/>
      </c>
      <c r="AP74" s="771" t="n"/>
      <c r="AQ74" s="158">
        <f>IF('SM (Dawsyn)'!$F$56&gt;0,'SM (Dawsyn)'!$F$56,"")</f>
        <v/>
      </c>
      <c r="AR74" s="770">
        <f>IF('SM (Dawsyn)'!$F$56&gt;0,'SM (Dawsyn)'!$I$56,"")</f>
        <v/>
      </c>
      <c r="AS74" s="771" t="n"/>
    </row>
    <row r="75" ht="11.25" customHeight="1" s="26">
      <c r="B75" s="766" t="n"/>
      <c r="C75" s="519" t="n"/>
      <c r="D75" s="782" t="n"/>
      <c r="F75" s="766" t="n"/>
      <c r="G75" s="767">
        <f>IF('AW (Minor)'!$F$57&gt;0,'AW (Minor)'!$C$57,"")</f>
        <v/>
      </c>
      <c r="H75" s="768" t="n"/>
      <c r="I75" s="769" t="n"/>
      <c r="J75" s="767">
        <f>IF('BL (Brockasauras)'!$F$57&gt;0,'BL (Brockasauras)'!$C$57,"")</f>
        <v/>
      </c>
      <c r="K75" s="768" t="n"/>
      <c r="L75" s="769" t="n"/>
      <c r="M75" s="767">
        <f>IF('CN (Nygaardians)'!$F$57&gt;0,'CN (Nygaardians)'!$C$57,"")</f>
        <v/>
      </c>
      <c r="N75" s="768" t="n"/>
      <c r="O75" s="769" t="n"/>
      <c r="P75" s="767">
        <f>IF('CS (Shag Dawgs)'!$F$57&gt;0,'CS (Shag Dawgs)'!$C$57,"")</f>
        <v/>
      </c>
      <c r="Q75" s="768" t="n"/>
      <c r="R75" s="769" t="n"/>
      <c r="S75" s="767">
        <f>IF('DC (Cliff Lee Was Here)'!$F$57&gt;0,'DC (Cliff Lee Was Here)'!$C$57,"")</f>
        <v/>
      </c>
      <c r="T75" s="768" t="n"/>
      <c r="U75" s="769" t="n"/>
      <c r="V75" s="767">
        <f>IF('JM (JMoney)'!$F$57&gt;0,'JM (JMoney)'!$C$57,"")</f>
        <v/>
      </c>
      <c r="W75" s="768" t="n"/>
      <c r="X75" s="769" t="n"/>
      <c r="Y75" s="767">
        <f>IF('JJ (metropolitans)'!$F$57&gt;0,'JJ (metropolitans)'!$C$57,"")</f>
        <v/>
      </c>
      <c r="Z75" s="768" t="n"/>
      <c r="AA75" s="769" t="n"/>
      <c r="AB75" s="767">
        <f>IF('KJ (Stat Sandwich)'!$F$57&gt;0,'KJ (Stat Sandwich)'!$C$57,"")</f>
        <v/>
      </c>
      <c r="AC75" s="768" t="n"/>
      <c r="AD75" s="769" t="n"/>
      <c r="AE75" s="767">
        <f>IF('EP (Winning De)'!$F$57&gt;0,'EP (Winning De)'!$C$57,"")</f>
        <v/>
      </c>
      <c r="AF75" s="768" t="n"/>
      <c r="AG75" s="769" t="n"/>
      <c r="AH75" s="767">
        <f>IF('MB (Beckers Wreckers)'!$F$57&gt;0,'MB (Beckers Wreckers)'!$C$57,"")</f>
        <v/>
      </c>
      <c r="AI75" s="768" t="n"/>
      <c r="AJ75" s="769" t="n"/>
      <c r="AK75" s="767">
        <f>IF('MH (sabermutrics)'!$F$57&gt;0,'MH (sabermutrics)'!$C$57,"")</f>
        <v/>
      </c>
      <c r="AL75" s="768" t="n"/>
      <c r="AM75" s="769" t="n"/>
      <c r="AN75" s="767">
        <f>IF('MT (Tradezilla)'!$F$57&gt;0,'MT (Tradezilla)'!$C$57,"")</f>
        <v/>
      </c>
      <c r="AO75" s="768" t="n"/>
      <c r="AP75" s="769" t="n"/>
      <c r="AQ75" s="767">
        <f>IF('SM (Dawsyn)'!$F$57&gt;0,'SM (Dawsyn)'!$C$57,"")</f>
        <v/>
      </c>
      <c r="AR75" s="768" t="n"/>
      <c r="AS75" s="769" t="n"/>
    </row>
    <row r="76" ht="11.25" customHeight="1" s="26">
      <c r="A76" s="759" t="n"/>
      <c r="B76" s="756" t="n"/>
      <c r="C76" s="519" t="n"/>
      <c r="D76" s="520" t="n"/>
      <c r="E76" s="770" t="n"/>
      <c r="F76" s="771" t="n"/>
      <c r="G76" s="564">
        <f>IF('AW (Minor)'!$F$57&gt;0,'AW (Minor)'!$F$57,"")</f>
        <v/>
      </c>
      <c r="H76" s="772">
        <f>IF('AW (Minor)'!$F$57&gt;0,'AW (Minor)'!$I$57,"")</f>
        <v/>
      </c>
      <c r="I76" s="756" t="n"/>
      <c r="J76" s="564">
        <f>IF('BL (Brockasauras)'!$F$57&gt;0,'BL (Brockasauras)'!$F$57,"")</f>
        <v/>
      </c>
      <c r="K76" s="772">
        <f>IF('BL (Brockasauras)'!$F$57&gt;0,'BL (Brockasauras)'!$I$57,"")</f>
        <v/>
      </c>
      <c r="L76" s="756" t="n"/>
      <c r="M76" s="564">
        <f>IF('CN (Nygaardians)'!$F$57&gt;0,'CN (Nygaardians)'!$F$57,"")</f>
        <v/>
      </c>
      <c r="N76" s="772">
        <f>IF('CN (Nygaardians)'!$F$57&gt;0,'CN (Nygaardians)'!$I$57,"")</f>
        <v/>
      </c>
      <c r="O76" s="756" t="n"/>
      <c r="P76" s="564">
        <f>IF('CS (Shag Dawgs)'!$F$57&gt;0,'CS (Shag Dawgs)'!$F$57,"")</f>
        <v/>
      </c>
      <c r="Q76" s="772">
        <f>IF('CS (Shag Dawgs)'!$F$57&gt;0,'CS (Shag Dawgs)'!$I$57,"")</f>
        <v/>
      </c>
      <c r="R76" s="756" t="n"/>
      <c r="S76" s="564">
        <f>IF('DC (Cliff Lee Was Here)'!$F$57&gt;0,'DC (Cliff Lee Was Here)'!$F$57,"")</f>
        <v/>
      </c>
      <c r="T76" s="772">
        <f>IF('DC (Cliff Lee Was Here)'!$F$57&gt;0,'DC (Cliff Lee Was Here)'!$I$57,"")</f>
        <v/>
      </c>
      <c r="U76" s="756" t="n"/>
      <c r="V76" s="564">
        <f>IF('JM (JMoney)'!$F$57&gt;0,'JM (JMoney)'!$F$57,"")</f>
        <v/>
      </c>
      <c r="W76" s="772">
        <f>IF('JM (JMoney)'!$F$57&gt;0,'JM (JMoney)'!$I$57,"")</f>
        <v/>
      </c>
      <c r="X76" s="756" t="n"/>
      <c r="Y76" s="564">
        <f>IF('JJ (metropolitans)'!$F$57&gt;0,'JJ (metropolitans)'!$F$57,"")</f>
        <v/>
      </c>
      <c r="Z76" s="772">
        <f>IF('JJ (metropolitans)'!$F$57&gt;0,'JJ (metropolitans)'!$I$57,"")</f>
        <v/>
      </c>
      <c r="AA76" s="756" t="n"/>
      <c r="AB76" s="564">
        <f>IF('KJ (Stat Sandwich)'!$F$57&gt;0,'KJ (Stat Sandwich)'!$F$57,"")</f>
        <v/>
      </c>
      <c r="AC76" s="772">
        <f>IF('KJ (Stat Sandwich)'!$F$57&gt;0,'KJ (Stat Sandwich)'!$I$57,"")</f>
        <v/>
      </c>
      <c r="AD76" s="756" t="n"/>
      <c r="AE76" s="564">
        <f>IF('EP (Winning De)'!$F$57&gt;0,'EP (Winning De)'!$F$57,"")</f>
        <v/>
      </c>
      <c r="AF76" s="772">
        <f>IF('EP (Winning De)'!$F$57&gt;0,'EP (Winning De)'!$I$57,"")</f>
        <v/>
      </c>
      <c r="AG76" s="756" t="n"/>
      <c r="AH76" s="564">
        <f>IF('MB (Beckers Wreckers)'!$F$57&gt;0,'MB (Beckers Wreckers)'!$F$57,"")</f>
        <v/>
      </c>
      <c r="AI76" s="772">
        <f>IF('MB (Beckers Wreckers)'!$F$57&gt;0,'MB (Beckers Wreckers)'!$I$57,"")</f>
        <v/>
      </c>
      <c r="AJ76" s="756" t="n"/>
      <c r="AK76" s="564">
        <f>IF('MH (sabermutrics)'!$F$57&gt;0,'MH (sabermutrics)'!$F$57,"")</f>
        <v/>
      </c>
      <c r="AL76" s="772">
        <f>IF('MH (sabermutrics)'!$F$57&gt;0,'MH (sabermutrics)'!$I$57,"")</f>
        <v/>
      </c>
      <c r="AM76" s="756" t="n"/>
      <c r="AN76" s="564">
        <f>IF('MT (Tradezilla)'!$F$57&gt;0,'MT (Tradezilla)'!$F$57,"")</f>
        <v/>
      </c>
      <c r="AO76" s="772">
        <f>IF('MT (Tradezilla)'!$F$57&gt;0,'MT (Tradezilla)'!$I$57,"")</f>
        <v/>
      </c>
      <c r="AP76" s="756" t="n"/>
      <c r="AQ76" s="564">
        <f>IF('SM (Dawsyn)'!$F$57&gt;0,'SM (Dawsyn)'!$F$57,"")</f>
        <v/>
      </c>
      <c r="AR76" s="772">
        <f>IF('SM (Dawsyn)'!$F$57&gt;0,'SM (Dawsyn)'!$I$57,"")</f>
        <v/>
      </c>
      <c r="AS76" s="756" t="n"/>
    </row>
    <row r="77" ht="4.5" customHeight="1" s="26">
      <c r="A77" s="565" t="n"/>
      <c r="B77" s="565" t="n"/>
      <c r="C77" s="566" t="n"/>
      <c r="D77" s="567" t="n"/>
      <c r="E77" s="568" t="n"/>
      <c r="F77" s="569" t="n"/>
      <c r="G77" s="567" t="n"/>
      <c r="H77" s="570" t="n"/>
      <c r="I77" s="571" t="n"/>
      <c r="J77" s="567" t="n"/>
      <c r="K77" s="570" t="n"/>
      <c r="L77" s="571" t="n"/>
      <c r="M77" s="567" t="n"/>
      <c r="N77" s="570" t="n"/>
      <c r="O77" s="571" t="n"/>
      <c r="P77" s="567" t="n"/>
      <c r="Q77" s="570" t="n"/>
      <c r="R77" s="571" t="n"/>
      <c r="S77" s="567" t="n"/>
      <c r="T77" s="570" t="n"/>
      <c r="U77" s="571" t="n"/>
      <c r="V77" s="567" t="n"/>
      <c r="W77" s="570" t="n"/>
      <c r="X77" s="571" t="n"/>
      <c r="Y77" s="567" t="n"/>
      <c r="Z77" s="570" t="n"/>
      <c r="AA77" s="571" t="n"/>
      <c r="AB77" s="567" t="n"/>
      <c r="AC77" s="570" t="n"/>
      <c r="AD77" s="571" t="n"/>
      <c r="AE77" s="567" t="n"/>
      <c r="AF77" s="570" t="n"/>
      <c r="AG77" s="571" t="n"/>
      <c r="AH77" s="567" t="n"/>
      <c r="AI77" s="570" t="n"/>
      <c r="AJ77" s="571" t="n"/>
      <c r="AK77" s="567" t="n"/>
      <c r="AL77" s="570" t="n"/>
      <c r="AM77" s="571" t="n"/>
      <c r="AN77" s="567" t="n"/>
      <c r="AO77" s="570" t="n"/>
      <c r="AP77" s="571" t="n"/>
      <c r="AQ77" s="567" t="n"/>
      <c r="AR77" s="570" t="n"/>
      <c r="AS77" s="571" t="n"/>
    </row>
    <row r="78" ht="11.25" customHeight="1" s="26">
      <c r="A78" s="783" t="inlineStr">
        <is>
          <t>Buy-outs</t>
        </is>
      </c>
      <c r="B78" s="777" t="n"/>
      <c r="C78" s="573" t="n"/>
      <c r="D78" s="784">
        <f>'AC (Dumpster Fires)'!$C$63</f>
        <v/>
      </c>
      <c r="E78" s="768" t="n"/>
      <c r="F78" s="769" t="n"/>
      <c r="G78" s="785">
        <f>'AW (Minor)'!$C$59</f>
        <v/>
      </c>
      <c r="H78" s="753" t="n"/>
      <c r="I78" s="777" t="n"/>
      <c r="J78" s="785">
        <f>'BL (Brockasauras)'!$C$59</f>
        <v/>
      </c>
      <c r="K78" s="753" t="n"/>
      <c r="L78" s="777" t="n"/>
      <c r="M78" s="785">
        <f>'CN (Nygaardians)'!$C$59</f>
        <v/>
      </c>
      <c r="N78" s="753" t="n"/>
      <c r="O78" s="777" t="n"/>
      <c r="P78" s="785">
        <f>'CS (Shag Dawgs)'!$C$59</f>
        <v/>
      </c>
      <c r="Q78" s="753" t="n"/>
      <c r="R78" s="777" t="n"/>
      <c r="S78" s="785">
        <f>'DC (Cliff Lee Was Here)'!$C$59</f>
        <v/>
      </c>
      <c r="T78" s="753" t="n"/>
      <c r="U78" s="777" t="n"/>
      <c r="V78" s="785">
        <f>'JM (JMoney)'!$C$59</f>
        <v/>
      </c>
      <c r="W78" s="753" t="n"/>
      <c r="X78" s="777" t="n"/>
      <c r="Y78" s="785">
        <f>'JJ (metropolitans)'!$C$59</f>
        <v/>
      </c>
      <c r="Z78" s="753" t="n"/>
      <c r="AA78" s="777" t="n"/>
      <c r="AB78" s="785">
        <f>'KJ (Stat Sandwich)'!$C$59</f>
        <v/>
      </c>
      <c r="AC78" s="753" t="n"/>
      <c r="AD78" s="777" t="n"/>
      <c r="AE78" s="785">
        <f>'EP (Winning De)'!$C$59</f>
        <v/>
      </c>
      <c r="AF78" s="753" t="n"/>
      <c r="AG78" s="777" t="n"/>
      <c r="AH78" s="785">
        <f>'MB (Beckers Wreckers)'!$C$59</f>
        <v/>
      </c>
      <c r="AI78" s="753" t="n"/>
      <c r="AJ78" s="777" t="n"/>
      <c r="AK78" s="785">
        <f>'MH (sabermutrics)'!$C$59</f>
        <v/>
      </c>
      <c r="AL78" s="753" t="n"/>
      <c r="AM78" s="777" t="n"/>
      <c r="AN78" s="785">
        <f>'MT (Tradezilla)'!$C$59</f>
        <v/>
      </c>
      <c r="AO78" s="753" t="n"/>
      <c r="AP78" s="777" t="n"/>
      <c r="AQ78" s="785">
        <f>'SM (Dawsyn)'!$C$59</f>
        <v/>
      </c>
      <c r="AR78" s="753" t="n"/>
      <c r="AS78" s="777" t="n"/>
    </row>
    <row r="79" ht="11.25" customHeight="1" s="26">
      <c r="B79" s="766" t="n"/>
      <c r="C79" s="144" t="n"/>
      <c r="D79" s="579">
        <f>'AC (Dumpster Fires)'!$F$63</f>
        <v/>
      </c>
      <c r="E79" s="786">
        <f>IF('AC (Dumpster Fires)'!$AA$67&gt;0,'AC (Dumpster Fires)'!$Y$65,"")</f>
        <v/>
      </c>
      <c r="F79" s="771" t="n"/>
      <c r="G79" s="579">
        <f>'AW (Minor)'!$F$59</f>
        <v/>
      </c>
      <c r="H79" s="786">
        <f>IF('AW (Minor)'!$AA$57&gt;0,'AW (Minor)'!$Y$55,"")</f>
        <v/>
      </c>
      <c r="I79" s="771" t="n"/>
      <c r="J79" s="579">
        <f>'BL (Brockasauras)'!$F$59</f>
        <v/>
      </c>
      <c r="K79" s="786">
        <f>IF('BL (Brockasauras)'!$AA$57&gt;0,'BL (Brockasauras)'!$Y$55,"")</f>
        <v/>
      </c>
      <c r="L79" s="771" t="n"/>
      <c r="M79" s="579">
        <f>'CN (Nygaardians)'!$F$59</f>
        <v/>
      </c>
      <c r="N79" s="786">
        <f>IF('CN (Nygaardians)'!$AA$57&gt;0,'CN (Nygaardians)'!$Y$55,"")</f>
        <v/>
      </c>
      <c r="O79" s="771" t="n"/>
      <c r="P79" s="579">
        <f>'CS (Shag Dawgs)'!$F$59</f>
        <v/>
      </c>
      <c r="Q79" s="786">
        <f>IF('CS (Shag Dawgs)'!$AA$57&gt;0,'CS (Shag Dawgs)'!$Y$55,"")</f>
        <v/>
      </c>
      <c r="R79" s="771" t="n"/>
      <c r="S79" s="579">
        <f>'DC (Cliff Lee Was Here)'!$F$59</f>
        <v/>
      </c>
      <c r="T79" s="786">
        <f>IF('DC (Cliff Lee Was Here)'!$AA$57&gt;0,'DC (Cliff Lee Was Here)'!$Y$55,"")</f>
        <v/>
      </c>
      <c r="U79" s="771" t="n"/>
      <c r="V79" s="579">
        <f>'JM (JMoney)'!$F$59</f>
        <v/>
      </c>
      <c r="W79" s="786">
        <f>IF('JM (JMoney)'!$AA$57&gt;0,'JM (JMoney)'!$Y$55,"")</f>
        <v/>
      </c>
      <c r="X79" s="771" t="n"/>
      <c r="Y79" s="579">
        <f>'JJ (metropolitans)'!$F$59</f>
        <v/>
      </c>
      <c r="Z79" s="786">
        <f>IF('JJ (metropolitans)'!$AA$57&gt;0,'JJ (metropolitans)'!$Y$55,"")</f>
        <v/>
      </c>
      <c r="AA79" s="771" t="n"/>
      <c r="AB79" s="579">
        <f>'KJ (Stat Sandwich)'!$F$59</f>
        <v/>
      </c>
      <c r="AC79" s="786">
        <f>IF('KJ (Stat Sandwich)'!$AA$57&gt;0,'KJ (Stat Sandwich)'!$Y$55,"")</f>
        <v/>
      </c>
      <c r="AD79" s="771" t="n"/>
      <c r="AE79" s="579">
        <f>'EP (Winning De)'!$F$59</f>
        <v/>
      </c>
      <c r="AF79" s="786">
        <f>IF('EP (Winning De)'!$AA$57&gt;0,'EP (Winning De)'!$Y$55,"")</f>
        <v/>
      </c>
      <c r="AG79" s="771" t="n"/>
      <c r="AH79" s="579">
        <f>'MB (Beckers Wreckers)'!$F$59</f>
        <v/>
      </c>
      <c r="AI79" s="786">
        <f>IF('MB (Beckers Wreckers)'!$AA$57&gt;0,'MB (Beckers Wreckers)'!$Y$55,"")</f>
        <v/>
      </c>
      <c r="AJ79" s="771" t="n"/>
      <c r="AK79" s="579">
        <f>'MH (sabermutrics)'!$F$59</f>
        <v/>
      </c>
      <c r="AL79" s="786">
        <f>IF('MH (sabermutrics)'!$AA$57&gt;0,'MH (sabermutrics)'!$Y$55,"")</f>
        <v/>
      </c>
      <c r="AM79" s="771" t="n"/>
      <c r="AN79" s="579">
        <f>'MT (Tradezilla)'!$F$59</f>
        <v/>
      </c>
      <c r="AO79" s="786">
        <f>IF('MT (Tradezilla)'!$AA$57&gt;0,'MT (Tradezilla)'!$Y$55,"")</f>
        <v/>
      </c>
      <c r="AP79" s="771" t="n"/>
      <c r="AQ79" s="579">
        <f>'SM (Dawsyn)'!$F$59</f>
        <v/>
      </c>
      <c r="AR79" s="786">
        <f>IF('SM (Dawsyn)'!$AA$57&gt;0,'SM (Dawsyn)'!$Y$55,"")</f>
        <v/>
      </c>
      <c r="AS79" s="771" t="n"/>
    </row>
    <row r="80" ht="11.25" customHeight="1" s="26">
      <c r="B80" s="766" t="n"/>
      <c r="C80" s="144" t="n"/>
      <c r="D80" s="787">
        <f>'AC (Dumpster Fires)'!$C$64</f>
        <v/>
      </c>
      <c r="E80" s="768" t="n"/>
      <c r="F80" s="769" t="n"/>
      <c r="G80" s="787">
        <f>'AW (Minor)'!$C$60</f>
        <v/>
      </c>
      <c r="H80" s="768" t="n"/>
      <c r="I80" s="769" t="n"/>
      <c r="J80" s="787">
        <f>'BL (Brockasauras)'!$C$60</f>
        <v/>
      </c>
      <c r="K80" s="768" t="n"/>
      <c r="L80" s="769" t="n"/>
      <c r="M80" s="787">
        <f>'CN (Nygaardians)'!$C$60</f>
        <v/>
      </c>
      <c r="N80" s="768" t="n"/>
      <c r="O80" s="769" t="n"/>
      <c r="P80" s="787">
        <f>'CS (Shag Dawgs)'!$C$60</f>
        <v/>
      </c>
      <c r="Q80" s="768" t="n"/>
      <c r="R80" s="769" t="n"/>
      <c r="S80" s="787">
        <f>'DC (Cliff Lee Was Here)'!$C$60</f>
        <v/>
      </c>
      <c r="T80" s="768" t="n"/>
      <c r="U80" s="769" t="n"/>
      <c r="V80" s="787">
        <f>'JM (JMoney)'!$C$60</f>
        <v/>
      </c>
      <c r="W80" s="768" t="n"/>
      <c r="X80" s="769" t="n"/>
      <c r="Y80" s="787">
        <f>'JJ (metropolitans)'!$C$60</f>
        <v/>
      </c>
      <c r="Z80" s="768" t="n"/>
      <c r="AA80" s="769" t="n"/>
      <c r="AB80" s="787">
        <f>'KJ (Stat Sandwich)'!$C$60</f>
        <v/>
      </c>
      <c r="AC80" s="768" t="n"/>
      <c r="AD80" s="769" t="n"/>
      <c r="AE80" s="787">
        <f>'EP (Winning De)'!$C$60</f>
        <v/>
      </c>
      <c r="AF80" s="768" t="n"/>
      <c r="AG80" s="769" t="n"/>
      <c r="AH80" s="787">
        <f>'MB (Beckers Wreckers)'!$C$60</f>
        <v/>
      </c>
      <c r="AI80" s="768" t="n"/>
      <c r="AJ80" s="769" t="n"/>
      <c r="AK80" s="787">
        <f>'MH (sabermutrics)'!$C$60</f>
        <v/>
      </c>
      <c r="AL80" s="768" t="n"/>
      <c r="AM80" s="769" t="n"/>
      <c r="AN80" s="787">
        <f>'MT (Tradezilla)'!$C$60</f>
        <v/>
      </c>
      <c r="AO80" s="768" t="n"/>
      <c r="AP80" s="769" t="n"/>
      <c r="AQ80" s="787">
        <f>'SM (Dawsyn)'!$C$60</f>
        <v/>
      </c>
      <c r="AR80" s="768" t="n"/>
      <c r="AS80" s="769" t="n"/>
    </row>
    <row r="81" ht="11.25" customHeight="1" s="26">
      <c r="B81" s="766" t="n"/>
      <c r="C81" s="144" t="n"/>
      <c r="D81" s="579">
        <f>'AC (Dumpster Fires)'!$F$64</f>
        <v/>
      </c>
      <c r="E81" s="788">
        <f>IF('AC (Dumpster Fires)'!$AA$74&gt;0,'AC (Dumpster Fires)'!$Y$72,"")</f>
        <v/>
      </c>
      <c r="F81" s="771" t="n"/>
      <c r="G81" s="579">
        <f>'AW (Minor)'!$F$60</f>
        <v/>
      </c>
      <c r="H81" s="786">
        <f>IF('AW (Minor)'!$AA$64&gt;0,'AW (Minor)'!$Y$62,"")</f>
        <v/>
      </c>
      <c r="I81" s="771" t="n"/>
      <c r="J81" s="579">
        <f>'BL (Brockasauras)'!$F$60</f>
        <v/>
      </c>
      <c r="K81" s="786">
        <f>IF('BL (Brockasauras)'!$AA$64&gt;0,'BL (Brockasauras)'!$Y$62,"")</f>
        <v/>
      </c>
      <c r="L81" s="771" t="n"/>
      <c r="M81" s="579">
        <f>'CN (Nygaardians)'!$F$60</f>
        <v/>
      </c>
      <c r="N81" s="786">
        <f>IF('CN (Nygaardians)'!$AA$64&gt;0,'CN (Nygaardians)'!$Y$62,"")</f>
        <v/>
      </c>
      <c r="O81" s="771" t="n"/>
      <c r="P81" s="579">
        <f>'CS (Shag Dawgs)'!$F$60</f>
        <v/>
      </c>
      <c r="Q81" s="786">
        <f>IF('CS (Shag Dawgs)'!$AA$64&gt;0,'CS (Shag Dawgs)'!$Y$62,"")</f>
        <v/>
      </c>
      <c r="R81" s="771" t="n"/>
      <c r="S81" s="579">
        <f>'DC (Cliff Lee Was Here)'!$F$60</f>
        <v/>
      </c>
      <c r="T81" s="786">
        <f>IF('DC (Cliff Lee Was Here)'!$AA$64&gt;0,'DC (Cliff Lee Was Here)'!$Y$62,"")</f>
        <v/>
      </c>
      <c r="U81" s="771" t="n"/>
      <c r="V81" s="579">
        <f>'JM (JMoney)'!$F$60</f>
        <v/>
      </c>
      <c r="W81" s="786">
        <f>IF('JM (JMoney)'!$AA$64&gt;0,'JM (JMoney)'!$Y$62,"")</f>
        <v/>
      </c>
      <c r="X81" s="771" t="n"/>
      <c r="Y81" s="579">
        <f>'JJ (metropolitans)'!$F$60</f>
        <v/>
      </c>
      <c r="Z81" s="786">
        <f>IF('JJ (metropolitans)'!$AA$64&gt;0,'JJ (metropolitans)'!$Y$62,"")</f>
        <v/>
      </c>
      <c r="AA81" s="771" t="n"/>
      <c r="AB81" s="579">
        <f>'KJ (Stat Sandwich)'!$F$60</f>
        <v/>
      </c>
      <c r="AC81" s="786">
        <f>IF('KJ (Stat Sandwich)'!$AA$64&gt;0,'KJ (Stat Sandwich)'!$Y$62,"")</f>
        <v/>
      </c>
      <c r="AD81" s="771" t="n"/>
      <c r="AE81" s="579">
        <f>'EP (Winning De)'!$F$60</f>
        <v/>
      </c>
      <c r="AF81" s="786">
        <f>IF('EP (Winning De)'!$AA$64&gt;0,'EP (Winning De)'!$Y$62,"")</f>
        <v/>
      </c>
      <c r="AG81" s="771" t="n"/>
      <c r="AH81" s="579">
        <f>'MB (Beckers Wreckers)'!$F$60</f>
        <v/>
      </c>
      <c r="AI81" s="786">
        <f>IF('MB (Beckers Wreckers)'!$AA$64&gt;0,'MB (Beckers Wreckers)'!$Y$62,"")</f>
        <v/>
      </c>
      <c r="AJ81" s="771" t="n"/>
      <c r="AK81" s="579">
        <f>'MH (sabermutrics)'!$F$60</f>
        <v/>
      </c>
      <c r="AL81" s="786">
        <f>IF('MH (sabermutrics)'!$AA$64&gt;0,'MH (sabermutrics)'!$Y$62,"")</f>
        <v/>
      </c>
      <c r="AM81" s="771" t="n"/>
      <c r="AN81" s="579">
        <f>'MT (Tradezilla)'!$F$60</f>
        <v/>
      </c>
      <c r="AO81" s="786">
        <f>IF('MT (Tradezilla)'!$AA$64&gt;0,'MT (Tradezilla)'!$Y$62,"")</f>
        <v/>
      </c>
      <c r="AP81" s="771" t="n"/>
      <c r="AQ81" s="579">
        <f>'SM (Dawsyn)'!$F$60</f>
        <v/>
      </c>
      <c r="AR81" s="786">
        <f>IF('SM (Dawsyn)'!$AA$64&gt;0,'SM (Dawsyn)'!$Y$62,"")</f>
        <v/>
      </c>
      <c r="AS81" s="771" t="n"/>
    </row>
    <row r="82" ht="11.25" customHeight="1" s="26">
      <c r="B82" s="766" t="n"/>
      <c r="C82" s="144" t="n"/>
      <c r="D82" s="787">
        <f>'AC (Dumpster Fires)'!$C$64</f>
        <v/>
      </c>
      <c r="E82" s="768" t="n"/>
      <c r="F82" s="769" t="n"/>
      <c r="G82" s="787">
        <f>'AW (Minor)'!$C$61</f>
        <v/>
      </c>
      <c r="H82" s="768" t="n"/>
      <c r="I82" s="769" t="n"/>
      <c r="J82" s="787">
        <f>'BL (Brockasauras)'!$C$61</f>
        <v/>
      </c>
      <c r="K82" s="768" t="n"/>
      <c r="L82" s="769" t="n"/>
      <c r="M82" s="787">
        <f>'CN (Nygaardians)'!$C$61</f>
        <v/>
      </c>
      <c r="N82" s="768" t="n"/>
      <c r="O82" s="769" t="n"/>
      <c r="P82" s="787">
        <f>'CS (Shag Dawgs)'!$C$61</f>
        <v/>
      </c>
      <c r="Q82" s="768" t="n"/>
      <c r="R82" s="769" t="n"/>
      <c r="S82" s="787">
        <f>'DC (Cliff Lee Was Here)'!$C$61</f>
        <v/>
      </c>
      <c r="T82" s="768" t="n"/>
      <c r="U82" s="769" t="n"/>
      <c r="V82" s="787">
        <f>'JM (JMoney)'!$C$61</f>
        <v/>
      </c>
      <c r="W82" s="768" t="n"/>
      <c r="X82" s="769" t="n"/>
      <c r="Y82" s="787">
        <f>'JJ (metropolitans)'!$C$61</f>
        <v/>
      </c>
      <c r="Z82" s="768" t="n"/>
      <c r="AA82" s="769" t="n"/>
      <c r="AB82" s="787">
        <f>'KJ (Stat Sandwich)'!$C$61</f>
        <v/>
      </c>
      <c r="AC82" s="768" t="n"/>
      <c r="AD82" s="769" t="n"/>
      <c r="AE82" s="787">
        <f>'EP (Winning De)'!$C$61</f>
        <v/>
      </c>
      <c r="AF82" s="768" t="n"/>
      <c r="AG82" s="769" t="n"/>
      <c r="AH82" s="787">
        <f>'MB (Beckers Wreckers)'!$C$61</f>
        <v/>
      </c>
      <c r="AI82" s="768" t="n"/>
      <c r="AJ82" s="769" t="n"/>
      <c r="AK82" s="787">
        <f>'MH (sabermutrics)'!$C$61</f>
        <v/>
      </c>
      <c r="AL82" s="768" t="n"/>
      <c r="AM82" s="769" t="n"/>
      <c r="AN82" s="787">
        <f>'MT (Tradezilla)'!$C$61</f>
        <v/>
      </c>
      <c r="AO82" s="768" t="n"/>
      <c r="AP82" s="769" t="n"/>
      <c r="AQ82" s="787">
        <f>'SM (Dawsyn)'!$C$61</f>
        <v/>
      </c>
      <c r="AR82" s="768" t="n"/>
      <c r="AS82" s="769" t="n"/>
    </row>
    <row r="83" ht="11.25" customHeight="1" s="26">
      <c r="B83" s="766" t="n"/>
      <c r="C83" s="144" t="n"/>
      <c r="D83" s="579">
        <f>'AC (Dumpster Fires)'!$F$64</f>
        <v/>
      </c>
      <c r="E83" s="788">
        <f>IF('AC (Dumpster Fires)'!$AA$74&gt;0,'AC (Dumpster Fires)'!$Y$72,"")</f>
        <v/>
      </c>
      <c r="F83" s="771" t="n"/>
      <c r="G83" s="579">
        <f>'AW (Minor)'!$F$61</f>
        <v/>
      </c>
      <c r="H83" s="788">
        <f>IF('AW (Minor)'!$AA$71&gt;0,'AW (Minor)'!$Y$69,"")</f>
        <v/>
      </c>
      <c r="I83" s="771" t="n"/>
      <c r="J83" s="579">
        <f>'BL (Brockasauras)'!$F$61</f>
        <v/>
      </c>
      <c r="K83" s="788">
        <f>IF('BL (Brockasauras)'!$AA$71&gt;0,'BL (Brockasauras)'!$Y$69,"")</f>
        <v/>
      </c>
      <c r="L83" s="771" t="n"/>
      <c r="M83" s="579">
        <f>'CN (Nygaardians)'!$F$61</f>
        <v/>
      </c>
      <c r="N83" s="788">
        <f>IF('CN (Nygaardians)'!$AA$71&gt;0,'CN (Nygaardians)'!$Y$69,"")</f>
        <v/>
      </c>
      <c r="O83" s="771" t="n"/>
      <c r="P83" s="579">
        <f>'CS (Shag Dawgs)'!$F$61</f>
        <v/>
      </c>
      <c r="Q83" s="788">
        <f>IF('CS (Shag Dawgs)'!$AA$71&gt;0,'CS (Shag Dawgs)'!$Y$69,"")</f>
        <v/>
      </c>
      <c r="R83" s="771" t="n"/>
      <c r="S83" s="579">
        <f>'DC (Cliff Lee Was Here)'!$F$61</f>
        <v/>
      </c>
      <c r="T83" s="788">
        <f>IF('DC (Cliff Lee Was Here)'!$AA$71&gt;0,'DC (Cliff Lee Was Here)'!$Y$69,"")</f>
        <v/>
      </c>
      <c r="U83" s="771" t="n"/>
      <c r="V83" s="579">
        <f>'JM (JMoney)'!$F$61</f>
        <v/>
      </c>
      <c r="W83" s="788">
        <f>IF('JM (JMoney)'!$AA$71&gt;0,'JM (JMoney)'!$Y$69,"")</f>
        <v/>
      </c>
      <c r="X83" s="771" t="n"/>
      <c r="Y83" s="579">
        <f>'JJ (metropolitans)'!$F$61</f>
        <v/>
      </c>
      <c r="Z83" s="788">
        <f>IF('JJ (metropolitans)'!$AA$71&gt;0,'JJ (metropolitans)'!$Y$69,"")</f>
        <v/>
      </c>
      <c r="AA83" s="771" t="n"/>
      <c r="AB83" s="579">
        <f>'KJ (Stat Sandwich)'!$F$61</f>
        <v/>
      </c>
      <c r="AC83" s="788">
        <f>IF('KJ (Stat Sandwich)'!$AA$71&gt;0,'KJ (Stat Sandwich)'!$Y$69,"")</f>
        <v/>
      </c>
      <c r="AD83" s="771" t="n"/>
      <c r="AE83" s="579">
        <f>'EP (Winning De)'!$F$61</f>
        <v/>
      </c>
      <c r="AF83" s="788">
        <f>IF('EP (Winning De)'!$AA$71&gt;0,'EP (Winning De)'!$Y$69,"")</f>
        <v/>
      </c>
      <c r="AG83" s="771" t="n"/>
      <c r="AH83" s="579">
        <f>'MB (Beckers Wreckers)'!$F$61</f>
        <v/>
      </c>
      <c r="AI83" s="788">
        <f>IF('MB (Beckers Wreckers)'!$AA$71&gt;0,'MB (Beckers Wreckers)'!$Y$69,"")</f>
        <v/>
      </c>
      <c r="AJ83" s="771" t="n"/>
      <c r="AK83" s="579">
        <f>'MH (sabermutrics)'!$F$61</f>
        <v/>
      </c>
      <c r="AL83" s="788">
        <f>IF('MH (sabermutrics)'!$AA$71&gt;0,'MH (sabermutrics)'!$Y$69,"")</f>
        <v/>
      </c>
      <c r="AM83" s="771" t="n"/>
      <c r="AN83" s="579">
        <f>'MT (Tradezilla)'!$F$61</f>
        <v/>
      </c>
      <c r="AO83" s="788">
        <f>IF('MT (Tradezilla)'!$AA$71&gt;0,'MT (Tradezilla)'!$Y$69,"")</f>
        <v/>
      </c>
      <c r="AP83" s="771" t="n"/>
      <c r="AQ83" s="579">
        <f>'SM (Dawsyn)'!$F$61</f>
        <v/>
      </c>
      <c r="AR83" s="788">
        <f>IF('SM (Dawsyn)'!$AA$71&gt;0,'SM (Dawsyn)'!$Y$69,"")</f>
        <v/>
      </c>
      <c r="AS83" s="771" t="n"/>
    </row>
    <row r="84" hidden="1" ht="11.25" customHeight="1" s="26">
      <c r="B84" s="766" t="n"/>
      <c r="C84" s="144" t="n"/>
      <c r="D84" s="787">
        <f>'DC (Cliff Lee Was Here)'!$C$62</f>
        <v/>
      </c>
      <c r="E84" s="768" t="n"/>
      <c r="F84" s="769" t="n"/>
      <c r="G84" s="787">
        <f>'SM (Dawsyn)'!$C$62</f>
        <v/>
      </c>
      <c r="H84" s="768" t="n"/>
      <c r="I84" s="769" t="n"/>
      <c r="J84" s="787">
        <f>'AC (Dumpster Fires)'!$C$65</f>
        <v/>
      </c>
      <c r="K84" s="768" t="n"/>
      <c r="L84" s="769" t="n"/>
      <c r="M84" s="787">
        <f>'CS (Shag Dawgs)'!$C$62</f>
        <v/>
      </c>
      <c r="N84" s="768" t="n"/>
      <c r="O84" s="769" t="n"/>
      <c r="P84" s="787">
        <f>'BL (Brockasauras)'!$C$62</f>
        <v/>
      </c>
      <c r="Q84" s="768" t="n"/>
      <c r="R84" s="769" t="n"/>
      <c r="S84" s="787">
        <f>'JM (JMoney)'!$C$62</f>
        <v/>
      </c>
      <c r="T84" s="768" t="n"/>
      <c r="U84" s="769" t="n"/>
      <c r="V84" s="787">
        <f>'EP (Winning De)'!$C$62</f>
        <v/>
      </c>
      <c r="W84" s="768" t="n"/>
      <c r="X84" s="769" t="n"/>
      <c r="Y84" s="787">
        <f>'MB (Beckers Wreckers)'!$C$62</f>
        <v/>
      </c>
      <c r="Z84" s="768" t="n"/>
      <c r="AA84" s="769" t="n"/>
      <c r="AB84" s="787">
        <f>'DC (Cliff Lee Was Here)'!$C$62</f>
        <v/>
      </c>
      <c r="AC84" s="768" t="n"/>
      <c r="AD84" s="769" t="n"/>
      <c r="AE84" s="787">
        <f>'MH (sabermutrics)'!$C$62</f>
        <v/>
      </c>
      <c r="AF84" s="768" t="n"/>
      <c r="AG84" s="769" t="n"/>
      <c r="AH84" s="787">
        <f>'KJ (Stat Sandwich)'!$C$62</f>
        <v/>
      </c>
      <c r="AI84" s="768" t="n"/>
      <c r="AJ84" s="769" t="n"/>
      <c r="AK84" s="787">
        <f>'MT (Tradezilla)'!$C$62</f>
        <v/>
      </c>
      <c r="AL84" s="768" t="n"/>
      <c r="AM84" s="769" t="n"/>
      <c r="AN84" s="787">
        <f>'AW (Minor)'!$C$62</f>
        <v/>
      </c>
      <c r="AO84" s="768" t="n"/>
      <c r="AP84" s="769" t="n"/>
      <c r="AQ84" s="789">
        <f>'JJ (metropolitans)'!$C$62</f>
        <v/>
      </c>
      <c r="AR84" s="768" t="n"/>
      <c r="AS84" s="790" t="n"/>
    </row>
    <row r="85" hidden="1" ht="11.25" customHeight="1" s="26">
      <c r="A85" s="759" t="n"/>
      <c r="B85" s="756" t="n"/>
      <c r="C85" s="507" t="n"/>
      <c r="D85" s="585">
        <f>'DC (Cliff Lee Was Here)'!$F$62</f>
        <v/>
      </c>
      <c r="E85" s="791">
        <f>IF('DC (Cliff Lee Was Here)'!$AA$78&gt;0,'DC (Cliff Lee Was Here)'!$Y$76,"")</f>
        <v/>
      </c>
      <c r="F85" s="756" t="n"/>
      <c r="G85" s="585">
        <f>'SM (Dawsyn)'!$F$62</f>
        <v/>
      </c>
      <c r="H85" s="791">
        <f>IF('SM (Dawsyn)'!$AA$78&gt;0,'SM (Dawsyn)'!$Y$76,"")</f>
        <v/>
      </c>
      <c r="I85" s="756" t="n"/>
      <c r="J85" s="585">
        <f>'AC (Dumpster Fires)'!$F$65</f>
        <v/>
      </c>
      <c r="K85" s="791">
        <f>IF('AC (Dumpster Fires)'!$AA$81&gt;0,'AC (Dumpster Fires)'!$Y$79,"")</f>
        <v/>
      </c>
      <c r="L85" s="756" t="n"/>
      <c r="M85" s="585">
        <f>'CS (Shag Dawgs)'!$F$62</f>
        <v/>
      </c>
      <c r="N85" s="791">
        <f>IF('CS (Shag Dawgs)'!$AA$78&gt;0,'CS (Shag Dawgs)'!$Y$76,"")</f>
        <v/>
      </c>
      <c r="O85" s="756" t="n"/>
      <c r="P85" s="585">
        <f>'BL (Brockasauras)'!$F$62</f>
        <v/>
      </c>
      <c r="Q85" s="791">
        <f>IF('BL (Brockasauras)'!$AA$78&gt;0,'BL (Brockasauras)'!$Y$76,"")</f>
        <v/>
      </c>
      <c r="R85" s="756" t="n"/>
      <c r="S85" s="585">
        <f>'JM (JMoney)'!$F$62</f>
        <v/>
      </c>
      <c r="T85" s="791">
        <f>IF('JM (JMoney)'!$AA$78&gt;0,'JM (JMoney)'!$Y$76,"")</f>
        <v/>
      </c>
      <c r="U85" s="756" t="n"/>
      <c r="V85" s="585">
        <f>'EP (Winning De)'!$F$62</f>
        <v/>
      </c>
      <c r="W85" s="791">
        <f>IF('EP (Winning De)'!$AA$78&gt;0,'EP (Winning De)'!$Y$76,"")</f>
        <v/>
      </c>
      <c r="X85" s="756" t="n"/>
      <c r="Y85" s="585">
        <f>'MB (Beckers Wreckers)'!$F$62</f>
        <v/>
      </c>
      <c r="Z85" s="791">
        <f>IF('MB (Beckers Wreckers)'!$AA$78&gt;0,'MB (Beckers Wreckers)'!$Y$76,"")</f>
        <v/>
      </c>
      <c r="AA85" s="756" t="n"/>
      <c r="AB85" s="585">
        <f>'DC (Cliff Lee Was Here)'!$F$62</f>
        <v/>
      </c>
      <c r="AC85" s="791">
        <f>IF('DC (Cliff Lee Was Here)'!$AA$78&gt;0,'DC (Cliff Lee Was Here)'!$Y$76,"")</f>
        <v/>
      </c>
      <c r="AD85" s="756" t="n"/>
      <c r="AE85" s="585">
        <f>'MH (sabermutrics)'!$F$62</f>
        <v/>
      </c>
      <c r="AF85" s="791">
        <f>IF('MH (sabermutrics)'!$AA$78&gt;0,'MH (sabermutrics)'!$Y$76,"")</f>
        <v/>
      </c>
      <c r="AG85" s="756" t="n"/>
      <c r="AH85" s="585">
        <f>'KJ (Stat Sandwich)'!$F$62</f>
        <v/>
      </c>
      <c r="AI85" s="791">
        <f>IF('KJ (Stat Sandwich)'!$AA$78&gt;0,'KJ (Stat Sandwich)'!$Y$76,"")</f>
        <v/>
      </c>
      <c r="AJ85" s="756" t="n"/>
      <c r="AK85" s="585">
        <f>'MT (Tradezilla)'!$F$62</f>
        <v/>
      </c>
      <c r="AL85" s="791">
        <f>IF('MT (Tradezilla)'!$AA$78&gt;0,'MT (Tradezilla)'!$Y$76,"")</f>
        <v/>
      </c>
      <c r="AM85" s="756" t="n"/>
      <c r="AN85" s="585">
        <f>'AW (Minor)'!$F$62</f>
        <v/>
      </c>
      <c r="AO85" s="791">
        <f>IF('AW (Minor)'!$AA$78&gt;0,'AW (Minor)'!$Y$76,"")</f>
        <v/>
      </c>
      <c r="AP85" s="756" t="n"/>
      <c r="AQ85" s="585">
        <f>'JJ (metropolitans)'!$F$62</f>
        <v/>
      </c>
      <c r="AR85" s="792">
        <f>IF('JJ (metropolitans)'!$AA$78&gt;0,'JJ (metropolitans)'!$Y$76,"")</f>
        <v/>
      </c>
      <c r="AS85" s="793" t="n"/>
    </row>
    <row r="86" ht="3" customHeight="1" s="26">
      <c r="A86" s="588" t="n"/>
      <c r="B86" s="588" t="n"/>
      <c r="C86" s="589" t="n"/>
      <c r="D86" s="590" t="n"/>
      <c r="E86" s="565" t="n"/>
      <c r="F86" s="591" t="n"/>
      <c r="G86" s="590" t="n"/>
      <c r="H86" s="565" t="n"/>
      <c r="I86" s="591" t="n"/>
      <c r="J86" s="590" t="n"/>
      <c r="K86" s="565" t="n"/>
      <c r="L86" s="591" t="n"/>
      <c r="M86" s="590" t="n"/>
      <c r="N86" s="565" t="n"/>
      <c r="O86" s="591" t="n"/>
      <c r="P86" s="590" t="n"/>
      <c r="Q86" s="565" t="n"/>
      <c r="R86" s="591" t="n"/>
      <c r="S86" s="590" t="n"/>
      <c r="T86" s="565" t="n"/>
      <c r="U86" s="591" t="n"/>
      <c r="V86" s="590" t="n"/>
      <c r="W86" s="565" t="n"/>
      <c r="X86" s="591" t="n"/>
      <c r="Y86" s="590" t="n"/>
      <c r="Z86" s="565" t="n"/>
      <c r="AA86" s="591" t="n"/>
      <c r="AB86" s="590" t="n"/>
      <c r="AC86" s="565" t="n"/>
      <c r="AD86" s="591" t="n"/>
      <c r="AE86" s="590" t="n"/>
      <c r="AF86" s="565" t="n"/>
      <c r="AG86" s="591" t="n"/>
      <c r="AH86" s="590" t="n"/>
      <c r="AI86" s="565" t="n"/>
      <c r="AJ86" s="591" t="n"/>
      <c r="AK86" s="590" t="n"/>
      <c r="AL86" s="565" t="n"/>
      <c r="AM86" s="591" t="n"/>
      <c r="AN86" s="590" t="n"/>
      <c r="AO86" s="565" t="n"/>
      <c r="AP86" s="591" t="n"/>
      <c r="AQ86" s="590" t="n"/>
      <c r="AR86" s="565" t="n"/>
      <c r="AS86" s="592" t="n"/>
    </row>
    <row r="87" ht="15.75" customHeight="1" s="26">
      <c r="B87" s="593" t="n"/>
      <c r="E87" s="594" t="n"/>
      <c r="F87" s="595" t="n"/>
      <c r="H87" s="594" t="n"/>
      <c r="I87" s="595" t="n"/>
      <c r="K87" s="594" t="n"/>
      <c r="L87" s="595" t="n"/>
      <c r="N87" s="594" t="n"/>
      <c r="O87" s="595" t="n"/>
      <c r="Q87" s="594" t="n"/>
      <c r="R87" s="595" t="n"/>
      <c r="T87" s="594" t="n"/>
      <c r="U87" s="595" t="n"/>
      <c r="W87" s="594" t="n"/>
      <c r="X87" s="595" t="n"/>
      <c r="Z87" s="594" t="n"/>
      <c r="AA87" s="595" t="n"/>
      <c r="AC87" s="594" t="n"/>
      <c r="AD87" s="595" t="n"/>
      <c r="AF87" s="594" t="n"/>
      <c r="AG87" s="595" t="n"/>
      <c r="AI87" s="594" t="n"/>
      <c r="AJ87" s="595" t="n"/>
      <c r="AL87" s="594" t="n"/>
      <c r="AM87" s="595" t="n"/>
      <c r="AO87" s="594" t="n"/>
      <c r="AP87" s="595" t="n"/>
      <c r="AR87" s="594" t="n"/>
      <c r="AS87" s="595" t="n"/>
    </row>
    <row r="88" ht="15.75" customHeight="1" s="26">
      <c r="B88" s="593" t="n"/>
      <c r="D88" s="596" t="n"/>
      <c r="E88" s="594" t="n"/>
      <c r="F88" s="595" t="n"/>
      <c r="G88" s="596" t="n"/>
      <c r="H88" s="594" t="n"/>
      <c r="I88" s="595" t="n"/>
      <c r="J88" s="596" t="n"/>
      <c r="K88" s="594" t="n"/>
      <c r="L88" s="595" t="n"/>
      <c r="M88" s="596" t="n"/>
      <c r="N88" s="594" t="n"/>
      <c r="O88" s="595" t="n"/>
      <c r="P88" s="596" t="n"/>
      <c r="Q88" s="594" t="n"/>
      <c r="R88" s="595" t="n"/>
      <c r="S88" s="596" t="n"/>
      <c r="T88" s="594" t="n"/>
      <c r="U88" s="595" t="n"/>
      <c r="V88" s="596" t="n"/>
      <c r="W88" s="594" t="n"/>
      <c r="X88" s="595" t="n"/>
      <c r="Y88" s="596" t="n"/>
      <c r="Z88" s="594" t="n"/>
      <c r="AA88" s="595" t="n"/>
      <c r="AB88" s="596" t="n"/>
      <c r="AC88" s="594" t="n"/>
      <c r="AD88" s="595" t="n"/>
      <c r="AE88" s="596" t="n"/>
      <c r="AF88" s="594" t="n"/>
      <c r="AG88" s="595" t="n"/>
      <c r="AH88" s="596" t="n"/>
      <c r="AI88" s="594" t="n"/>
      <c r="AJ88" s="595" t="n"/>
      <c r="AK88" s="596" t="n"/>
      <c r="AL88" s="594" t="n"/>
      <c r="AM88" s="595" t="n"/>
      <c r="AN88" s="596" t="n"/>
      <c r="AO88" s="594" t="n"/>
      <c r="AP88" s="595" t="n"/>
      <c r="AQ88" s="596" t="n"/>
      <c r="AR88" s="594" t="n"/>
      <c r="AS88" s="595" t="n"/>
    </row>
    <row r="89" ht="15.75" customHeight="1" s="26">
      <c r="B89" s="593" t="n"/>
      <c r="E89" s="594" t="n"/>
      <c r="F89" s="595" t="n"/>
      <c r="H89" s="594" t="n"/>
      <c r="I89" s="595" t="n"/>
      <c r="J89" s="596" t="n"/>
      <c r="K89" s="594" t="n"/>
      <c r="L89" s="595" t="n"/>
      <c r="N89" s="594" t="n"/>
      <c r="O89" s="595" t="n"/>
      <c r="Q89" s="594" t="n"/>
      <c r="R89" s="595" t="n"/>
      <c r="T89" s="594" t="n"/>
      <c r="U89" s="595" t="n"/>
      <c r="W89" s="594" t="n"/>
      <c r="X89" s="595" t="n"/>
      <c r="Z89" s="594" t="n"/>
      <c r="AA89" s="595" t="n"/>
      <c r="AC89" s="594" t="n"/>
      <c r="AD89" s="595" t="n"/>
      <c r="AF89" s="594" t="n"/>
      <c r="AG89" s="595" t="n"/>
      <c r="AI89" s="594" t="n"/>
      <c r="AJ89" s="595" t="n"/>
      <c r="AL89" s="594" t="n"/>
      <c r="AM89" s="595" t="n"/>
      <c r="AO89" s="594" t="n"/>
      <c r="AP89" s="595" t="n"/>
      <c r="AR89" s="594" t="n"/>
      <c r="AS89" s="595" t="n"/>
    </row>
    <row r="90" ht="15.75" customHeight="1" s="26">
      <c r="B90" s="593" t="n"/>
      <c r="E90" s="594" t="n"/>
      <c r="F90" s="595" t="n"/>
      <c r="H90" s="594" t="n"/>
      <c r="I90" s="595" t="n"/>
      <c r="K90" s="594" t="n"/>
      <c r="L90" s="595" t="n"/>
      <c r="N90" s="594" t="n"/>
      <c r="O90" s="595" t="n"/>
      <c r="Q90" s="594" t="n"/>
      <c r="R90" s="595" t="n"/>
      <c r="T90" s="594" t="n"/>
      <c r="U90" s="595" t="n"/>
      <c r="W90" s="594" t="n"/>
      <c r="X90" s="595" t="n"/>
      <c r="Z90" s="594" t="n"/>
      <c r="AA90" s="595" t="n"/>
      <c r="AC90" s="594" t="n"/>
      <c r="AD90" s="595" t="n"/>
      <c r="AF90" s="594" t="n"/>
      <c r="AG90" s="595" t="n"/>
      <c r="AI90" s="594" t="n"/>
      <c r="AJ90" s="595" t="n"/>
      <c r="AL90" s="594" t="n"/>
      <c r="AM90" s="595" t="n"/>
      <c r="AO90" s="594" t="n"/>
      <c r="AP90" s="595" t="n"/>
      <c r="AR90" s="594" t="n"/>
      <c r="AS90" s="595" t="n"/>
    </row>
    <row r="91" ht="15.75" customHeight="1" s="26">
      <c r="B91" s="593" t="n"/>
      <c r="E91" s="594" t="n"/>
      <c r="F91" s="595" t="n"/>
      <c r="H91" s="594" t="n"/>
      <c r="I91" s="595" t="n"/>
      <c r="K91" s="594" t="n"/>
      <c r="L91" s="595" t="n"/>
      <c r="N91" s="594" t="n"/>
      <c r="O91" s="595" t="n"/>
      <c r="Q91" s="594" t="n"/>
      <c r="R91" s="595" t="n"/>
      <c r="T91" s="594" t="n"/>
      <c r="U91" s="595" t="n"/>
      <c r="W91" s="594" t="n"/>
      <c r="X91" s="595" t="n"/>
      <c r="Z91" s="594" t="n"/>
      <c r="AA91" s="595" t="n"/>
      <c r="AC91" s="594" t="n"/>
      <c r="AD91" s="595" t="n"/>
      <c r="AF91" s="594" t="n"/>
      <c r="AG91" s="595" t="n"/>
      <c r="AI91" s="594" t="n"/>
      <c r="AJ91" s="595" t="n"/>
      <c r="AL91" s="594" t="n"/>
      <c r="AM91" s="595" t="n"/>
      <c r="AO91" s="594" t="n"/>
      <c r="AP91" s="595" t="n"/>
      <c r="AR91" s="594" t="n"/>
      <c r="AS91" s="595" t="n"/>
    </row>
    <row r="92" ht="15.75" customHeight="1" s="26">
      <c r="B92" s="593" t="n"/>
      <c r="E92" s="594" t="n"/>
      <c r="F92" s="595" t="n"/>
      <c r="H92" s="594" t="n"/>
      <c r="I92" s="595" t="n"/>
      <c r="K92" s="594" t="n"/>
      <c r="L92" s="595" t="n"/>
      <c r="N92" s="594" t="n"/>
      <c r="O92" s="595" t="n"/>
      <c r="Q92" s="594" t="n"/>
      <c r="R92" s="595" t="n"/>
      <c r="T92" s="594" t="n"/>
      <c r="U92" s="595" t="n"/>
      <c r="W92" s="594" t="n"/>
      <c r="X92" s="595" t="n"/>
      <c r="Z92" s="594" t="n"/>
      <c r="AA92" s="595" t="n"/>
      <c r="AC92" s="594" t="n"/>
      <c r="AD92" s="595" t="n"/>
      <c r="AF92" s="594" t="n"/>
      <c r="AG92" s="595" t="n"/>
      <c r="AI92" s="594" t="n"/>
      <c r="AJ92" s="595" t="n"/>
      <c r="AL92" s="594" t="n"/>
      <c r="AM92" s="595" t="n"/>
      <c r="AO92" s="594" t="n"/>
      <c r="AP92" s="595" t="n"/>
      <c r="AR92" s="594" t="n"/>
      <c r="AS92" s="595" t="n"/>
    </row>
    <row r="93" ht="15.75" customHeight="1" s="26">
      <c r="B93" s="593" t="n"/>
      <c r="E93" s="594" t="n"/>
      <c r="F93" s="595" t="n"/>
      <c r="H93" s="594" t="n"/>
      <c r="I93" s="595" t="n"/>
      <c r="K93" s="594" t="n"/>
      <c r="L93" s="595" t="n"/>
      <c r="N93" s="594" t="n"/>
      <c r="O93" s="595" t="n"/>
      <c r="Q93" s="594" t="n"/>
      <c r="R93" s="595" t="n"/>
      <c r="T93" s="594" t="n"/>
      <c r="U93" s="595" t="n"/>
      <c r="W93" s="594" t="n"/>
      <c r="X93" s="595" t="n"/>
      <c r="Z93" s="594" t="n"/>
      <c r="AA93" s="595" t="n"/>
      <c r="AC93" s="594" t="n"/>
      <c r="AD93" s="595" t="n"/>
      <c r="AF93" s="594" t="n"/>
      <c r="AG93" s="595" t="n"/>
      <c r="AI93" s="594" t="n"/>
      <c r="AJ93" s="595" t="n"/>
      <c r="AL93" s="594" t="n"/>
      <c r="AM93" s="595" t="n"/>
      <c r="AO93" s="594" t="n"/>
      <c r="AP93" s="595" t="n"/>
      <c r="AR93" s="594" t="n"/>
      <c r="AS93" s="595" t="n"/>
    </row>
    <row r="94" ht="15.75" customHeight="1" s="26">
      <c r="B94" s="593" t="n"/>
      <c r="E94" s="594" t="n"/>
      <c r="F94" s="595" t="n"/>
      <c r="H94" s="594" t="n"/>
      <c r="I94" s="595" t="n"/>
      <c r="K94" s="594" t="n"/>
      <c r="L94" s="595" t="n"/>
      <c r="N94" s="594" t="n"/>
      <c r="O94" s="595" t="n"/>
      <c r="Q94" s="594" t="n"/>
      <c r="R94" s="595" t="n"/>
      <c r="T94" s="594" t="n"/>
      <c r="U94" s="595" t="n"/>
      <c r="W94" s="594" t="n"/>
      <c r="X94" s="595" t="n"/>
      <c r="Z94" s="594" t="n"/>
      <c r="AA94" s="595" t="n"/>
      <c r="AC94" s="594" t="n"/>
      <c r="AD94" s="595" t="n"/>
      <c r="AF94" s="594" t="n"/>
      <c r="AG94" s="595" t="n"/>
      <c r="AI94" s="594" t="n"/>
      <c r="AJ94" s="595" t="n"/>
      <c r="AL94" s="594" t="n"/>
      <c r="AM94" s="595" t="n"/>
      <c r="AO94" s="594" t="n"/>
      <c r="AP94" s="595" t="n"/>
      <c r="AR94" s="594" t="n"/>
      <c r="AS94" s="595" t="n"/>
    </row>
    <row r="95" ht="15.75" customHeight="1" s="26">
      <c r="B95" s="593" t="n"/>
      <c r="E95" s="594" t="n"/>
      <c r="F95" s="595" t="n"/>
      <c r="H95" s="594" t="n"/>
      <c r="I95" s="595" t="n"/>
      <c r="K95" s="594" t="n"/>
      <c r="L95" s="595" t="n"/>
      <c r="N95" s="594" t="n"/>
      <c r="O95" s="595" t="n"/>
      <c r="Q95" s="594" t="n"/>
      <c r="R95" s="595" t="n"/>
      <c r="T95" s="594" t="n"/>
      <c r="U95" s="595" t="n"/>
      <c r="W95" s="594" t="n"/>
      <c r="X95" s="595" t="n"/>
      <c r="Z95" s="594" t="n"/>
      <c r="AA95" s="595" t="n"/>
      <c r="AC95" s="594" t="n"/>
      <c r="AD95" s="595" t="n"/>
      <c r="AF95" s="594" t="n"/>
      <c r="AG95" s="595" t="n"/>
      <c r="AI95" s="594" t="n"/>
      <c r="AJ95" s="595" t="n"/>
      <c r="AL95" s="594" t="n"/>
      <c r="AM95" s="595" t="n"/>
      <c r="AO95" s="594" t="n"/>
      <c r="AP95" s="595" t="n"/>
      <c r="AR95" s="594" t="n"/>
      <c r="AS95" s="595" t="n"/>
    </row>
    <row r="96" ht="15.75" customHeight="1" s="26">
      <c r="B96" s="593" t="n"/>
      <c r="E96" s="594" t="n"/>
      <c r="F96" s="595" t="n"/>
      <c r="H96" s="594" t="n"/>
      <c r="I96" s="595" t="n"/>
      <c r="J96" s="775">
        <f>'AW (Minor)'!F97</f>
        <v/>
      </c>
      <c r="K96" s="768" t="n"/>
      <c r="L96" s="769" t="n"/>
      <c r="N96" s="594" t="n"/>
      <c r="O96" s="595" t="n"/>
      <c r="Q96" s="594" t="n"/>
      <c r="R96" s="595" t="n"/>
      <c r="T96" s="594" t="n"/>
      <c r="U96" s="595" t="n"/>
      <c r="W96" s="594" t="n"/>
      <c r="X96" s="595" t="n"/>
      <c r="Z96" s="594" t="n"/>
      <c r="AA96" s="595" t="n"/>
      <c r="AC96" s="594" t="n"/>
      <c r="AD96" s="595" t="n"/>
      <c r="AF96" s="594" t="n"/>
      <c r="AG96" s="595" t="n"/>
      <c r="AI96" s="594" t="n"/>
      <c r="AJ96" s="595" t="n"/>
      <c r="AL96" s="594" t="n"/>
      <c r="AM96" s="595" t="n"/>
      <c r="AO96" s="594" t="n"/>
      <c r="AP96" s="595" t="n"/>
      <c r="AR96" s="594" t="n"/>
      <c r="AS96" s="595" t="n"/>
    </row>
    <row r="97" ht="15.75" customHeight="1" s="26">
      <c r="B97" s="593" t="n"/>
      <c r="E97" s="594" t="n"/>
      <c r="F97" s="595" t="n"/>
      <c r="H97" s="594" t="n"/>
      <c r="I97" s="595" t="n"/>
      <c r="J97" s="520">
        <f>'AW (Minor)'!I96</f>
        <v/>
      </c>
      <c r="K97" s="778">
        <f>'AW (Minor)'!L96</f>
        <v/>
      </c>
      <c r="L97" s="771" t="n"/>
      <c r="N97" s="594" t="n"/>
      <c r="O97" s="595" t="n"/>
      <c r="Q97" s="594" t="n"/>
      <c r="R97" s="595" t="n"/>
      <c r="T97" s="594" t="n"/>
      <c r="U97" s="595" t="n"/>
      <c r="W97" s="594" t="n"/>
      <c r="X97" s="595" t="n"/>
      <c r="Z97" s="594" t="n"/>
      <c r="AA97" s="595" t="n"/>
      <c r="AC97" s="594" t="n"/>
      <c r="AD97" s="595" t="n"/>
      <c r="AF97" s="594" t="n"/>
      <c r="AG97" s="595" t="n"/>
      <c r="AI97" s="594" t="n"/>
      <c r="AJ97" s="595" t="n"/>
      <c r="AL97" s="594" t="n"/>
      <c r="AM97" s="595" t="n"/>
      <c r="AO97" s="594" t="n"/>
      <c r="AP97" s="595" t="n"/>
      <c r="AR97" s="594" t="n"/>
      <c r="AS97" s="595" t="n"/>
    </row>
    <row r="98" ht="15.75" customHeight="1" s="26">
      <c r="B98" s="593" t="n"/>
      <c r="E98" s="594" t="n"/>
      <c r="F98" s="595" t="n"/>
      <c r="H98" s="594" t="n"/>
      <c r="I98" s="595" t="n"/>
      <c r="J98" s="775">
        <f>'AW (Minor)'!F98</f>
        <v/>
      </c>
      <c r="K98" s="768" t="n"/>
      <c r="L98" s="769" t="n"/>
      <c r="N98" s="594" t="n"/>
      <c r="O98" s="595" t="n"/>
      <c r="Q98" s="594" t="n"/>
      <c r="R98" s="595" t="n"/>
      <c r="T98" s="594" t="n"/>
      <c r="U98" s="595" t="n"/>
      <c r="W98" s="594" t="n"/>
      <c r="X98" s="595" t="n"/>
      <c r="Z98" s="594" t="n"/>
      <c r="AA98" s="595" t="n"/>
      <c r="AC98" s="594" t="n"/>
      <c r="AD98" s="595" t="n"/>
      <c r="AF98" s="594" t="n"/>
      <c r="AG98" s="595" t="n"/>
      <c r="AI98" s="594" t="n"/>
      <c r="AJ98" s="595" t="n"/>
      <c r="AL98" s="594" t="n"/>
      <c r="AM98" s="595" t="n"/>
      <c r="AO98" s="594" t="n"/>
      <c r="AP98" s="595" t="n"/>
      <c r="AR98" s="594" t="n"/>
      <c r="AS98" s="595" t="n"/>
    </row>
    <row r="99" ht="15.75" customHeight="1" s="26">
      <c r="B99" s="593" t="n"/>
      <c r="E99" s="594" t="n"/>
      <c r="F99" s="595" t="n"/>
      <c r="H99" s="594" t="n"/>
      <c r="I99" s="595" t="n"/>
      <c r="J99" s="520">
        <f>'AW (Minor)'!I97</f>
        <v/>
      </c>
      <c r="K99" s="778">
        <f>'AW (Minor)'!L97</f>
        <v/>
      </c>
      <c r="L99" s="771" t="n"/>
      <c r="N99" s="594" t="n"/>
      <c r="O99" s="595" t="n"/>
      <c r="Q99" s="594" t="n"/>
      <c r="R99" s="595" t="n"/>
      <c r="T99" s="594" t="n"/>
      <c r="U99" s="595" t="n"/>
      <c r="W99" s="594" t="n"/>
      <c r="X99" s="595" t="n"/>
      <c r="Z99" s="594" t="n"/>
      <c r="AA99" s="595" t="n"/>
      <c r="AC99" s="594" t="n"/>
      <c r="AD99" s="595" t="n"/>
      <c r="AF99" s="594" t="n"/>
      <c r="AG99" s="595" t="n"/>
      <c r="AI99" s="594" t="n"/>
      <c r="AJ99" s="595" t="n"/>
      <c r="AL99" s="594" t="n"/>
      <c r="AM99" s="595" t="n"/>
      <c r="AO99" s="594" t="n"/>
      <c r="AP99" s="595" t="n"/>
      <c r="AR99" s="594" t="n"/>
      <c r="AS99" s="595" t="n"/>
    </row>
    <row r="100" ht="15.75" customHeight="1" s="26">
      <c r="B100" s="593" t="n"/>
      <c r="E100" s="594" t="n"/>
      <c r="F100" s="595" t="n"/>
      <c r="H100" s="594" t="n"/>
      <c r="I100" s="595" t="n"/>
      <c r="K100" s="594" t="n"/>
      <c r="L100" s="595" t="n"/>
      <c r="N100" s="594" t="n"/>
      <c r="O100" s="595" t="n"/>
      <c r="Q100" s="594" t="n"/>
      <c r="R100" s="595" t="n"/>
      <c r="T100" s="594" t="n"/>
      <c r="U100" s="595" t="n"/>
      <c r="W100" s="594" t="n"/>
      <c r="X100" s="595" t="n"/>
      <c r="Z100" s="594" t="n"/>
      <c r="AA100" s="595" t="n"/>
      <c r="AC100" s="594" t="n"/>
      <c r="AD100" s="595" t="n"/>
      <c r="AF100" s="594" t="n"/>
      <c r="AG100" s="595" t="n"/>
      <c r="AI100" s="594" t="n"/>
      <c r="AJ100" s="595" t="n"/>
      <c r="AL100" s="594" t="n"/>
      <c r="AM100" s="595" t="n"/>
      <c r="AO100" s="594" t="n"/>
      <c r="AP100" s="595" t="n"/>
      <c r="AR100" s="594" t="n"/>
      <c r="AS100" s="595" t="n"/>
    </row>
    <row r="101" ht="15.75" customHeight="1" s="26">
      <c r="B101" s="593" t="n"/>
      <c r="E101" s="594" t="n"/>
      <c r="F101" s="595" t="n"/>
      <c r="H101" s="594" t="n"/>
      <c r="I101" s="595" t="n"/>
      <c r="K101" s="594" t="n"/>
      <c r="L101" s="595" t="n"/>
      <c r="N101" s="594" t="n"/>
      <c r="O101" s="595" t="n"/>
      <c r="Q101" s="594" t="n"/>
      <c r="R101" s="595" t="n"/>
      <c r="T101" s="594" t="n"/>
      <c r="U101" s="595" t="n"/>
      <c r="W101" s="594" t="n"/>
      <c r="X101" s="595" t="n"/>
      <c r="Z101" s="594" t="n"/>
      <c r="AA101" s="595" t="n"/>
      <c r="AC101" s="594" t="n"/>
      <c r="AD101" s="595" t="n"/>
      <c r="AF101" s="594" t="n"/>
      <c r="AG101" s="595" t="n"/>
      <c r="AI101" s="594" t="n"/>
      <c r="AJ101" s="595" t="n"/>
      <c r="AL101" s="594" t="n"/>
      <c r="AM101" s="595" t="n"/>
      <c r="AO101" s="594" t="n"/>
      <c r="AP101" s="595" t="n"/>
      <c r="AR101" s="594" t="n"/>
      <c r="AS101" s="595" t="n"/>
    </row>
    <row r="102" ht="15.75" customHeight="1" s="26">
      <c r="B102" s="593" t="n"/>
      <c r="E102" s="594" t="n"/>
      <c r="F102" s="595" t="n"/>
      <c r="H102" s="594" t="n"/>
      <c r="I102" s="595" t="n"/>
      <c r="K102" s="594" t="n"/>
      <c r="L102" s="595" t="n"/>
      <c r="N102" s="594" t="n"/>
      <c r="O102" s="595" t="n"/>
      <c r="Q102" s="594" t="n"/>
      <c r="R102" s="595" t="n"/>
      <c r="T102" s="594" t="n"/>
      <c r="U102" s="595" t="n"/>
      <c r="W102" s="594" t="n"/>
      <c r="X102" s="595" t="n"/>
      <c r="Z102" s="594" t="n"/>
      <c r="AA102" s="595" t="n"/>
      <c r="AC102" s="594" t="n"/>
      <c r="AD102" s="595" t="n"/>
      <c r="AF102" s="594" t="n"/>
      <c r="AG102" s="595" t="n"/>
      <c r="AI102" s="594" t="n"/>
      <c r="AJ102" s="595" t="n"/>
      <c r="AL102" s="594" t="n"/>
      <c r="AM102" s="595" t="n"/>
      <c r="AO102" s="594" t="n"/>
      <c r="AP102" s="595" t="n"/>
      <c r="AR102" s="594" t="n"/>
      <c r="AS102" s="595" t="n"/>
    </row>
    <row r="103" ht="15.75" customHeight="1" s="26">
      <c r="B103" s="593" t="n"/>
      <c r="E103" s="594" t="n"/>
      <c r="F103" s="595" t="n"/>
      <c r="H103" s="594" t="n"/>
      <c r="I103" s="595" t="n"/>
      <c r="K103" s="594" t="n"/>
      <c r="L103" s="595" t="n"/>
      <c r="N103" s="594" t="n"/>
      <c r="O103" s="595" t="n"/>
      <c r="Q103" s="594" t="n"/>
      <c r="R103" s="595" t="n"/>
      <c r="T103" s="594" t="n"/>
      <c r="U103" s="595" t="n"/>
      <c r="W103" s="594" t="n"/>
      <c r="X103" s="595" t="n"/>
      <c r="Z103" s="594" t="n"/>
      <c r="AA103" s="595" t="n"/>
      <c r="AC103" s="594" t="n"/>
      <c r="AD103" s="595" t="n"/>
      <c r="AF103" s="594" t="n"/>
      <c r="AG103" s="595" t="n"/>
      <c r="AI103" s="594" t="n"/>
      <c r="AJ103" s="595" t="n"/>
      <c r="AL103" s="594" t="n"/>
      <c r="AM103" s="595" t="n"/>
      <c r="AO103" s="594" t="n"/>
      <c r="AP103" s="595" t="n"/>
      <c r="AR103" s="594" t="n"/>
      <c r="AS103" s="595" t="n"/>
    </row>
    <row r="104" ht="15.75" customHeight="1" s="26">
      <c r="B104" s="593" t="n"/>
      <c r="E104" s="594" t="n"/>
      <c r="F104" s="595" t="n"/>
      <c r="H104" s="594" t="n"/>
      <c r="I104" s="595" t="n"/>
      <c r="K104" s="594" t="n"/>
      <c r="L104" s="595" t="n"/>
      <c r="N104" s="594" t="n"/>
      <c r="O104" s="595" t="n"/>
      <c r="Q104" s="594" t="n"/>
      <c r="R104" s="595" t="n"/>
      <c r="T104" s="594" t="n"/>
      <c r="U104" s="595" t="n"/>
      <c r="W104" s="594" t="n"/>
      <c r="X104" s="595" t="n"/>
      <c r="Z104" s="594" t="n"/>
      <c r="AA104" s="595" t="n"/>
      <c r="AC104" s="594" t="n"/>
      <c r="AD104" s="595" t="n"/>
      <c r="AF104" s="594" t="n"/>
      <c r="AG104" s="595" t="n"/>
      <c r="AI104" s="594" t="n"/>
      <c r="AJ104" s="595" t="n"/>
      <c r="AL104" s="594" t="n"/>
      <c r="AM104" s="595" t="n"/>
      <c r="AO104" s="594" t="n"/>
      <c r="AP104" s="595" t="n"/>
      <c r="AR104" s="594" t="n"/>
      <c r="AS104" s="595" t="n"/>
    </row>
    <row r="105" ht="15.75" customHeight="1" s="26">
      <c r="B105" s="593" t="n"/>
      <c r="E105" s="594" t="n"/>
      <c r="F105" s="595" t="n"/>
      <c r="H105" s="594" t="n"/>
      <c r="I105" s="595" t="n"/>
      <c r="K105" s="594" t="n"/>
      <c r="L105" s="595" t="n"/>
      <c r="N105" s="594" t="n"/>
      <c r="O105" s="595" t="n"/>
      <c r="Q105" s="594" t="n"/>
      <c r="R105" s="595" t="n"/>
      <c r="T105" s="594" t="n"/>
      <c r="U105" s="595" t="n"/>
      <c r="W105" s="594" t="n"/>
      <c r="X105" s="595" t="n"/>
      <c r="Z105" s="594" t="n"/>
      <c r="AA105" s="595" t="n"/>
      <c r="AC105" s="594" t="n"/>
      <c r="AD105" s="595" t="n"/>
      <c r="AF105" s="594" t="n"/>
      <c r="AG105" s="595" t="n"/>
      <c r="AI105" s="594" t="n"/>
      <c r="AJ105" s="595" t="n"/>
      <c r="AL105" s="594" t="n"/>
      <c r="AM105" s="595" t="n"/>
      <c r="AO105" s="594" t="n"/>
      <c r="AP105" s="595" t="n"/>
      <c r="AR105" s="594" t="n"/>
      <c r="AS105" s="595" t="n"/>
    </row>
    <row r="106" ht="15.75" customHeight="1" s="26">
      <c r="B106" s="593" t="n"/>
      <c r="E106" s="594" t="n"/>
      <c r="F106" s="595" t="n"/>
      <c r="H106" s="594" t="n"/>
      <c r="I106" s="595" t="n"/>
      <c r="K106" s="594" t="n"/>
      <c r="L106" s="595" t="n"/>
      <c r="N106" s="594" t="n"/>
      <c r="O106" s="595" t="n"/>
      <c r="Q106" s="594" t="n"/>
      <c r="R106" s="595" t="n"/>
      <c r="T106" s="594" t="n"/>
      <c r="U106" s="595" t="n"/>
      <c r="W106" s="594" t="n"/>
      <c r="X106" s="595" t="n"/>
      <c r="Z106" s="594" t="n"/>
      <c r="AA106" s="595" t="n"/>
      <c r="AC106" s="594" t="n"/>
      <c r="AD106" s="595" t="n"/>
      <c r="AF106" s="594" t="n"/>
      <c r="AG106" s="595" t="n"/>
      <c r="AI106" s="594" t="n"/>
      <c r="AJ106" s="595" t="n"/>
      <c r="AL106" s="594" t="n"/>
      <c r="AM106" s="595" t="n"/>
      <c r="AO106" s="594" t="n"/>
      <c r="AP106" s="595" t="n"/>
      <c r="AR106" s="594" t="n"/>
      <c r="AS106" s="595" t="n"/>
    </row>
    <row r="107" ht="15.75" customHeight="1" s="26">
      <c r="B107" s="593" t="n"/>
      <c r="E107" s="594" t="n"/>
      <c r="F107" s="595" t="n"/>
      <c r="H107" s="594" t="n"/>
      <c r="I107" s="595" t="n"/>
      <c r="K107" s="594" t="n"/>
      <c r="L107" s="595" t="n"/>
      <c r="N107" s="594" t="n"/>
      <c r="O107" s="595" t="n"/>
      <c r="Q107" s="594" t="n"/>
      <c r="R107" s="595" t="n"/>
      <c r="T107" s="594" t="n"/>
      <c r="U107" s="595" t="n"/>
      <c r="W107" s="594" t="n"/>
      <c r="X107" s="595" t="n"/>
      <c r="Z107" s="594" t="n"/>
      <c r="AA107" s="595" t="n"/>
      <c r="AC107" s="594" t="n"/>
      <c r="AD107" s="595" t="n"/>
      <c r="AF107" s="594" t="n"/>
      <c r="AG107" s="595" t="n"/>
      <c r="AI107" s="594" t="n"/>
      <c r="AJ107" s="595" t="n"/>
      <c r="AL107" s="594" t="n"/>
      <c r="AM107" s="595" t="n"/>
      <c r="AO107" s="594" t="n"/>
      <c r="AP107" s="595" t="n"/>
      <c r="AR107" s="594" t="n"/>
      <c r="AS107" s="595" t="n"/>
    </row>
    <row r="108" ht="15.75" customHeight="1" s="26">
      <c r="B108" s="593" t="n"/>
      <c r="E108" s="594" t="n"/>
      <c r="F108" s="595" t="n"/>
      <c r="H108" s="594" t="n"/>
      <c r="I108" s="595" t="n"/>
      <c r="K108" s="594" t="n"/>
      <c r="L108" s="595" t="n"/>
      <c r="N108" s="594" t="n"/>
      <c r="O108" s="595" t="n"/>
      <c r="Q108" s="594" t="n"/>
      <c r="R108" s="595" t="n"/>
      <c r="T108" s="594" t="n"/>
      <c r="U108" s="595" t="n"/>
      <c r="W108" s="594" t="n"/>
      <c r="X108" s="595" t="n"/>
      <c r="Z108" s="594" t="n"/>
      <c r="AA108" s="595" t="n"/>
      <c r="AC108" s="594" t="n"/>
      <c r="AD108" s="595" t="n"/>
      <c r="AF108" s="594" t="n"/>
      <c r="AG108" s="595" t="n"/>
      <c r="AI108" s="594" t="n"/>
      <c r="AJ108" s="595" t="n"/>
      <c r="AL108" s="594" t="n"/>
      <c r="AM108" s="595" t="n"/>
      <c r="AO108" s="594" t="n"/>
      <c r="AP108" s="595" t="n"/>
      <c r="AR108" s="594" t="n"/>
      <c r="AS108" s="595" t="n"/>
    </row>
    <row r="109" ht="15.75" customHeight="1" s="26">
      <c r="B109" s="593" t="n"/>
      <c r="E109" s="594" t="n"/>
      <c r="F109" s="595" t="n"/>
      <c r="H109" s="594" t="n"/>
      <c r="I109" s="595" t="n"/>
      <c r="K109" s="594" t="n"/>
      <c r="L109" s="595" t="n"/>
      <c r="N109" s="594" t="n"/>
      <c r="O109" s="595" t="n"/>
      <c r="Q109" s="594" t="n"/>
      <c r="R109" s="595" t="n"/>
      <c r="T109" s="594" t="n"/>
      <c r="U109" s="595" t="n"/>
      <c r="W109" s="594" t="n"/>
      <c r="X109" s="595" t="n"/>
      <c r="Z109" s="594" t="n"/>
      <c r="AA109" s="595" t="n"/>
      <c r="AC109" s="594" t="n"/>
      <c r="AD109" s="595" t="n"/>
      <c r="AF109" s="594" t="n"/>
      <c r="AG109" s="595" t="n"/>
      <c r="AI109" s="594" t="n"/>
      <c r="AJ109" s="595" t="n"/>
      <c r="AL109" s="594" t="n"/>
      <c r="AM109" s="595" t="n"/>
      <c r="AO109" s="594" t="n"/>
      <c r="AP109" s="595" t="n"/>
      <c r="AR109" s="594" t="n"/>
      <c r="AS109" s="595" t="n"/>
    </row>
    <row r="110" ht="15.75" customHeight="1" s="26">
      <c r="B110" s="593" t="n"/>
      <c r="E110" s="594" t="n"/>
      <c r="F110" s="595" t="n"/>
      <c r="H110" s="594" t="n"/>
      <c r="I110" s="595" t="n"/>
      <c r="K110" s="594" t="n"/>
      <c r="L110" s="595" t="n"/>
      <c r="N110" s="594" t="n"/>
      <c r="O110" s="595" t="n"/>
      <c r="Q110" s="594" t="n"/>
      <c r="R110" s="595" t="n"/>
      <c r="T110" s="594" t="n"/>
      <c r="U110" s="595" t="n"/>
      <c r="W110" s="594" t="n"/>
      <c r="X110" s="595" t="n"/>
      <c r="Z110" s="594" t="n"/>
      <c r="AA110" s="595" t="n"/>
      <c r="AC110" s="594" t="n"/>
      <c r="AD110" s="595" t="n"/>
      <c r="AF110" s="594" t="n"/>
      <c r="AG110" s="595" t="n"/>
      <c r="AI110" s="594" t="n"/>
      <c r="AJ110" s="595" t="n"/>
      <c r="AL110" s="594" t="n"/>
      <c r="AM110" s="595" t="n"/>
      <c r="AO110" s="594" t="n"/>
      <c r="AP110" s="595" t="n"/>
      <c r="AR110" s="594" t="n"/>
      <c r="AS110" s="595" t="n"/>
    </row>
    <row r="111" ht="15.75" customHeight="1" s="26">
      <c r="B111" s="593" t="n"/>
      <c r="E111" s="594" t="n"/>
      <c r="F111" s="595" t="n"/>
      <c r="H111" s="594" t="n"/>
      <c r="I111" s="595" t="n"/>
      <c r="K111" s="594" t="n"/>
      <c r="L111" s="595" t="n"/>
      <c r="N111" s="594" t="n"/>
      <c r="O111" s="595" t="n"/>
      <c r="Q111" s="594" t="n"/>
      <c r="R111" s="595" t="n"/>
      <c r="T111" s="594" t="n"/>
      <c r="U111" s="595" t="n"/>
      <c r="W111" s="594" t="n"/>
      <c r="X111" s="595" t="n"/>
      <c r="Z111" s="594" t="n"/>
      <c r="AA111" s="595" t="n"/>
      <c r="AC111" s="594" t="n"/>
      <c r="AD111" s="595" t="n"/>
      <c r="AF111" s="594" t="n"/>
      <c r="AG111" s="595" t="n"/>
      <c r="AI111" s="594" t="n"/>
      <c r="AJ111" s="595" t="n"/>
      <c r="AL111" s="594" t="n"/>
      <c r="AM111" s="595" t="n"/>
      <c r="AO111" s="594" t="n"/>
      <c r="AP111" s="595" t="n"/>
      <c r="AR111" s="594" t="n"/>
      <c r="AS111" s="595" t="n"/>
    </row>
    <row r="112" ht="15.75" customHeight="1" s="26">
      <c r="B112" s="593" t="n"/>
      <c r="E112" s="594" t="n"/>
      <c r="F112" s="595" t="n"/>
      <c r="H112" s="594" t="n"/>
      <c r="I112" s="595" t="n"/>
      <c r="K112" s="594" t="n"/>
      <c r="L112" s="595" t="n"/>
      <c r="N112" s="594" t="n"/>
      <c r="O112" s="595" t="n"/>
      <c r="Q112" s="594" t="n"/>
      <c r="R112" s="595" t="n"/>
      <c r="T112" s="594" t="n"/>
      <c r="U112" s="595" t="n"/>
      <c r="W112" s="594" t="n"/>
      <c r="X112" s="595" t="n"/>
      <c r="Z112" s="594" t="n"/>
      <c r="AA112" s="595" t="n"/>
      <c r="AC112" s="594" t="n"/>
      <c r="AD112" s="595" t="n"/>
      <c r="AF112" s="594" t="n"/>
      <c r="AG112" s="595" t="n"/>
      <c r="AI112" s="594" t="n"/>
      <c r="AJ112" s="595" t="n"/>
      <c r="AL112" s="594" t="n"/>
      <c r="AM112" s="595" t="n"/>
      <c r="AO112" s="594" t="n"/>
      <c r="AP112" s="595" t="n"/>
      <c r="AR112" s="594" t="n"/>
      <c r="AS112" s="595" t="n"/>
    </row>
    <row r="113" ht="15.75" customHeight="1" s="26">
      <c r="B113" s="593" t="n"/>
      <c r="E113" s="594" t="n"/>
      <c r="F113" s="595" t="n"/>
      <c r="H113" s="594" t="n"/>
      <c r="I113" s="595" t="n"/>
      <c r="K113" s="594" t="n"/>
      <c r="L113" s="595" t="n"/>
      <c r="N113" s="594" t="n"/>
      <c r="O113" s="595" t="n"/>
      <c r="Q113" s="594" t="n"/>
      <c r="R113" s="595" t="n"/>
      <c r="T113" s="594" t="n"/>
      <c r="U113" s="595" t="n"/>
      <c r="W113" s="594" t="n"/>
      <c r="X113" s="595" t="n"/>
      <c r="Z113" s="594" t="n"/>
      <c r="AA113" s="595" t="n"/>
      <c r="AC113" s="594" t="n"/>
      <c r="AD113" s="595" t="n"/>
      <c r="AF113" s="594" t="n"/>
      <c r="AG113" s="595" t="n"/>
      <c r="AI113" s="594" t="n"/>
      <c r="AJ113" s="595" t="n"/>
      <c r="AL113" s="594" t="n"/>
      <c r="AM113" s="595" t="n"/>
      <c r="AO113" s="594" t="n"/>
      <c r="AP113" s="595" t="n"/>
      <c r="AR113" s="594" t="n"/>
      <c r="AS113" s="595" t="n"/>
    </row>
    <row r="114" ht="15.75" customHeight="1" s="26">
      <c r="B114" s="593" t="n"/>
      <c r="E114" s="594" t="n"/>
      <c r="F114" s="595" t="n"/>
      <c r="H114" s="594" t="n"/>
      <c r="I114" s="595" t="n"/>
      <c r="K114" s="594" t="n"/>
      <c r="L114" s="595" t="n"/>
      <c r="N114" s="594" t="n"/>
      <c r="O114" s="595" t="n"/>
      <c r="Q114" s="594" t="n"/>
      <c r="R114" s="595" t="n"/>
      <c r="T114" s="594" t="n"/>
      <c r="U114" s="595" t="n"/>
      <c r="W114" s="594" t="n"/>
      <c r="X114" s="595" t="n"/>
      <c r="Z114" s="594" t="n"/>
      <c r="AA114" s="595" t="n"/>
      <c r="AC114" s="594" t="n"/>
      <c r="AD114" s="595" t="n"/>
      <c r="AF114" s="594" t="n"/>
      <c r="AG114" s="595" t="n"/>
      <c r="AI114" s="594" t="n"/>
      <c r="AJ114" s="595" t="n"/>
      <c r="AL114" s="594" t="n"/>
      <c r="AM114" s="595" t="n"/>
      <c r="AO114" s="594" t="n"/>
      <c r="AP114" s="595" t="n"/>
      <c r="AR114" s="594" t="n"/>
      <c r="AS114" s="595" t="n"/>
    </row>
    <row r="115" ht="15.75" customHeight="1" s="26">
      <c r="B115" s="593" t="n"/>
      <c r="E115" s="594" t="n"/>
      <c r="F115" s="595" t="n"/>
      <c r="H115" s="594" t="n"/>
      <c r="I115" s="595" t="n"/>
      <c r="K115" s="594" t="n"/>
      <c r="L115" s="595" t="n"/>
      <c r="N115" s="594" t="n"/>
      <c r="O115" s="595" t="n"/>
      <c r="Q115" s="594" t="n"/>
      <c r="R115" s="595" t="n"/>
      <c r="T115" s="594" t="n"/>
      <c r="U115" s="595" t="n"/>
      <c r="W115" s="594" t="n"/>
      <c r="X115" s="595" t="n"/>
      <c r="Z115" s="594" t="n"/>
      <c r="AA115" s="595" t="n"/>
      <c r="AC115" s="594" t="n"/>
      <c r="AD115" s="595" t="n"/>
      <c r="AF115" s="594" t="n"/>
      <c r="AG115" s="595" t="n"/>
      <c r="AI115" s="594" t="n"/>
      <c r="AJ115" s="595" t="n"/>
      <c r="AL115" s="594" t="n"/>
      <c r="AM115" s="595" t="n"/>
      <c r="AO115" s="594" t="n"/>
      <c r="AP115" s="595" t="n"/>
      <c r="AR115" s="594" t="n"/>
      <c r="AS115" s="595" t="n"/>
    </row>
    <row r="116" ht="15.75" customHeight="1" s="26">
      <c r="B116" s="593" t="n"/>
      <c r="E116" s="594" t="n"/>
      <c r="F116" s="595" t="n"/>
      <c r="H116" s="594" t="n"/>
      <c r="I116" s="595" t="n"/>
      <c r="K116" s="594" t="n"/>
      <c r="L116" s="595" t="n"/>
      <c r="N116" s="594" t="n"/>
      <c r="O116" s="595" t="n"/>
      <c r="Q116" s="594" t="n"/>
      <c r="R116" s="595" t="n"/>
      <c r="T116" s="594" t="n"/>
      <c r="U116" s="595" t="n"/>
      <c r="W116" s="594" t="n"/>
      <c r="X116" s="595" t="n"/>
      <c r="Z116" s="594" t="n"/>
      <c r="AA116" s="595" t="n"/>
      <c r="AC116" s="594" t="n"/>
      <c r="AD116" s="595" t="n"/>
      <c r="AF116" s="594" t="n"/>
      <c r="AG116" s="595" t="n"/>
      <c r="AI116" s="594" t="n"/>
      <c r="AJ116" s="595" t="n"/>
      <c r="AL116" s="594" t="n"/>
      <c r="AM116" s="595" t="n"/>
      <c r="AO116" s="594" t="n"/>
      <c r="AP116" s="595" t="n"/>
      <c r="AR116" s="594" t="n"/>
      <c r="AS116" s="595" t="n"/>
    </row>
    <row r="117" ht="15.75" customHeight="1" s="26">
      <c r="B117" s="593" t="n"/>
      <c r="E117" s="594" t="n"/>
      <c r="F117" s="595" t="n"/>
      <c r="H117" s="594" t="n"/>
      <c r="I117" s="595" t="n"/>
      <c r="K117" s="594" t="n"/>
      <c r="L117" s="595" t="n"/>
      <c r="N117" s="594" t="n"/>
      <c r="O117" s="595" t="n"/>
      <c r="Q117" s="594" t="n"/>
      <c r="R117" s="595" t="n"/>
      <c r="T117" s="594" t="n"/>
      <c r="U117" s="595" t="n"/>
      <c r="W117" s="594" t="n"/>
      <c r="X117" s="595" t="n"/>
      <c r="Z117" s="594" t="n"/>
      <c r="AA117" s="595" t="n"/>
      <c r="AC117" s="594" t="n"/>
      <c r="AD117" s="595" t="n"/>
      <c r="AF117" s="594" t="n"/>
      <c r="AG117" s="595" t="n"/>
      <c r="AI117" s="594" t="n"/>
      <c r="AJ117" s="595" t="n"/>
      <c r="AL117" s="594" t="n"/>
      <c r="AM117" s="595" t="n"/>
      <c r="AO117" s="594" t="n"/>
      <c r="AP117" s="595" t="n"/>
      <c r="AR117" s="594" t="n"/>
      <c r="AS117" s="595" t="n"/>
    </row>
    <row r="118" ht="15.75" customHeight="1" s="26">
      <c r="B118" s="593" t="n"/>
      <c r="E118" s="594" t="n"/>
      <c r="F118" s="595" t="n"/>
      <c r="H118" s="594" t="n"/>
      <c r="I118" s="595" t="n"/>
      <c r="K118" s="594" t="n"/>
      <c r="L118" s="595" t="n"/>
      <c r="N118" s="594" t="n"/>
      <c r="O118" s="595" t="n"/>
      <c r="Q118" s="594" t="n"/>
      <c r="R118" s="595" t="n"/>
      <c r="T118" s="594" t="n"/>
      <c r="U118" s="595" t="n"/>
      <c r="W118" s="594" t="n"/>
      <c r="X118" s="595" t="n"/>
      <c r="Z118" s="594" t="n"/>
      <c r="AA118" s="595" t="n"/>
      <c r="AC118" s="594" t="n"/>
      <c r="AD118" s="595" t="n"/>
      <c r="AF118" s="594" t="n"/>
      <c r="AG118" s="595" t="n"/>
      <c r="AI118" s="594" t="n"/>
      <c r="AJ118" s="595" t="n"/>
      <c r="AL118" s="594" t="n"/>
      <c r="AM118" s="595" t="n"/>
      <c r="AO118" s="594" t="n"/>
      <c r="AP118" s="595" t="n"/>
      <c r="AR118" s="594" t="n"/>
      <c r="AS118" s="595" t="n"/>
    </row>
    <row r="119" ht="15.75" customHeight="1" s="26">
      <c r="B119" s="593" t="n"/>
      <c r="E119" s="594" t="n"/>
      <c r="F119" s="595" t="n"/>
      <c r="H119" s="594" t="n"/>
      <c r="I119" s="595" t="n"/>
      <c r="K119" s="594" t="n"/>
      <c r="L119" s="595" t="n"/>
      <c r="N119" s="594" t="n"/>
      <c r="O119" s="595" t="n"/>
      <c r="Q119" s="594" t="n"/>
      <c r="R119" s="595" t="n"/>
      <c r="T119" s="594" t="n"/>
      <c r="U119" s="595" t="n"/>
      <c r="W119" s="594" t="n"/>
      <c r="X119" s="595" t="n"/>
      <c r="Z119" s="594" t="n"/>
      <c r="AA119" s="595" t="n"/>
      <c r="AC119" s="594" t="n"/>
      <c r="AD119" s="595" t="n"/>
      <c r="AF119" s="594" t="n"/>
      <c r="AG119" s="595" t="n"/>
      <c r="AI119" s="594" t="n"/>
      <c r="AJ119" s="595" t="n"/>
      <c r="AL119" s="594" t="n"/>
      <c r="AM119" s="595" t="n"/>
      <c r="AO119" s="594" t="n"/>
      <c r="AP119" s="595" t="n"/>
      <c r="AR119" s="594" t="n"/>
      <c r="AS119" s="595" t="n"/>
    </row>
    <row r="120" ht="15.75" customHeight="1" s="26">
      <c r="B120" s="593" t="n"/>
      <c r="E120" s="594" t="n"/>
      <c r="F120" s="595" t="n"/>
      <c r="H120" s="594" t="n"/>
      <c r="I120" s="595" t="n"/>
      <c r="K120" s="594" t="n"/>
      <c r="L120" s="595" t="n"/>
      <c r="N120" s="594" t="n"/>
      <c r="O120" s="595" t="n"/>
      <c r="Q120" s="594" t="n"/>
      <c r="R120" s="595" t="n"/>
      <c r="T120" s="594" t="n"/>
      <c r="U120" s="595" t="n"/>
      <c r="W120" s="594" t="n"/>
      <c r="X120" s="595" t="n"/>
      <c r="Z120" s="594" t="n"/>
      <c r="AA120" s="595" t="n"/>
      <c r="AC120" s="594" t="n"/>
      <c r="AD120" s="595" t="n"/>
      <c r="AF120" s="594" t="n"/>
      <c r="AG120" s="595" t="n"/>
      <c r="AI120" s="594" t="n"/>
      <c r="AJ120" s="595" t="n"/>
      <c r="AL120" s="594" t="n"/>
      <c r="AM120" s="595" t="n"/>
      <c r="AO120" s="594" t="n"/>
      <c r="AP120" s="595" t="n"/>
      <c r="AR120" s="594" t="n"/>
      <c r="AS120" s="595" t="n"/>
    </row>
    <row r="121" ht="15.75" customHeight="1" s="26">
      <c r="B121" s="593" t="n"/>
      <c r="E121" s="594" t="n"/>
      <c r="F121" s="595" t="n"/>
      <c r="H121" s="594" t="n"/>
      <c r="I121" s="595" t="n"/>
      <c r="K121" s="594" t="n"/>
      <c r="L121" s="595" t="n"/>
      <c r="N121" s="594" t="n"/>
      <c r="O121" s="595" t="n"/>
      <c r="Q121" s="594" t="n"/>
      <c r="R121" s="595" t="n"/>
      <c r="T121" s="594" t="n"/>
      <c r="U121" s="595" t="n"/>
      <c r="W121" s="594" t="n"/>
      <c r="X121" s="595" t="n"/>
      <c r="Z121" s="594" t="n"/>
      <c r="AA121" s="595" t="n"/>
      <c r="AC121" s="594" t="n"/>
      <c r="AD121" s="595" t="n"/>
      <c r="AF121" s="594" t="n"/>
      <c r="AG121" s="595" t="n"/>
      <c r="AI121" s="594" t="n"/>
      <c r="AJ121" s="595" t="n"/>
      <c r="AL121" s="594" t="n"/>
      <c r="AM121" s="595" t="n"/>
      <c r="AO121" s="594" t="n"/>
      <c r="AP121" s="595" t="n"/>
      <c r="AR121" s="594" t="n"/>
      <c r="AS121" s="595" t="n"/>
    </row>
    <row r="122" ht="15.75" customHeight="1" s="26">
      <c r="B122" s="593" t="n"/>
      <c r="E122" s="594" t="n"/>
      <c r="F122" s="595" t="n"/>
      <c r="H122" s="594" t="n"/>
      <c r="I122" s="595" t="n"/>
      <c r="K122" s="594" t="n"/>
      <c r="L122" s="595" t="n"/>
      <c r="N122" s="594" t="n"/>
      <c r="O122" s="595" t="n"/>
      <c r="Q122" s="594" t="n"/>
      <c r="R122" s="595" t="n"/>
      <c r="T122" s="594" t="n"/>
      <c r="U122" s="595" t="n"/>
      <c r="W122" s="594" t="n"/>
      <c r="X122" s="595" t="n"/>
      <c r="Z122" s="594" t="n"/>
      <c r="AA122" s="595" t="n"/>
      <c r="AC122" s="594" t="n"/>
      <c r="AD122" s="595" t="n"/>
      <c r="AF122" s="594" t="n"/>
      <c r="AG122" s="595" t="n"/>
      <c r="AI122" s="594" t="n"/>
      <c r="AJ122" s="595" t="n"/>
      <c r="AL122" s="594" t="n"/>
      <c r="AM122" s="595" t="n"/>
      <c r="AO122" s="594" t="n"/>
      <c r="AP122" s="595" t="n"/>
      <c r="AR122" s="594" t="n"/>
      <c r="AS122" s="595" t="n"/>
    </row>
    <row r="123" ht="15.75" customHeight="1" s="26">
      <c r="B123" s="593" t="n"/>
      <c r="E123" s="594" t="n"/>
      <c r="F123" s="595" t="n"/>
      <c r="H123" s="594" t="n"/>
      <c r="I123" s="595" t="n"/>
      <c r="K123" s="594" t="n"/>
      <c r="L123" s="595" t="n"/>
      <c r="N123" s="594" t="n"/>
      <c r="O123" s="595" t="n"/>
      <c r="Q123" s="594" t="n"/>
      <c r="R123" s="595" t="n"/>
      <c r="T123" s="594" t="n"/>
      <c r="U123" s="595" t="n"/>
      <c r="W123" s="594" t="n"/>
      <c r="X123" s="595" t="n"/>
      <c r="Z123" s="594" t="n"/>
      <c r="AA123" s="595" t="n"/>
      <c r="AC123" s="594" t="n"/>
      <c r="AD123" s="595" t="n"/>
      <c r="AF123" s="594" t="n"/>
      <c r="AG123" s="595" t="n"/>
      <c r="AI123" s="594" t="n"/>
      <c r="AJ123" s="595" t="n"/>
      <c r="AL123" s="594" t="n"/>
      <c r="AM123" s="595" t="n"/>
      <c r="AO123" s="594" t="n"/>
      <c r="AP123" s="595" t="n"/>
      <c r="AR123" s="594" t="n"/>
      <c r="AS123" s="595" t="n"/>
    </row>
    <row r="124" ht="15.75" customHeight="1" s="26">
      <c r="B124" s="593" t="n"/>
      <c r="E124" s="594" t="n"/>
      <c r="F124" s="595" t="n"/>
      <c r="H124" s="594" t="n"/>
      <c r="I124" s="595" t="n"/>
      <c r="K124" s="594" t="n"/>
      <c r="L124" s="595" t="n"/>
      <c r="N124" s="594" t="n"/>
      <c r="O124" s="595" t="n"/>
      <c r="Q124" s="594" t="n"/>
      <c r="R124" s="595" t="n"/>
      <c r="T124" s="594" t="n"/>
      <c r="U124" s="595" t="n"/>
      <c r="W124" s="594" t="n"/>
      <c r="X124" s="595" t="n"/>
      <c r="Z124" s="594" t="n"/>
      <c r="AA124" s="595" t="n"/>
      <c r="AC124" s="594" t="n"/>
      <c r="AD124" s="595" t="n"/>
      <c r="AF124" s="594" t="n"/>
      <c r="AG124" s="595" t="n"/>
      <c r="AI124" s="594" t="n"/>
      <c r="AJ124" s="595" t="n"/>
      <c r="AL124" s="594" t="n"/>
      <c r="AM124" s="595" t="n"/>
      <c r="AO124" s="594" t="n"/>
      <c r="AP124" s="595" t="n"/>
      <c r="AR124" s="594" t="n"/>
      <c r="AS124" s="595" t="n"/>
    </row>
    <row r="125" ht="15.75" customHeight="1" s="26">
      <c r="B125" s="593" t="n"/>
      <c r="E125" s="594" t="n"/>
      <c r="F125" s="595" t="n"/>
      <c r="H125" s="594" t="n"/>
      <c r="I125" s="595" t="n"/>
      <c r="K125" s="594" t="n"/>
      <c r="L125" s="595" t="n"/>
      <c r="N125" s="594" t="n"/>
      <c r="O125" s="595" t="n"/>
      <c r="Q125" s="594" t="n"/>
      <c r="R125" s="595" t="n"/>
      <c r="T125" s="594" t="n"/>
      <c r="U125" s="595" t="n"/>
      <c r="W125" s="594" t="n"/>
      <c r="X125" s="595" t="n"/>
      <c r="Z125" s="594" t="n"/>
      <c r="AA125" s="595" t="n"/>
      <c r="AC125" s="594" t="n"/>
      <c r="AD125" s="595" t="n"/>
      <c r="AF125" s="594" t="n"/>
      <c r="AG125" s="595" t="n"/>
      <c r="AI125" s="594" t="n"/>
      <c r="AJ125" s="595" t="n"/>
      <c r="AL125" s="594" t="n"/>
      <c r="AM125" s="595" t="n"/>
      <c r="AO125" s="594" t="n"/>
      <c r="AP125" s="595" t="n"/>
      <c r="AR125" s="594" t="n"/>
      <c r="AS125" s="595" t="n"/>
    </row>
    <row r="126" ht="15.75" customHeight="1" s="26">
      <c r="B126" s="593" t="n"/>
      <c r="E126" s="594" t="n"/>
      <c r="F126" s="595" t="n"/>
      <c r="H126" s="594" t="n"/>
      <c r="I126" s="595" t="n"/>
      <c r="K126" s="594" t="n"/>
      <c r="L126" s="595" t="n"/>
      <c r="N126" s="594" t="n"/>
      <c r="O126" s="595" t="n"/>
      <c r="Q126" s="594" t="n"/>
      <c r="R126" s="595" t="n"/>
      <c r="T126" s="594" t="n"/>
      <c r="U126" s="595" t="n"/>
      <c r="W126" s="594" t="n"/>
      <c r="X126" s="595" t="n"/>
      <c r="Z126" s="594" t="n"/>
      <c r="AA126" s="595" t="n"/>
      <c r="AC126" s="594" t="n"/>
      <c r="AD126" s="595" t="n"/>
      <c r="AF126" s="594" t="n"/>
      <c r="AG126" s="595" t="n"/>
      <c r="AI126" s="594" t="n"/>
      <c r="AJ126" s="595" t="n"/>
      <c r="AL126" s="594" t="n"/>
      <c r="AM126" s="595" t="n"/>
      <c r="AO126" s="594" t="n"/>
      <c r="AP126" s="595" t="n"/>
      <c r="AR126" s="594" t="n"/>
      <c r="AS126" s="595" t="n"/>
    </row>
    <row r="127" ht="15.75" customHeight="1" s="26">
      <c r="B127" s="593" t="n"/>
      <c r="E127" s="594" t="n"/>
      <c r="F127" s="595" t="n"/>
      <c r="H127" s="594" t="n"/>
      <c r="I127" s="595" t="n"/>
      <c r="K127" s="594" t="n"/>
      <c r="L127" s="595" t="n"/>
      <c r="N127" s="594" t="n"/>
      <c r="O127" s="595" t="n"/>
      <c r="Q127" s="594" t="n"/>
      <c r="R127" s="595" t="n"/>
      <c r="T127" s="594" t="n"/>
      <c r="U127" s="595" t="n"/>
      <c r="W127" s="594" t="n"/>
      <c r="X127" s="595" t="n"/>
      <c r="Z127" s="594" t="n"/>
      <c r="AA127" s="595" t="n"/>
      <c r="AC127" s="594" t="n"/>
      <c r="AD127" s="595" t="n"/>
      <c r="AF127" s="594" t="n"/>
      <c r="AG127" s="595" t="n"/>
      <c r="AI127" s="594" t="n"/>
      <c r="AJ127" s="595" t="n"/>
      <c r="AL127" s="594" t="n"/>
      <c r="AM127" s="595" t="n"/>
      <c r="AO127" s="594" t="n"/>
      <c r="AP127" s="595" t="n"/>
      <c r="AR127" s="594" t="n"/>
      <c r="AS127" s="595" t="n"/>
    </row>
    <row r="128" ht="15.75" customHeight="1" s="26">
      <c r="B128" s="593" t="n"/>
      <c r="E128" s="594" t="n"/>
      <c r="F128" s="595" t="n"/>
      <c r="H128" s="594" t="n"/>
      <c r="I128" s="595" t="n"/>
      <c r="K128" s="594" t="n"/>
      <c r="L128" s="595" t="n"/>
      <c r="N128" s="594" t="n"/>
      <c r="O128" s="595" t="n"/>
      <c r="Q128" s="594" t="n"/>
      <c r="R128" s="595" t="n"/>
      <c r="T128" s="594" t="n"/>
      <c r="U128" s="595" t="n"/>
      <c r="W128" s="594" t="n"/>
      <c r="X128" s="595" t="n"/>
      <c r="Z128" s="594" t="n"/>
      <c r="AA128" s="595" t="n"/>
      <c r="AC128" s="594" t="n"/>
      <c r="AD128" s="595" t="n"/>
      <c r="AF128" s="594" t="n"/>
      <c r="AG128" s="595" t="n"/>
      <c r="AI128" s="594" t="n"/>
      <c r="AJ128" s="595" t="n"/>
      <c r="AL128" s="594" t="n"/>
      <c r="AM128" s="595" t="n"/>
      <c r="AO128" s="594" t="n"/>
      <c r="AP128" s="595" t="n"/>
      <c r="AR128" s="594" t="n"/>
      <c r="AS128" s="595" t="n"/>
    </row>
    <row r="129" ht="15.75" customHeight="1" s="26">
      <c r="B129" s="593" t="n"/>
      <c r="E129" s="594" t="n"/>
      <c r="F129" s="595" t="n"/>
      <c r="H129" s="594" t="n"/>
      <c r="I129" s="595" t="n"/>
      <c r="K129" s="594" t="n"/>
      <c r="L129" s="595" t="n"/>
      <c r="N129" s="594" t="n"/>
      <c r="O129" s="595" t="n"/>
      <c r="Q129" s="594" t="n"/>
      <c r="R129" s="595" t="n"/>
      <c r="T129" s="594" t="n"/>
      <c r="U129" s="595" t="n"/>
      <c r="W129" s="594" t="n"/>
      <c r="X129" s="595" t="n"/>
      <c r="Z129" s="594" t="n"/>
      <c r="AA129" s="595" t="n"/>
      <c r="AC129" s="594" t="n"/>
      <c r="AD129" s="595" t="n"/>
      <c r="AF129" s="594" t="n"/>
      <c r="AG129" s="595" t="n"/>
      <c r="AI129" s="594" t="n"/>
      <c r="AJ129" s="595" t="n"/>
      <c r="AL129" s="594" t="n"/>
      <c r="AM129" s="595" t="n"/>
      <c r="AO129" s="594" t="n"/>
      <c r="AP129" s="595" t="n"/>
      <c r="AR129" s="594" t="n"/>
      <c r="AS129" s="595" t="n"/>
    </row>
    <row r="130" ht="15.75" customHeight="1" s="26">
      <c r="B130" s="593" t="n"/>
      <c r="E130" s="594" t="n"/>
      <c r="F130" s="595" t="n"/>
      <c r="H130" s="594" t="n"/>
      <c r="I130" s="595" t="n"/>
      <c r="K130" s="594" t="n"/>
      <c r="L130" s="595" t="n"/>
      <c r="N130" s="594" t="n"/>
      <c r="O130" s="595" t="n"/>
      <c r="Q130" s="594" t="n"/>
      <c r="R130" s="595" t="n"/>
      <c r="T130" s="594" t="n"/>
      <c r="U130" s="595" t="n"/>
      <c r="W130" s="594" t="n"/>
      <c r="X130" s="595" t="n"/>
      <c r="Z130" s="594" t="n"/>
      <c r="AA130" s="595" t="n"/>
      <c r="AC130" s="594" t="n"/>
      <c r="AD130" s="595" t="n"/>
      <c r="AF130" s="594" t="n"/>
      <c r="AG130" s="595" t="n"/>
      <c r="AI130" s="594" t="n"/>
      <c r="AJ130" s="595" t="n"/>
      <c r="AL130" s="594" t="n"/>
      <c r="AM130" s="595" t="n"/>
      <c r="AO130" s="594" t="n"/>
      <c r="AP130" s="595" t="n"/>
      <c r="AR130" s="594" t="n"/>
      <c r="AS130" s="595" t="n"/>
    </row>
    <row r="131" ht="15.75" customHeight="1" s="26">
      <c r="B131" s="593" t="n"/>
      <c r="E131" s="594" t="n"/>
      <c r="F131" s="595" t="n"/>
      <c r="H131" s="594" t="n"/>
      <c r="I131" s="595" t="n"/>
      <c r="K131" s="594" t="n"/>
      <c r="L131" s="595" t="n"/>
      <c r="N131" s="594" t="n"/>
      <c r="O131" s="595" t="n"/>
      <c r="Q131" s="594" t="n"/>
      <c r="R131" s="595" t="n"/>
      <c r="T131" s="594" t="n"/>
      <c r="U131" s="595" t="n"/>
      <c r="W131" s="594" t="n"/>
      <c r="X131" s="595" t="n"/>
      <c r="Z131" s="594" t="n"/>
      <c r="AA131" s="595" t="n"/>
      <c r="AC131" s="594" t="n"/>
      <c r="AD131" s="595" t="n"/>
      <c r="AF131" s="594" t="n"/>
      <c r="AG131" s="595" t="n"/>
      <c r="AI131" s="594" t="n"/>
      <c r="AJ131" s="595" t="n"/>
      <c r="AL131" s="594" t="n"/>
      <c r="AM131" s="595" t="n"/>
      <c r="AO131" s="594" t="n"/>
      <c r="AP131" s="595" t="n"/>
      <c r="AR131" s="594" t="n"/>
      <c r="AS131" s="595" t="n"/>
    </row>
    <row r="132" ht="15.75" customHeight="1" s="26">
      <c r="B132" s="593" t="n"/>
      <c r="E132" s="594" t="n"/>
      <c r="F132" s="595" t="n"/>
      <c r="H132" s="594" t="n"/>
      <c r="I132" s="595" t="n"/>
      <c r="K132" s="594" t="n"/>
      <c r="L132" s="595" t="n"/>
      <c r="N132" s="594" t="n"/>
      <c r="O132" s="595" t="n"/>
      <c r="Q132" s="594" t="n"/>
      <c r="R132" s="595" t="n"/>
      <c r="T132" s="594" t="n"/>
      <c r="U132" s="595" t="n"/>
      <c r="W132" s="594" t="n"/>
      <c r="X132" s="595" t="n"/>
      <c r="Z132" s="594" t="n"/>
      <c r="AA132" s="595" t="n"/>
      <c r="AC132" s="594" t="n"/>
      <c r="AD132" s="595" t="n"/>
      <c r="AF132" s="594" t="n"/>
      <c r="AG132" s="595" t="n"/>
      <c r="AI132" s="594" t="n"/>
      <c r="AJ132" s="595" t="n"/>
      <c r="AL132" s="594" t="n"/>
      <c r="AM132" s="595" t="n"/>
      <c r="AO132" s="594" t="n"/>
      <c r="AP132" s="595" t="n"/>
      <c r="AR132" s="594" t="n"/>
      <c r="AS132" s="595" t="n"/>
    </row>
    <row r="133" ht="15.75" customHeight="1" s="26">
      <c r="B133" s="593" t="n"/>
      <c r="E133" s="594" t="n"/>
      <c r="F133" s="595" t="n"/>
      <c r="H133" s="594" t="n"/>
      <c r="I133" s="595" t="n"/>
      <c r="K133" s="594" t="n"/>
      <c r="L133" s="595" t="n"/>
      <c r="N133" s="594" t="n"/>
      <c r="O133" s="595" t="n"/>
      <c r="Q133" s="594" t="n"/>
      <c r="R133" s="595" t="n"/>
      <c r="T133" s="594" t="n"/>
      <c r="U133" s="595" t="n"/>
      <c r="W133" s="594" t="n"/>
      <c r="X133" s="595" t="n"/>
      <c r="Z133" s="594" t="n"/>
      <c r="AA133" s="595" t="n"/>
      <c r="AC133" s="594" t="n"/>
      <c r="AD133" s="595" t="n"/>
      <c r="AF133" s="594" t="n"/>
      <c r="AG133" s="595" t="n"/>
      <c r="AI133" s="594" t="n"/>
      <c r="AJ133" s="595" t="n"/>
      <c r="AL133" s="594" t="n"/>
      <c r="AM133" s="595" t="n"/>
      <c r="AO133" s="594" t="n"/>
      <c r="AP133" s="595" t="n"/>
      <c r="AR133" s="594" t="n"/>
      <c r="AS133" s="595" t="n"/>
    </row>
    <row r="134" ht="15.75" customHeight="1" s="26">
      <c r="B134" s="593" t="n"/>
      <c r="E134" s="594" t="n"/>
      <c r="F134" s="595" t="n"/>
      <c r="H134" s="594" t="n"/>
      <c r="I134" s="595" t="n"/>
      <c r="K134" s="594" t="n"/>
      <c r="L134" s="595" t="n"/>
      <c r="N134" s="594" t="n"/>
      <c r="O134" s="595" t="n"/>
      <c r="Q134" s="594" t="n"/>
      <c r="R134" s="595" t="n"/>
      <c r="T134" s="594" t="n"/>
      <c r="U134" s="595" t="n"/>
      <c r="W134" s="594" t="n"/>
      <c r="X134" s="595" t="n"/>
      <c r="Z134" s="594" t="n"/>
      <c r="AA134" s="595" t="n"/>
      <c r="AC134" s="594" t="n"/>
      <c r="AD134" s="595" t="n"/>
      <c r="AF134" s="594" t="n"/>
      <c r="AG134" s="595" t="n"/>
      <c r="AI134" s="594" t="n"/>
      <c r="AJ134" s="595" t="n"/>
      <c r="AL134" s="594" t="n"/>
      <c r="AM134" s="595" t="n"/>
      <c r="AO134" s="594" t="n"/>
      <c r="AP134" s="595" t="n"/>
      <c r="AR134" s="594" t="n"/>
      <c r="AS134" s="595" t="n"/>
    </row>
    <row r="135" ht="15.75" customHeight="1" s="26">
      <c r="B135" s="593" t="n"/>
      <c r="E135" s="594" t="n"/>
      <c r="F135" s="595" t="n"/>
      <c r="H135" s="594" t="n"/>
      <c r="I135" s="595" t="n"/>
      <c r="K135" s="594" t="n"/>
      <c r="L135" s="595" t="n"/>
      <c r="N135" s="594" t="n"/>
      <c r="O135" s="595" t="n"/>
      <c r="Q135" s="594" t="n"/>
      <c r="R135" s="595" t="n"/>
      <c r="T135" s="594" t="n"/>
      <c r="U135" s="595" t="n"/>
      <c r="W135" s="594" t="n"/>
      <c r="X135" s="595" t="n"/>
      <c r="Z135" s="594" t="n"/>
      <c r="AA135" s="595" t="n"/>
      <c r="AC135" s="594" t="n"/>
      <c r="AD135" s="595" t="n"/>
      <c r="AF135" s="594" t="n"/>
      <c r="AG135" s="595" t="n"/>
      <c r="AI135" s="594" t="n"/>
      <c r="AJ135" s="595" t="n"/>
      <c r="AL135" s="594" t="n"/>
      <c r="AM135" s="595" t="n"/>
      <c r="AO135" s="594" t="n"/>
      <c r="AP135" s="595" t="n"/>
      <c r="AR135" s="594" t="n"/>
      <c r="AS135" s="595" t="n"/>
    </row>
    <row r="136" ht="15.75" customHeight="1" s="26">
      <c r="B136" s="593" t="n"/>
      <c r="E136" s="594" t="n"/>
      <c r="F136" s="595" t="n"/>
      <c r="H136" s="594" t="n"/>
      <c r="I136" s="595" t="n"/>
      <c r="K136" s="594" t="n"/>
      <c r="L136" s="595" t="n"/>
      <c r="N136" s="594" t="n"/>
      <c r="O136" s="595" t="n"/>
      <c r="Q136" s="594" t="n"/>
      <c r="R136" s="595" t="n"/>
      <c r="T136" s="594" t="n"/>
      <c r="U136" s="595" t="n"/>
      <c r="W136" s="594" t="n"/>
      <c r="X136" s="595" t="n"/>
      <c r="Z136" s="594" t="n"/>
      <c r="AA136" s="595" t="n"/>
      <c r="AC136" s="594" t="n"/>
      <c r="AD136" s="595" t="n"/>
      <c r="AF136" s="594" t="n"/>
      <c r="AG136" s="595" t="n"/>
      <c r="AI136" s="594" t="n"/>
      <c r="AJ136" s="595" t="n"/>
      <c r="AL136" s="594" t="n"/>
      <c r="AM136" s="595" t="n"/>
      <c r="AO136" s="594" t="n"/>
      <c r="AP136" s="595" t="n"/>
      <c r="AR136" s="594" t="n"/>
      <c r="AS136" s="595" t="n"/>
    </row>
    <row r="137" ht="15.75" customHeight="1" s="26">
      <c r="B137" s="593" t="n"/>
      <c r="E137" s="594" t="n"/>
      <c r="F137" s="595" t="n"/>
      <c r="H137" s="594" t="n"/>
      <c r="I137" s="595" t="n"/>
      <c r="K137" s="594" t="n"/>
      <c r="L137" s="595" t="n"/>
      <c r="N137" s="594" t="n"/>
      <c r="O137" s="595" t="n"/>
      <c r="Q137" s="594" t="n"/>
      <c r="R137" s="595" t="n"/>
      <c r="T137" s="594" t="n"/>
      <c r="U137" s="595" t="n"/>
      <c r="W137" s="594" t="n"/>
      <c r="X137" s="595" t="n"/>
      <c r="Z137" s="594" t="n"/>
      <c r="AA137" s="595" t="n"/>
      <c r="AC137" s="594" t="n"/>
      <c r="AD137" s="595" t="n"/>
      <c r="AF137" s="594" t="n"/>
      <c r="AG137" s="595" t="n"/>
      <c r="AI137" s="594" t="n"/>
      <c r="AJ137" s="595" t="n"/>
      <c r="AL137" s="594" t="n"/>
      <c r="AM137" s="595" t="n"/>
      <c r="AO137" s="594" t="n"/>
      <c r="AP137" s="595" t="n"/>
      <c r="AR137" s="594" t="n"/>
      <c r="AS137" s="595" t="n"/>
    </row>
    <row r="138" ht="15.75" customHeight="1" s="26">
      <c r="B138" s="593" t="n"/>
      <c r="E138" s="594" t="n"/>
      <c r="F138" s="595" t="n"/>
      <c r="H138" s="594" t="n"/>
      <c r="I138" s="595" t="n"/>
      <c r="K138" s="594" t="n"/>
      <c r="L138" s="595" t="n"/>
      <c r="N138" s="594" t="n"/>
      <c r="O138" s="595" t="n"/>
      <c r="Q138" s="594" t="n"/>
      <c r="R138" s="595" t="n"/>
      <c r="T138" s="594" t="n"/>
      <c r="U138" s="595" t="n"/>
      <c r="W138" s="594" t="n"/>
      <c r="X138" s="595" t="n"/>
      <c r="Z138" s="594" t="n"/>
      <c r="AA138" s="595" t="n"/>
      <c r="AC138" s="594" t="n"/>
      <c r="AD138" s="595" t="n"/>
      <c r="AF138" s="594" t="n"/>
      <c r="AG138" s="595" t="n"/>
      <c r="AI138" s="594" t="n"/>
      <c r="AJ138" s="595" t="n"/>
      <c r="AL138" s="594" t="n"/>
      <c r="AM138" s="595" t="n"/>
      <c r="AO138" s="594" t="n"/>
      <c r="AP138" s="595" t="n"/>
      <c r="AR138" s="594" t="n"/>
      <c r="AS138" s="595" t="n"/>
    </row>
    <row r="139" ht="15.75" customHeight="1" s="26">
      <c r="B139" s="593" t="n"/>
      <c r="E139" s="594" t="n"/>
      <c r="F139" s="595" t="n"/>
      <c r="H139" s="594" t="n"/>
      <c r="I139" s="595" t="n"/>
      <c r="K139" s="594" t="n"/>
      <c r="L139" s="595" t="n"/>
      <c r="N139" s="594" t="n"/>
      <c r="O139" s="595" t="n"/>
      <c r="Q139" s="594" t="n"/>
      <c r="R139" s="595" t="n"/>
      <c r="T139" s="594" t="n"/>
      <c r="U139" s="595" t="n"/>
      <c r="W139" s="594" t="n"/>
      <c r="X139" s="595" t="n"/>
      <c r="Z139" s="594" t="n"/>
      <c r="AA139" s="595" t="n"/>
      <c r="AC139" s="594" t="n"/>
      <c r="AD139" s="595" t="n"/>
      <c r="AF139" s="594" t="n"/>
      <c r="AG139" s="595" t="n"/>
      <c r="AI139" s="594" t="n"/>
      <c r="AJ139" s="595" t="n"/>
      <c r="AL139" s="594" t="n"/>
      <c r="AM139" s="595" t="n"/>
      <c r="AO139" s="594" t="n"/>
      <c r="AP139" s="595" t="n"/>
      <c r="AR139" s="594" t="n"/>
      <c r="AS139" s="595" t="n"/>
    </row>
    <row r="140" ht="15.75" customHeight="1" s="26">
      <c r="B140" s="593" t="n"/>
      <c r="E140" s="594" t="n"/>
      <c r="F140" s="595" t="n"/>
      <c r="H140" s="594" t="n"/>
      <c r="I140" s="595" t="n"/>
      <c r="K140" s="594" t="n"/>
      <c r="L140" s="595" t="n"/>
      <c r="N140" s="594" t="n"/>
      <c r="O140" s="595" t="n"/>
      <c r="Q140" s="594" t="n"/>
      <c r="R140" s="595" t="n"/>
      <c r="T140" s="594" t="n"/>
      <c r="U140" s="595" t="n"/>
      <c r="W140" s="594" t="n"/>
      <c r="X140" s="595" t="n"/>
      <c r="Z140" s="594" t="n"/>
      <c r="AA140" s="595" t="n"/>
      <c r="AC140" s="594" t="n"/>
      <c r="AD140" s="595" t="n"/>
      <c r="AF140" s="594" t="n"/>
      <c r="AG140" s="595" t="n"/>
      <c r="AI140" s="594" t="n"/>
      <c r="AJ140" s="595" t="n"/>
      <c r="AL140" s="594" t="n"/>
      <c r="AM140" s="595" t="n"/>
      <c r="AO140" s="594" t="n"/>
      <c r="AP140" s="595" t="n"/>
      <c r="AR140" s="594" t="n"/>
      <c r="AS140" s="595" t="n"/>
    </row>
    <row r="141" ht="15.75" customHeight="1" s="26">
      <c r="B141" s="593" t="n"/>
      <c r="E141" s="594" t="n"/>
      <c r="F141" s="595" t="n"/>
      <c r="H141" s="594" t="n"/>
      <c r="I141" s="595" t="n"/>
      <c r="K141" s="594" t="n"/>
      <c r="L141" s="595" t="n"/>
      <c r="N141" s="594" t="n"/>
      <c r="O141" s="595" t="n"/>
      <c r="Q141" s="594" t="n"/>
      <c r="R141" s="595" t="n"/>
      <c r="T141" s="594" t="n"/>
      <c r="U141" s="595" t="n"/>
      <c r="W141" s="594" t="n"/>
      <c r="X141" s="595" t="n"/>
      <c r="Z141" s="594" t="n"/>
      <c r="AA141" s="595" t="n"/>
      <c r="AC141" s="594" t="n"/>
      <c r="AD141" s="595" t="n"/>
      <c r="AF141" s="594" t="n"/>
      <c r="AG141" s="595" t="n"/>
      <c r="AI141" s="594" t="n"/>
      <c r="AJ141" s="595" t="n"/>
      <c r="AL141" s="594" t="n"/>
      <c r="AM141" s="595" t="n"/>
      <c r="AO141" s="594" t="n"/>
      <c r="AP141" s="595" t="n"/>
      <c r="AR141" s="594" t="n"/>
      <c r="AS141" s="595" t="n"/>
    </row>
    <row r="142" ht="15.75" customHeight="1" s="26">
      <c r="B142" s="593" t="n"/>
      <c r="E142" s="594" t="n"/>
      <c r="F142" s="595" t="n"/>
      <c r="H142" s="594" t="n"/>
      <c r="I142" s="595" t="n"/>
      <c r="K142" s="594" t="n"/>
      <c r="L142" s="595" t="n"/>
      <c r="N142" s="594" t="n"/>
      <c r="O142" s="595" t="n"/>
      <c r="Q142" s="594" t="n"/>
      <c r="R142" s="595" t="n"/>
      <c r="T142" s="594" t="n"/>
      <c r="U142" s="595" t="n"/>
      <c r="W142" s="594" t="n"/>
      <c r="X142" s="595" t="n"/>
      <c r="Z142" s="594" t="n"/>
      <c r="AA142" s="595" t="n"/>
      <c r="AC142" s="594" t="n"/>
      <c r="AD142" s="595" t="n"/>
      <c r="AF142" s="594" t="n"/>
      <c r="AG142" s="595" t="n"/>
      <c r="AI142" s="594" t="n"/>
      <c r="AJ142" s="595" t="n"/>
      <c r="AL142" s="594" t="n"/>
      <c r="AM142" s="595" t="n"/>
      <c r="AO142" s="594" t="n"/>
      <c r="AP142" s="595" t="n"/>
      <c r="AR142" s="594" t="n"/>
      <c r="AS142" s="595" t="n"/>
    </row>
    <row r="143" ht="15.75" customHeight="1" s="26">
      <c r="B143" s="593" t="n"/>
      <c r="E143" s="594" t="n"/>
      <c r="F143" s="595" t="n"/>
      <c r="H143" s="594" t="n"/>
      <c r="I143" s="595" t="n"/>
      <c r="K143" s="594" t="n"/>
      <c r="L143" s="595" t="n"/>
      <c r="N143" s="594" t="n"/>
      <c r="O143" s="595" t="n"/>
      <c r="Q143" s="594" t="n"/>
      <c r="R143" s="595" t="n"/>
      <c r="T143" s="594" t="n"/>
      <c r="U143" s="595" t="n"/>
      <c r="W143" s="594" t="n"/>
      <c r="X143" s="595" t="n"/>
      <c r="Z143" s="594" t="n"/>
      <c r="AA143" s="595" t="n"/>
      <c r="AC143" s="594" t="n"/>
      <c r="AD143" s="595" t="n"/>
      <c r="AF143" s="594" t="n"/>
      <c r="AG143" s="595" t="n"/>
      <c r="AI143" s="594" t="n"/>
      <c r="AJ143" s="595" t="n"/>
      <c r="AL143" s="594" t="n"/>
      <c r="AM143" s="595" t="n"/>
      <c r="AO143" s="594" t="n"/>
      <c r="AP143" s="595" t="n"/>
      <c r="AR143" s="594" t="n"/>
      <c r="AS143" s="595" t="n"/>
    </row>
    <row r="144" ht="15.75" customHeight="1" s="26">
      <c r="B144" s="593" t="n"/>
      <c r="E144" s="594" t="n"/>
      <c r="F144" s="595" t="n"/>
      <c r="H144" s="594" t="n"/>
      <c r="I144" s="595" t="n"/>
      <c r="K144" s="594" t="n"/>
      <c r="L144" s="595" t="n"/>
      <c r="N144" s="594" t="n"/>
      <c r="O144" s="595" t="n"/>
      <c r="Q144" s="594" t="n"/>
      <c r="R144" s="595" t="n"/>
      <c r="T144" s="594" t="n"/>
      <c r="U144" s="595" t="n"/>
      <c r="W144" s="594" t="n"/>
      <c r="X144" s="595" t="n"/>
      <c r="Z144" s="594" t="n"/>
      <c r="AA144" s="595" t="n"/>
      <c r="AC144" s="594" t="n"/>
      <c r="AD144" s="595" t="n"/>
      <c r="AF144" s="594" t="n"/>
      <c r="AG144" s="595" t="n"/>
      <c r="AI144" s="594" t="n"/>
      <c r="AJ144" s="595" t="n"/>
      <c r="AL144" s="594" t="n"/>
      <c r="AM144" s="595" t="n"/>
      <c r="AO144" s="594" t="n"/>
      <c r="AP144" s="595" t="n"/>
      <c r="AR144" s="594" t="n"/>
      <c r="AS144" s="595" t="n"/>
    </row>
    <row r="145" ht="15.75" customHeight="1" s="26">
      <c r="B145" s="593" t="n"/>
      <c r="E145" s="594" t="n"/>
      <c r="F145" s="595" t="n"/>
      <c r="H145" s="594" t="n"/>
      <c r="I145" s="595" t="n"/>
      <c r="K145" s="594" t="n"/>
      <c r="L145" s="595" t="n"/>
      <c r="N145" s="594" t="n"/>
      <c r="O145" s="595" t="n"/>
      <c r="Q145" s="594" t="n"/>
      <c r="R145" s="595" t="n"/>
      <c r="T145" s="594" t="n"/>
      <c r="U145" s="595" t="n"/>
      <c r="W145" s="594" t="n"/>
      <c r="X145" s="595" t="n"/>
      <c r="Z145" s="594" t="n"/>
      <c r="AA145" s="595" t="n"/>
      <c r="AC145" s="594" t="n"/>
      <c r="AD145" s="595" t="n"/>
      <c r="AF145" s="594" t="n"/>
      <c r="AG145" s="595" t="n"/>
      <c r="AI145" s="594" t="n"/>
      <c r="AJ145" s="595" t="n"/>
      <c r="AL145" s="594" t="n"/>
      <c r="AM145" s="595" t="n"/>
      <c r="AO145" s="594" t="n"/>
      <c r="AP145" s="595" t="n"/>
      <c r="AR145" s="594" t="n"/>
      <c r="AS145" s="595" t="n"/>
    </row>
    <row r="146" ht="15.75" customHeight="1" s="26">
      <c r="B146" s="593" t="n"/>
      <c r="E146" s="594" t="n"/>
      <c r="F146" s="595" t="n"/>
      <c r="H146" s="594" t="n"/>
      <c r="I146" s="595" t="n"/>
      <c r="K146" s="594" t="n"/>
      <c r="L146" s="595" t="n"/>
      <c r="N146" s="594" t="n"/>
      <c r="O146" s="595" t="n"/>
      <c r="Q146" s="594" t="n"/>
      <c r="R146" s="595" t="n"/>
      <c r="T146" s="594" t="n"/>
      <c r="U146" s="595" t="n"/>
      <c r="W146" s="594" t="n"/>
      <c r="X146" s="595" t="n"/>
      <c r="Z146" s="594" t="n"/>
      <c r="AA146" s="595" t="n"/>
      <c r="AC146" s="594" t="n"/>
      <c r="AD146" s="595" t="n"/>
      <c r="AF146" s="594" t="n"/>
      <c r="AG146" s="595" t="n"/>
      <c r="AI146" s="594" t="n"/>
      <c r="AJ146" s="595" t="n"/>
      <c r="AL146" s="594" t="n"/>
      <c r="AM146" s="595" t="n"/>
      <c r="AO146" s="594" t="n"/>
      <c r="AP146" s="595" t="n"/>
      <c r="AR146" s="594" t="n"/>
      <c r="AS146" s="595" t="n"/>
    </row>
    <row r="147" ht="15.75" customHeight="1" s="26">
      <c r="B147" s="593" t="n"/>
      <c r="E147" s="594" t="n"/>
      <c r="F147" s="595" t="n"/>
      <c r="H147" s="594" t="n"/>
      <c r="I147" s="595" t="n"/>
      <c r="K147" s="594" t="n"/>
      <c r="L147" s="595" t="n"/>
      <c r="N147" s="594" t="n"/>
      <c r="O147" s="595" t="n"/>
      <c r="Q147" s="594" t="n"/>
      <c r="R147" s="595" t="n"/>
      <c r="T147" s="594" t="n"/>
      <c r="U147" s="595" t="n"/>
      <c r="W147" s="594" t="n"/>
      <c r="X147" s="595" t="n"/>
      <c r="Z147" s="594" t="n"/>
      <c r="AA147" s="595" t="n"/>
      <c r="AC147" s="594" t="n"/>
      <c r="AD147" s="595" t="n"/>
      <c r="AF147" s="594" t="n"/>
      <c r="AG147" s="595" t="n"/>
      <c r="AI147" s="594" t="n"/>
      <c r="AJ147" s="595" t="n"/>
      <c r="AL147" s="594" t="n"/>
      <c r="AM147" s="595" t="n"/>
      <c r="AO147" s="594" t="n"/>
      <c r="AP147" s="595" t="n"/>
      <c r="AR147" s="594" t="n"/>
      <c r="AS147" s="595" t="n"/>
    </row>
    <row r="148" ht="15.75" customHeight="1" s="26">
      <c r="B148" s="593" t="n"/>
      <c r="E148" s="594" t="n"/>
      <c r="F148" s="595" t="n"/>
      <c r="H148" s="594" t="n"/>
      <c r="I148" s="595" t="n"/>
      <c r="K148" s="594" t="n"/>
      <c r="L148" s="595" t="n"/>
      <c r="N148" s="594" t="n"/>
      <c r="O148" s="595" t="n"/>
      <c r="Q148" s="594" t="n"/>
      <c r="R148" s="595" t="n"/>
      <c r="T148" s="594" t="n"/>
      <c r="U148" s="595" t="n"/>
      <c r="W148" s="594" t="n"/>
      <c r="X148" s="595" t="n"/>
      <c r="Z148" s="594" t="n"/>
      <c r="AA148" s="595" t="n"/>
      <c r="AC148" s="594" t="n"/>
      <c r="AD148" s="595" t="n"/>
      <c r="AF148" s="594" t="n"/>
      <c r="AG148" s="595" t="n"/>
      <c r="AI148" s="594" t="n"/>
      <c r="AJ148" s="595" t="n"/>
      <c r="AL148" s="594" t="n"/>
      <c r="AM148" s="595" t="n"/>
      <c r="AO148" s="594" t="n"/>
      <c r="AP148" s="595" t="n"/>
      <c r="AR148" s="594" t="n"/>
      <c r="AS148" s="595" t="n"/>
    </row>
    <row r="149" ht="15.75" customHeight="1" s="26">
      <c r="B149" s="593" t="n"/>
      <c r="E149" s="594" t="n"/>
      <c r="F149" s="595" t="n"/>
      <c r="H149" s="594" t="n"/>
      <c r="I149" s="595" t="n"/>
      <c r="K149" s="594" t="n"/>
      <c r="L149" s="595" t="n"/>
      <c r="N149" s="594" t="n"/>
      <c r="O149" s="595" t="n"/>
      <c r="Q149" s="594" t="n"/>
      <c r="R149" s="595" t="n"/>
      <c r="T149" s="594" t="n"/>
      <c r="U149" s="595" t="n"/>
      <c r="W149" s="594" t="n"/>
      <c r="X149" s="595" t="n"/>
      <c r="Z149" s="594" t="n"/>
      <c r="AA149" s="595" t="n"/>
      <c r="AC149" s="594" t="n"/>
      <c r="AD149" s="595" t="n"/>
      <c r="AF149" s="594" t="n"/>
      <c r="AG149" s="595" t="n"/>
      <c r="AI149" s="594" t="n"/>
      <c r="AJ149" s="595" t="n"/>
      <c r="AL149" s="594" t="n"/>
      <c r="AM149" s="595" t="n"/>
      <c r="AO149" s="594" t="n"/>
      <c r="AP149" s="595" t="n"/>
      <c r="AR149" s="594" t="n"/>
      <c r="AS149" s="595" t="n"/>
    </row>
    <row r="150" ht="15.75" customHeight="1" s="26">
      <c r="B150" s="593" t="n"/>
      <c r="E150" s="594" t="n"/>
      <c r="F150" s="595" t="n"/>
      <c r="H150" s="594" t="n"/>
      <c r="I150" s="595" t="n"/>
      <c r="K150" s="594" t="n"/>
      <c r="L150" s="595" t="n"/>
      <c r="N150" s="594" t="n"/>
      <c r="O150" s="595" t="n"/>
      <c r="Q150" s="594" t="n"/>
      <c r="R150" s="595" t="n"/>
      <c r="T150" s="594" t="n"/>
      <c r="U150" s="595" t="n"/>
      <c r="W150" s="594" t="n"/>
      <c r="X150" s="595" t="n"/>
      <c r="Z150" s="594" t="n"/>
      <c r="AA150" s="595" t="n"/>
      <c r="AC150" s="594" t="n"/>
      <c r="AD150" s="595" t="n"/>
      <c r="AF150" s="594" t="n"/>
      <c r="AG150" s="595" t="n"/>
      <c r="AI150" s="594" t="n"/>
      <c r="AJ150" s="595" t="n"/>
      <c r="AL150" s="594" t="n"/>
      <c r="AM150" s="595" t="n"/>
      <c r="AO150" s="594" t="n"/>
      <c r="AP150" s="595" t="n"/>
      <c r="AR150" s="594" t="n"/>
      <c r="AS150" s="595" t="n"/>
    </row>
    <row r="151" ht="15.75" customHeight="1" s="26">
      <c r="B151" s="593" t="n"/>
      <c r="E151" s="594" t="n"/>
      <c r="F151" s="595" t="n"/>
      <c r="H151" s="594" t="n"/>
      <c r="I151" s="595" t="n"/>
      <c r="K151" s="594" t="n"/>
      <c r="L151" s="595" t="n"/>
      <c r="N151" s="594" t="n"/>
      <c r="O151" s="595" t="n"/>
      <c r="Q151" s="594" t="n"/>
      <c r="R151" s="595" t="n"/>
      <c r="T151" s="594" t="n"/>
      <c r="U151" s="595" t="n"/>
      <c r="W151" s="594" t="n"/>
      <c r="X151" s="595" t="n"/>
      <c r="Z151" s="594" t="n"/>
      <c r="AA151" s="595" t="n"/>
      <c r="AC151" s="594" t="n"/>
      <c r="AD151" s="595" t="n"/>
      <c r="AF151" s="594" t="n"/>
      <c r="AG151" s="595" t="n"/>
      <c r="AI151" s="594" t="n"/>
      <c r="AJ151" s="595" t="n"/>
      <c r="AL151" s="594" t="n"/>
      <c r="AM151" s="595" t="n"/>
      <c r="AO151" s="594" t="n"/>
      <c r="AP151" s="595" t="n"/>
      <c r="AR151" s="594" t="n"/>
      <c r="AS151" s="595" t="n"/>
    </row>
    <row r="152" ht="15.75" customHeight="1" s="26">
      <c r="B152" s="593" t="n"/>
      <c r="E152" s="594" t="n"/>
      <c r="F152" s="595" t="n"/>
      <c r="H152" s="594" t="n"/>
      <c r="I152" s="595" t="n"/>
      <c r="K152" s="594" t="n"/>
      <c r="L152" s="595" t="n"/>
      <c r="N152" s="594" t="n"/>
      <c r="O152" s="595" t="n"/>
      <c r="Q152" s="594" t="n"/>
      <c r="R152" s="595" t="n"/>
      <c r="T152" s="594" t="n"/>
      <c r="U152" s="595" t="n"/>
      <c r="W152" s="594" t="n"/>
      <c r="X152" s="595" t="n"/>
      <c r="Z152" s="594" t="n"/>
      <c r="AA152" s="595" t="n"/>
      <c r="AC152" s="594" t="n"/>
      <c r="AD152" s="595" t="n"/>
      <c r="AF152" s="594" t="n"/>
      <c r="AG152" s="595" t="n"/>
      <c r="AI152" s="594" t="n"/>
      <c r="AJ152" s="595" t="n"/>
      <c r="AL152" s="594" t="n"/>
      <c r="AM152" s="595" t="n"/>
      <c r="AO152" s="594" t="n"/>
      <c r="AP152" s="595" t="n"/>
      <c r="AR152" s="594" t="n"/>
      <c r="AS152" s="595" t="n"/>
    </row>
    <row r="153" ht="15.75" customHeight="1" s="26">
      <c r="B153" s="593" t="n"/>
      <c r="E153" s="594" t="n"/>
      <c r="F153" s="595" t="n"/>
      <c r="H153" s="594" t="n"/>
      <c r="I153" s="595" t="n"/>
      <c r="K153" s="594" t="n"/>
      <c r="L153" s="595" t="n"/>
      <c r="N153" s="594" t="n"/>
      <c r="O153" s="595" t="n"/>
      <c r="Q153" s="594" t="n"/>
      <c r="R153" s="595" t="n"/>
      <c r="T153" s="594" t="n"/>
      <c r="U153" s="595" t="n"/>
      <c r="W153" s="594" t="n"/>
      <c r="X153" s="595" t="n"/>
      <c r="Z153" s="594" t="n"/>
      <c r="AA153" s="595" t="n"/>
      <c r="AC153" s="594" t="n"/>
      <c r="AD153" s="595" t="n"/>
      <c r="AF153" s="594" t="n"/>
      <c r="AG153" s="595" t="n"/>
      <c r="AI153" s="594" t="n"/>
      <c r="AJ153" s="595" t="n"/>
      <c r="AL153" s="594" t="n"/>
      <c r="AM153" s="595" t="n"/>
      <c r="AO153" s="594" t="n"/>
      <c r="AP153" s="595" t="n"/>
      <c r="AR153" s="594" t="n"/>
      <c r="AS153" s="595" t="n"/>
    </row>
    <row r="154" ht="15.75" customHeight="1" s="26">
      <c r="B154" s="593" t="n"/>
      <c r="E154" s="594" t="n"/>
      <c r="F154" s="595" t="n"/>
      <c r="H154" s="594" t="n"/>
      <c r="I154" s="595" t="n"/>
      <c r="K154" s="594" t="n"/>
      <c r="L154" s="595" t="n"/>
      <c r="N154" s="594" t="n"/>
      <c r="O154" s="595" t="n"/>
      <c r="Q154" s="594" t="n"/>
      <c r="R154" s="595" t="n"/>
      <c r="T154" s="594" t="n"/>
      <c r="U154" s="595" t="n"/>
      <c r="W154" s="594" t="n"/>
      <c r="X154" s="595" t="n"/>
      <c r="Z154" s="594" t="n"/>
      <c r="AA154" s="595" t="n"/>
      <c r="AC154" s="594" t="n"/>
      <c r="AD154" s="595" t="n"/>
      <c r="AF154" s="594" t="n"/>
      <c r="AG154" s="595" t="n"/>
      <c r="AI154" s="594" t="n"/>
      <c r="AJ154" s="595" t="n"/>
      <c r="AL154" s="594" t="n"/>
      <c r="AM154" s="595" t="n"/>
      <c r="AO154" s="594" t="n"/>
      <c r="AP154" s="595" t="n"/>
      <c r="AR154" s="594" t="n"/>
      <c r="AS154" s="595" t="n"/>
    </row>
    <row r="155" ht="15.75" customHeight="1" s="26">
      <c r="B155" s="593" t="n"/>
      <c r="E155" s="594" t="n"/>
      <c r="F155" s="595" t="n"/>
      <c r="H155" s="594" t="n"/>
      <c r="I155" s="595" t="n"/>
      <c r="K155" s="594" t="n"/>
      <c r="L155" s="595" t="n"/>
      <c r="N155" s="594" t="n"/>
      <c r="O155" s="595" t="n"/>
      <c r="Q155" s="594" t="n"/>
      <c r="R155" s="595" t="n"/>
      <c r="T155" s="594" t="n"/>
      <c r="U155" s="595" t="n"/>
      <c r="W155" s="594" t="n"/>
      <c r="X155" s="595" t="n"/>
      <c r="Z155" s="594" t="n"/>
      <c r="AA155" s="595" t="n"/>
      <c r="AC155" s="594" t="n"/>
      <c r="AD155" s="595" t="n"/>
      <c r="AF155" s="594" t="n"/>
      <c r="AG155" s="595" t="n"/>
      <c r="AI155" s="594" t="n"/>
      <c r="AJ155" s="595" t="n"/>
      <c r="AL155" s="594" t="n"/>
      <c r="AM155" s="595" t="n"/>
      <c r="AO155" s="594" t="n"/>
      <c r="AP155" s="595" t="n"/>
      <c r="AR155" s="594" t="n"/>
      <c r="AS155" s="595" t="n"/>
    </row>
    <row r="156" ht="15.75" customHeight="1" s="26">
      <c r="B156" s="593" t="n"/>
      <c r="E156" s="594" t="n"/>
      <c r="F156" s="595" t="n"/>
      <c r="H156" s="594" t="n"/>
      <c r="I156" s="595" t="n"/>
      <c r="K156" s="594" t="n"/>
      <c r="L156" s="595" t="n"/>
      <c r="N156" s="594" t="n"/>
      <c r="O156" s="595" t="n"/>
      <c r="Q156" s="594" t="n"/>
      <c r="R156" s="595" t="n"/>
      <c r="T156" s="594" t="n"/>
      <c r="U156" s="595" t="n"/>
      <c r="W156" s="594" t="n"/>
      <c r="X156" s="595" t="n"/>
      <c r="Z156" s="594" t="n"/>
      <c r="AA156" s="595" t="n"/>
      <c r="AC156" s="594" t="n"/>
      <c r="AD156" s="595" t="n"/>
      <c r="AF156" s="594" t="n"/>
      <c r="AG156" s="595" t="n"/>
      <c r="AI156" s="594" t="n"/>
      <c r="AJ156" s="595" t="n"/>
      <c r="AL156" s="594" t="n"/>
      <c r="AM156" s="595" t="n"/>
      <c r="AO156" s="594" t="n"/>
      <c r="AP156" s="595" t="n"/>
      <c r="AR156" s="594" t="n"/>
      <c r="AS156" s="595" t="n"/>
    </row>
    <row r="157" ht="15.75" customHeight="1" s="26">
      <c r="B157" s="593" t="n"/>
      <c r="E157" s="594" t="n"/>
      <c r="F157" s="595" t="n"/>
      <c r="H157" s="594" t="n"/>
      <c r="I157" s="595" t="n"/>
      <c r="K157" s="594" t="n"/>
      <c r="L157" s="595" t="n"/>
      <c r="N157" s="594" t="n"/>
      <c r="O157" s="595" t="n"/>
      <c r="Q157" s="594" t="n"/>
      <c r="R157" s="595" t="n"/>
      <c r="T157" s="594" t="n"/>
      <c r="U157" s="595" t="n"/>
      <c r="W157" s="594" t="n"/>
      <c r="X157" s="595" t="n"/>
      <c r="Z157" s="594" t="n"/>
      <c r="AA157" s="595" t="n"/>
      <c r="AC157" s="594" t="n"/>
      <c r="AD157" s="595" t="n"/>
      <c r="AF157" s="594" t="n"/>
      <c r="AG157" s="595" t="n"/>
      <c r="AI157" s="594" t="n"/>
      <c r="AJ157" s="595" t="n"/>
      <c r="AL157" s="594" t="n"/>
      <c r="AM157" s="595" t="n"/>
      <c r="AO157" s="594" t="n"/>
      <c r="AP157" s="595" t="n"/>
      <c r="AR157" s="594" t="n"/>
      <c r="AS157" s="595" t="n"/>
    </row>
    <row r="158" ht="15.75" customHeight="1" s="26">
      <c r="B158" s="593" t="n"/>
      <c r="E158" s="594" t="n"/>
      <c r="F158" s="595" t="n"/>
      <c r="H158" s="594" t="n"/>
      <c r="I158" s="595" t="n"/>
      <c r="K158" s="594" t="n"/>
      <c r="L158" s="595" t="n"/>
      <c r="N158" s="594" t="n"/>
      <c r="O158" s="595" t="n"/>
      <c r="Q158" s="594" t="n"/>
      <c r="R158" s="595" t="n"/>
      <c r="T158" s="594" t="n"/>
      <c r="U158" s="595" t="n"/>
      <c r="W158" s="594" t="n"/>
      <c r="X158" s="595" t="n"/>
      <c r="Z158" s="594" t="n"/>
      <c r="AA158" s="595" t="n"/>
      <c r="AC158" s="594" t="n"/>
      <c r="AD158" s="595" t="n"/>
      <c r="AF158" s="594" t="n"/>
      <c r="AG158" s="595" t="n"/>
      <c r="AI158" s="594" t="n"/>
      <c r="AJ158" s="595" t="n"/>
      <c r="AL158" s="594" t="n"/>
      <c r="AM158" s="595" t="n"/>
      <c r="AO158" s="594" t="n"/>
      <c r="AP158" s="595" t="n"/>
      <c r="AR158" s="594" t="n"/>
      <c r="AS158" s="595" t="n"/>
    </row>
    <row r="159" ht="15.75" customHeight="1" s="26">
      <c r="B159" s="593" t="n"/>
      <c r="E159" s="594" t="n"/>
      <c r="F159" s="595" t="n"/>
      <c r="H159" s="594" t="n"/>
      <c r="I159" s="595" t="n"/>
      <c r="K159" s="594" t="n"/>
      <c r="L159" s="595" t="n"/>
      <c r="N159" s="594" t="n"/>
      <c r="O159" s="595" t="n"/>
      <c r="Q159" s="594" t="n"/>
      <c r="R159" s="595" t="n"/>
      <c r="T159" s="594" t="n"/>
      <c r="U159" s="595" t="n"/>
      <c r="W159" s="594" t="n"/>
      <c r="X159" s="595" t="n"/>
      <c r="Z159" s="594" t="n"/>
      <c r="AA159" s="595" t="n"/>
      <c r="AC159" s="594" t="n"/>
      <c r="AD159" s="595" t="n"/>
      <c r="AF159" s="594" t="n"/>
      <c r="AG159" s="595" t="n"/>
      <c r="AI159" s="594" t="n"/>
      <c r="AJ159" s="595" t="n"/>
      <c r="AL159" s="594" t="n"/>
      <c r="AM159" s="595" t="n"/>
      <c r="AO159" s="594" t="n"/>
      <c r="AP159" s="595" t="n"/>
      <c r="AR159" s="594" t="n"/>
      <c r="AS159" s="595" t="n"/>
    </row>
    <row r="160" ht="15.75" customHeight="1" s="26">
      <c r="B160" s="593" t="n"/>
      <c r="E160" s="594" t="n"/>
      <c r="F160" s="595" t="n"/>
      <c r="H160" s="594" t="n"/>
      <c r="I160" s="595" t="n"/>
      <c r="K160" s="594" t="n"/>
      <c r="L160" s="595" t="n"/>
      <c r="N160" s="594" t="n"/>
      <c r="O160" s="595" t="n"/>
      <c r="Q160" s="594" t="n"/>
      <c r="R160" s="595" t="n"/>
      <c r="T160" s="594" t="n"/>
      <c r="U160" s="595" t="n"/>
      <c r="W160" s="594" t="n"/>
      <c r="X160" s="595" t="n"/>
      <c r="Z160" s="594" t="n"/>
      <c r="AA160" s="595" t="n"/>
      <c r="AC160" s="594" t="n"/>
      <c r="AD160" s="595" t="n"/>
      <c r="AF160" s="594" t="n"/>
      <c r="AG160" s="595" t="n"/>
      <c r="AI160" s="594" t="n"/>
      <c r="AJ160" s="595" t="n"/>
      <c r="AL160" s="594" t="n"/>
      <c r="AM160" s="595" t="n"/>
      <c r="AO160" s="594" t="n"/>
      <c r="AP160" s="595" t="n"/>
      <c r="AR160" s="594" t="n"/>
      <c r="AS160" s="595" t="n"/>
    </row>
    <row r="161" ht="15.75" customHeight="1" s="26">
      <c r="B161" s="593" t="n"/>
      <c r="E161" s="594" t="n"/>
      <c r="F161" s="595" t="n"/>
      <c r="H161" s="594" t="n"/>
      <c r="I161" s="595" t="n"/>
      <c r="K161" s="594" t="n"/>
      <c r="L161" s="595" t="n"/>
      <c r="N161" s="594" t="n"/>
      <c r="O161" s="595" t="n"/>
      <c r="Q161" s="594" t="n"/>
      <c r="R161" s="595" t="n"/>
      <c r="T161" s="594" t="n"/>
      <c r="U161" s="595" t="n"/>
      <c r="W161" s="594" t="n"/>
      <c r="X161" s="595" t="n"/>
      <c r="Z161" s="594" t="n"/>
      <c r="AA161" s="595" t="n"/>
      <c r="AC161" s="594" t="n"/>
      <c r="AD161" s="595" t="n"/>
      <c r="AF161" s="594" t="n"/>
      <c r="AG161" s="595" t="n"/>
      <c r="AI161" s="594" t="n"/>
      <c r="AJ161" s="595" t="n"/>
      <c r="AL161" s="594" t="n"/>
      <c r="AM161" s="595" t="n"/>
      <c r="AO161" s="594" t="n"/>
      <c r="AP161" s="595" t="n"/>
      <c r="AR161" s="594" t="n"/>
      <c r="AS161" s="595" t="n"/>
    </row>
    <row r="162" ht="15.75" customHeight="1" s="26">
      <c r="B162" s="593" t="n"/>
      <c r="E162" s="594" t="n"/>
      <c r="F162" s="595" t="n"/>
      <c r="H162" s="594" t="n"/>
      <c r="I162" s="595" t="n"/>
      <c r="K162" s="594" t="n"/>
      <c r="L162" s="595" t="n"/>
      <c r="N162" s="594" t="n"/>
      <c r="O162" s="595" t="n"/>
      <c r="Q162" s="594" t="n"/>
      <c r="R162" s="595" t="n"/>
      <c r="T162" s="594" t="n"/>
      <c r="U162" s="595" t="n"/>
      <c r="W162" s="594" t="n"/>
      <c r="X162" s="595" t="n"/>
      <c r="Z162" s="594" t="n"/>
      <c r="AA162" s="595" t="n"/>
      <c r="AC162" s="594" t="n"/>
      <c r="AD162" s="595" t="n"/>
      <c r="AF162" s="594" t="n"/>
      <c r="AG162" s="595" t="n"/>
      <c r="AI162" s="594" t="n"/>
      <c r="AJ162" s="595" t="n"/>
      <c r="AL162" s="594" t="n"/>
      <c r="AM162" s="595" t="n"/>
      <c r="AO162" s="594" t="n"/>
      <c r="AP162" s="595" t="n"/>
      <c r="AR162" s="594" t="n"/>
      <c r="AS162" s="595" t="n"/>
    </row>
    <row r="163" ht="15.75" customHeight="1" s="26">
      <c r="B163" s="593" t="n"/>
      <c r="E163" s="594" t="n"/>
      <c r="F163" s="595" t="n"/>
      <c r="H163" s="594" t="n"/>
      <c r="I163" s="595" t="n"/>
      <c r="K163" s="594" t="n"/>
      <c r="L163" s="595" t="n"/>
      <c r="N163" s="594" t="n"/>
      <c r="O163" s="595" t="n"/>
      <c r="Q163" s="594" t="n"/>
      <c r="R163" s="595" t="n"/>
      <c r="T163" s="594" t="n"/>
      <c r="U163" s="595" t="n"/>
      <c r="W163" s="594" t="n"/>
      <c r="X163" s="595" t="n"/>
      <c r="Z163" s="594" t="n"/>
      <c r="AA163" s="595" t="n"/>
      <c r="AC163" s="594" t="n"/>
      <c r="AD163" s="595" t="n"/>
      <c r="AF163" s="594" t="n"/>
      <c r="AG163" s="595" t="n"/>
      <c r="AI163" s="594" t="n"/>
      <c r="AJ163" s="595" t="n"/>
      <c r="AL163" s="594" t="n"/>
      <c r="AM163" s="595" t="n"/>
      <c r="AO163" s="594" t="n"/>
      <c r="AP163" s="595" t="n"/>
      <c r="AR163" s="594" t="n"/>
      <c r="AS163" s="595" t="n"/>
    </row>
    <row r="164" ht="15.75" customHeight="1" s="26">
      <c r="B164" s="593" t="n"/>
      <c r="E164" s="594" t="n"/>
      <c r="F164" s="595" t="n"/>
      <c r="H164" s="594" t="n"/>
      <c r="I164" s="595" t="n"/>
      <c r="K164" s="594" t="n"/>
      <c r="L164" s="595" t="n"/>
      <c r="N164" s="594" t="n"/>
      <c r="O164" s="595" t="n"/>
      <c r="Q164" s="594" t="n"/>
      <c r="R164" s="595" t="n"/>
      <c r="T164" s="594" t="n"/>
      <c r="U164" s="595" t="n"/>
      <c r="W164" s="594" t="n"/>
      <c r="X164" s="595" t="n"/>
      <c r="Z164" s="594" t="n"/>
      <c r="AA164" s="595" t="n"/>
      <c r="AC164" s="594" t="n"/>
      <c r="AD164" s="595" t="n"/>
      <c r="AF164" s="594" t="n"/>
      <c r="AG164" s="595" t="n"/>
      <c r="AI164" s="594" t="n"/>
      <c r="AJ164" s="595" t="n"/>
      <c r="AL164" s="594" t="n"/>
      <c r="AM164" s="595" t="n"/>
      <c r="AO164" s="594" t="n"/>
      <c r="AP164" s="595" t="n"/>
      <c r="AR164" s="594" t="n"/>
      <c r="AS164" s="595" t="n"/>
    </row>
    <row r="165" ht="15.75" customHeight="1" s="26">
      <c r="B165" s="593" t="n"/>
      <c r="E165" s="594" t="n"/>
      <c r="F165" s="595" t="n"/>
      <c r="H165" s="594" t="n"/>
      <c r="I165" s="595" t="n"/>
      <c r="K165" s="594" t="n"/>
      <c r="L165" s="595" t="n"/>
      <c r="N165" s="594" t="n"/>
      <c r="O165" s="595" t="n"/>
      <c r="Q165" s="594" t="n"/>
      <c r="R165" s="595" t="n"/>
      <c r="T165" s="594" t="n"/>
      <c r="U165" s="595" t="n"/>
      <c r="W165" s="594" t="n"/>
      <c r="X165" s="595" t="n"/>
      <c r="Z165" s="594" t="n"/>
      <c r="AA165" s="595" t="n"/>
      <c r="AC165" s="594" t="n"/>
      <c r="AD165" s="595" t="n"/>
      <c r="AF165" s="594" t="n"/>
      <c r="AG165" s="595" t="n"/>
      <c r="AI165" s="594" t="n"/>
      <c r="AJ165" s="595" t="n"/>
      <c r="AL165" s="594" t="n"/>
      <c r="AM165" s="595" t="n"/>
      <c r="AO165" s="594" t="n"/>
      <c r="AP165" s="595" t="n"/>
      <c r="AR165" s="594" t="n"/>
      <c r="AS165" s="595" t="n"/>
    </row>
    <row r="166" ht="15.75" customHeight="1" s="26">
      <c r="B166" s="593" t="n"/>
      <c r="E166" s="594" t="n"/>
      <c r="F166" s="595" t="n"/>
      <c r="H166" s="594" t="n"/>
      <c r="I166" s="595" t="n"/>
      <c r="K166" s="594" t="n"/>
      <c r="L166" s="595" t="n"/>
      <c r="N166" s="594" t="n"/>
      <c r="O166" s="595" t="n"/>
      <c r="Q166" s="594" t="n"/>
      <c r="R166" s="595" t="n"/>
      <c r="T166" s="594" t="n"/>
      <c r="U166" s="595" t="n"/>
      <c r="W166" s="594" t="n"/>
      <c r="X166" s="595" t="n"/>
      <c r="Z166" s="594" t="n"/>
      <c r="AA166" s="595" t="n"/>
      <c r="AC166" s="594" t="n"/>
      <c r="AD166" s="595" t="n"/>
      <c r="AF166" s="594" t="n"/>
      <c r="AG166" s="595" t="n"/>
      <c r="AI166" s="594" t="n"/>
      <c r="AJ166" s="595" t="n"/>
      <c r="AL166" s="594" t="n"/>
      <c r="AM166" s="595" t="n"/>
      <c r="AO166" s="594" t="n"/>
      <c r="AP166" s="595" t="n"/>
      <c r="AR166" s="594" t="n"/>
      <c r="AS166" s="595" t="n"/>
    </row>
    <row r="167" ht="15.75" customHeight="1" s="26">
      <c r="B167" s="593" t="n"/>
      <c r="E167" s="594" t="n"/>
      <c r="F167" s="595" t="n"/>
      <c r="H167" s="594" t="n"/>
      <c r="I167" s="595" t="n"/>
      <c r="K167" s="594" t="n"/>
      <c r="L167" s="595" t="n"/>
      <c r="N167" s="594" t="n"/>
      <c r="O167" s="595" t="n"/>
      <c r="Q167" s="594" t="n"/>
      <c r="R167" s="595" t="n"/>
      <c r="T167" s="594" t="n"/>
      <c r="U167" s="595" t="n"/>
      <c r="W167" s="594" t="n"/>
      <c r="X167" s="595" t="n"/>
      <c r="Z167" s="594" t="n"/>
      <c r="AA167" s="595" t="n"/>
      <c r="AC167" s="594" t="n"/>
      <c r="AD167" s="595" t="n"/>
      <c r="AF167" s="594" t="n"/>
      <c r="AG167" s="595" t="n"/>
      <c r="AI167" s="594" t="n"/>
      <c r="AJ167" s="595" t="n"/>
      <c r="AL167" s="594" t="n"/>
      <c r="AM167" s="595" t="n"/>
      <c r="AO167" s="594" t="n"/>
      <c r="AP167" s="595" t="n"/>
      <c r="AR167" s="594" t="n"/>
      <c r="AS167" s="595" t="n"/>
    </row>
    <row r="168" ht="15.75" customHeight="1" s="26">
      <c r="B168" s="593" t="n"/>
      <c r="E168" s="594" t="n"/>
      <c r="F168" s="595" t="n"/>
      <c r="H168" s="594" t="n"/>
      <c r="I168" s="595" t="n"/>
      <c r="K168" s="594" t="n"/>
      <c r="L168" s="595" t="n"/>
      <c r="N168" s="594" t="n"/>
      <c r="O168" s="595" t="n"/>
      <c r="Q168" s="594" t="n"/>
      <c r="R168" s="595" t="n"/>
      <c r="T168" s="594" t="n"/>
      <c r="U168" s="595" t="n"/>
      <c r="W168" s="594" t="n"/>
      <c r="X168" s="595" t="n"/>
      <c r="Z168" s="594" t="n"/>
      <c r="AA168" s="595" t="n"/>
      <c r="AC168" s="594" t="n"/>
      <c r="AD168" s="595" t="n"/>
      <c r="AF168" s="594" t="n"/>
      <c r="AG168" s="595" t="n"/>
      <c r="AI168" s="594" t="n"/>
      <c r="AJ168" s="595" t="n"/>
      <c r="AL168" s="594" t="n"/>
      <c r="AM168" s="595" t="n"/>
      <c r="AO168" s="594" t="n"/>
      <c r="AP168" s="595" t="n"/>
      <c r="AR168" s="594" t="n"/>
      <c r="AS168" s="595" t="n"/>
    </row>
    <row r="169" ht="15.75" customHeight="1" s="26">
      <c r="B169" s="593" t="n"/>
      <c r="E169" s="594" t="n"/>
      <c r="F169" s="595" t="n"/>
      <c r="H169" s="594" t="n"/>
      <c r="I169" s="595" t="n"/>
      <c r="K169" s="594" t="n"/>
      <c r="L169" s="595" t="n"/>
      <c r="N169" s="594" t="n"/>
      <c r="O169" s="595" t="n"/>
      <c r="Q169" s="594" t="n"/>
      <c r="R169" s="595" t="n"/>
      <c r="T169" s="594" t="n"/>
      <c r="U169" s="595" t="n"/>
      <c r="W169" s="594" t="n"/>
      <c r="X169" s="595" t="n"/>
      <c r="Z169" s="594" t="n"/>
      <c r="AA169" s="595" t="n"/>
      <c r="AC169" s="594" t="n"/>
      <c r="AD169" s="595" t="n"/>
      <c r="AF169" s="594" t="n"/>
      <c r="AG169" s="595" t="n"/>
      <c r="AI169" s="594" t="n"/>
      <c r="AJ169" s="595" t="n"/>
      <c r="AL169" s="594" t="n"/>
      <c r="AM169" s="595" t="n"/>
      <c r="AO169" s="594" t="n"/>
      <c r="AP169" s="595" t="n"/>
      <c r="AR169" s="594" t="n"/>
      <c r="AS169" s="595" t="n"/>
    </row>
    <row r="170" ht="15.75" customHeight="1" s="26">
      <c r="B170" s="593" t="n"/>
      <c r="E170" s="594" t="n"/>
      <c r="F170" s="595" t="n"/>
      <c r="H170" s="594" t="n"/>
      <c r="I170" s="595" t="n"/>
      <c r="K170" s="594" t="n"/>
      <c r="L170" s="595" t="n"/>
      <c r="N170" s="594" t="n"/>
      <c r="O170" s="595" t="n"/>
      <c r="Q170" s="594" t="n"/>
      <c r="R170" s="595" t="n"/>
      <c r="T170" s="594" t="n"/>
      <c r="U170" s="595" t="n"/>
      <c r="W170" s="594" t="n"/>
      <c r="X170" s="595" t="n"/>
      <c r="Z170" s="594" t="n"/>
      <c r="AA170" s="595" t="n"/>
      <c r="AC170" s="594" t="n"/>
      <c r="AD170" s="595" t="n"/>
      <c r="AF170" s="594" t="n"/>
      <c r="AG170" s="595" t="n"/>
      <c r="AI170" s="594" t="n"/>
      <c r="AJ170" s="595" t="n"/>
      <c r="AL170" s="594" t="n"/>
      <c r="AM170" s="595" t="n"/>
      <c r="AO170" s="594" t="n"/>
      <c r="AP170" s="595" t="n"/>
      <c r="AR170" s="594" t="n"/>
      <c r="AS170" s="595" t="n"/>
    </row>
    <row r="171" ht="15.75" customHeight="1" s="26">
      <c r="B171" s="593" t="n"/>
      <c r="E171" s="594" t="n"/>
      <c r="F171" s="595" t="n"/>
      <c r="H171" s="594" t="n"/>
      <c r="I171" s="595" t="n"/>
      <c r="K171" s="594" t="n"/>
      <c r="L171" s="595" t="n"/>
      <c r="N171" s="594" t="n"/>
      <c r="O171" s="595" t="n"/>
      <c r="Q171" s="594" t="n"/>
      <c r="R171" s="595" t="n"/>
      <c r="T171" s="594" t="n"/>
      <c r="U171" s="595" t="n"/>
      <c r="W171" s="594" t="n"/>
      <c r="X171" s="595" t="n"/>
      <c r="Z171" s="594" t="n"/>
      <c r="AA171" s="595" t="n"/>
      <c r="AC171" s="594" t="n"/>
      <c r="AD171" s="595" t="n"/>
      <c r="AF171" s="594" t="n"/>
      <c r="AG171" s="595" t="n"/>
      <c r="AI171" s="594" t="n"/>
      <c r="AJ171" s="595" t="n"/>
      <c r="AL171" s="594" t="n"/>
      <c r="AM171" s="595" t="n"/>
      <c r="AO171" s="594" t="n"/>
      <c r="AP171" s="595" t="n"/>
      <c r="AR171" s="594" t="n"/>
      <c r="AS171" s="595" t="n"/>
    </row>
    <row r="172" ht="15.75" customHeight="1" s="26">
      <c r="B172" s="593" t="n"/>
      <c r="E172" s="594" t="n"/>
      <c r="F172" s="595" t="n"/>
      <c r="H172" s="594" t="n"/>
      <c r="I172" s="595" t="n"/>
      <c r="K172" s="594" t="n"/>
      <c r="L172" s="595" t="n"/>
      <c r="N172" s="594" t="n"/>
      <c r="O172" s="595" t="n"/>
      <c r="Q172" s="594" t="n"/>
      <c r="R172" s="595" t="n"/>
      <c r="T172" s="594" t="n"/>
      <c r="U172" s="595" t="n"/>
      <c r="W172" s="594" t="n"/>
      <c r="X172" s="595" t="n"/>
      <c r="Z172" s="594" t="n"/>
      <c r="AA172" s="595" t="n"/>
      <c r="AC172" s="594" t="n"/>
      <c r="AD172" s="595" t="n"/>
      <c r="AF172" s="594" t="n"/>
      <c r="AG172" s="595" t="n"/>
      <c r="AI172" s="594" t="n"/>
      <c r="AJ172" s="595" t="n"/>
      <c r="AL172" s="594" t="n"/>
      <c r="AM172" s="595" t="n"/>
      <c r="AO172" s="594" t="n"/>
      <c r="AP172" s="595" t="n"/>
      <c r="AR172" s="594" t="n"/>
      <c r="AS172" s="595" t="n"/>
    </row>
    <row r="173" ht="15.75" customHeight="1" s="26">
      <c r="B173" s="593" t="n"/>
      <c r="E173" s="594" t="n"/>
      <c r="F173" s="595" t="n"/>
      <c r="H173" s="594" t="n"/>
      <c r="I173" s="595" t="n"/>
      <c r="K173" s="594" t="n"/>
      <c r="L173" s="595" t="n"/>
      <c r="N173" s="594" t="n"/>
      <c r="O173" s="595" t="n"/>
      <c r="Q173" s="594" t="n"/>
      <c r="R173" s="595" t="n"/>
      <c r="T173" s="594" t="n"/>
      <c r="U173" s="595" t="n"/>
      <c r="W173" s="594" t="n"/>
      <c r="X173" s="595" t="n"/>
      <c r="Z173" s="594" t="n"/>
      <c r="AA173" s="595" t="n"/>
      <c r="AC173" s="594" t="n"/>
      <c r="AD173" s="595" t="n"/>
      <c r="AF173" s="594" t="n"/>
      <c r="AG173" s="595" t="n"/>
      <c r="AI173" s="594" t="n"/>
      <c r="AJ173" s="595" t="n"/>
      <c r="AL173" s="594" t="n"/>
      <c r="AM173" s="595" t="n"/>
      <c r="AO173" s="594" t="n"/>
      <c r="AP173" s="595" t="n"/>
      <c r="AR173" s="594" t="n"/>
      <c r="AS173" s="595" t="n"/>
    </row>
    <row r="174" ht="15.75" customHeight="1" s="26">
      <c r="B174" s="593" t="n"/>
      <c r="E174" s="594" t="n"/>
      <c r="F174" s="595" t="n"/>
      <c r="H174" s="594" t="n"/>
      <c r="I174" s="595" t="n"/>
      <c r="K174" s="594" t="n"/>
      <c r="L174" s="595" t="n"/>
      <c r="N174" s="594" t="n"/>
      <c r="O174" s="595" t="n"/>
      <c r="Q174" s="594" t="n"/>
      <c r="R174" s="595" t="n"/>
      <c r="T174" s="594" t="n"/>
      <c r="U174" s="595" t="n"/>
      <c r="W174" s="594" t="n"/>
      <c r="X174" s="595" t="n"/>
      <c r="Z174" s="594" t="n"/>
      <c r="AA174" s="595" t="n"/>
      <c r="AC174" s="594" t="n"/>
      <c r="AD174" s="595" t="n"/>
      <c r="AF174" s="594" t="n"/>
      <c r="AG174" s="595" t="n"/>
      <c r="AI174" s="594" t="n"/>
      <c r="AJ174" s="595" t="n"/>
      <c r="AL174" s="594" t="n"/>
      <c r="AM174" s="595" t="n"/>
      <c r="AO174" s="594" t="n"/>
      <c r="AP174" s="595" t="n"/>
      <c r="AR174" s="594" t="n"/>
      <c r="AS174" s="595" t="n"/>
    </row>
    <row r="175" ht="15.75" customHeight="1" s="26">
      <c r="B175" s="593" t="n"/>
      <c r="E175" s="594" t="n"/>
      <c r="F175" s="595" t="n"/>
      <c r="H175" s="594" t="n"/>
      <c r="I175" s="595" t="n"/>
      <c r="K175" s="594" t="n"/>
      <c r="L175" s="595" t="n"/>
      <c r="N175" s="594" t="n"/>
      <c r="O175" s="595" t="n"/>
      <c r="Q175" s="594" t="n"/>
      <c r="R175" s="595" t="n"/>
      <c r="T175" s="594" t="n"/>
      <c r="U175" s="595" t="n"/>
      <c r="W175" s="594" t="n"/>
      <c r="X175" s="595" t="n"/>
      <c r="Z175" s="594" t="n"/>
      <c r="AA175" s="595" t="n"/>
      <c r="AC175" s="594" t="n"/>
      <c r="AD175" s="595" t="n"/>
      <c r="AF175" s="594" t="n"/>
      <c r="AG175" s="595" t="n"/>
      <c r="AI175" s="594" t="n"/>
      <c r="AJ175" s="595" t="n"/>
      <c r="AL175" s="594" t="n"/>
      <c r="AM175" s="595" t="n"/>
      <c r="AO175" s="594" t="n"/>
      <c r="AP175" s="595" t="n"/>
      <c r="AR175" s="594" t="n"/>
      <c r="AS175" s="595" t="n"/>
    </row>
    <row r="176" ht="15.75" customHeight="1" s="26">
      <c r="B176" s="593" t="n"/>
      <c r="E176" s="594" t="n"/>
      <c r="F176" s="595" t="n"/>
      <c r="H176" s="594" t="n"/>
      <c r="I176" s="595" t="n"/>
      <c r="K176" s="594" t="n"/>
      <c r="L176" s="595" t="n"/>
      <c r="N176" s="594" t="n"/>
      <c r="O176" s="595" t="n"/>
      <c r="Q176" s="594" t="n"/>
      <c r="R176" s="595" t="n"/>
      <c r="T176" s="594" t="n"/>
      <c r="U176" s="595" t="n"/>
      <c r="W176" s="594" t="n"/>
      <c r="X176" s="595" t="n"/>
      <c r="Z176" s="594" t="n"/>
      <c r="AA176" s="595" t="n"/>
      <c r="AC176" s="594" t="n"/>
      <c r="AD176" s="595" t="n"/>
      <c r="AF176" s="594" t="n"/>
      <c r="AG176" s="595" t="n"/>
      <c r="AI176" s="594" t="n"/>
      <c r="AJ176" s="595" t="n"/>
      <c r="AL176" s="594" t="n"/>
      <c r="AM176" s="595" t="n"/>
      <c r="AO176" s="594" t="n"/>
      <c r="AP176" s="595" t="n"/>
      <c r="AR176" s="594" t="n"/>
      <c r="AS176" s="595" t="n"/>
    </row>
    <row r="177" ht="15.75" customHeight="1" s="26">
      <c r="B177" s="593" t="n"/>
      <c r="E177" s="594" t="n"/>
      <c r="F177" s="595" t="n"/>
      <c r="H177" s="594" t="n"/>
      <c r="I177" s="595" t="n"/>
      <c r="K177" s="594" t="n"/>
      <c r="L177" s="595" t="n"/>
      <c r="N177" s="594" t="n"/>
      <c r="O177" s="595" t="n"/>
      <c r="Q177" s="594" t="n"/>
      <c r="R177" s="595" t="n"/>
      <c r="T177" s="594" t="n"/>
      <c r="U177" s="595" t="n"/>
      <c r="W177" s="594" t="n"/>
      <c r="X177" s="595" t="n"/>
      <c r="Z177" s="594" t="n"/>
      <c r="AA177" s="595" t="n"/>
      <c r="AC177" s="594" t="n"/>
      <c r="AD177" s="595" t="n"/>
      <c r="AF177" s="594" t="n"/>
      <c r="AG177" s="595" t="n"/>
      <c r="AI177" s="594" t="n"/>
      <c r="AJ177" s="595" t="n"/>
      <c r="AL177" s="594" t="n"/>
      <c r="AM177" s="595" t="n"/>
      <c r="AO177" s="594" t="n"/>
      <c r="AP177" s="595" t="n"/>
      <c r="AR177" s="594" t="n"/>
      <c r="AS177" s="595" t="n"/>
    </row>
    <row r="178" ht="15.75" customHeight="1" s="26">
      <c r="B178" s="593" t="n"/>
      <c r="E178" s="594" t="n"/>
      <c r="F178" s="595" t="n"/>
      <c r="H178" s="594" t="n"/>
      <c r="I178" s="595" t="n"/>
      <c r="K178" s="594" t="n"/>
      <c r="L178" s="595" t="n"/>
      <c r="N178" s="594" t="n"/>
      <c r="O178" s="595" t="n"/>
      <c r="Q178" s="594" t="n"/>
      <c r="R178" s="595" t="n"/>
      <c r="T178" s="594" t="n"/>
      <c r="U178" s="595" t="n"/>
      <c r="W178" s="594" t="n"/>
      <c r="X178" s="595" t="n"/>
      <c r="Z178" s="594" t="n"/>
      <c r="AA178" s="595" t="n"/>
      <c r="AC178" s="594" t="n"/>
      <c r="AD178" s="595" t="n"/>
      <c r="AF178" s="594" t="n"/>
      <c r="AG178" s="595" t="n"/>
      <c r="AI178" s="594" t="n"/>
      <c r="AJ178" s="595" t="n"/>
      <c r="AL178" s="594" t="n"/>
      <c r="AM178" s="595" t="n"/>
      <c r="AO178" s="594" t="n"/>
      <c r="AP178" s="595" t="n"/>
      <c r="AR178" s="594" t="n"/>
      <c r="AS178" s="595" t="n"/>
    </row>
    <row r="179" ht="15.75" customHeight="1" s="26">
      <c r="B179" s="593" t="n"/>
      <c r="E179" s="594" t="n"/>
      <c r="F179" s="595" t="n"/>
      <c r="H179" s="594" t="n"/>
      <c r="I179" s="595" t="n"/>
      <c r="K179" s="594" t="n"/>
      <c r="L179" s="595" t="n"/>
      <c r="N179" s="594" t="n"/>
      <c r="O179" s="595" t="n"/>
      <c r="Q179" s="594" t="n"/>
      <c r="R179" s="595" t="n"/>
      <c r="T179" s="594" t="n"/>
      <c r="U179" s="595" t="n"/>
      <c r="W179" s="594" t="n"/>
      <c r="X179" s="595" t="n"/>
      <c r="Z179" s="594" t="n"/>
      <c r="AA179" s="595" t="n"/>
      <c r="AC179" s="594" t="n"/>
      <c r="AD179" s="595" t="n"/>
      <c r="AF179" s="594" t="n"/>
      <c r="AG179" s="595" t="n"/>
      <c r="AI179" s="594" t="n"/>
      <c r="AJ179" s="595" t="n"/>
      <c r="AL179" s="594" t="n"/>
      <c r="AM179" s="595" t="n"/>
      <c r="AO179" s="594" t="n"/>
      <c r="AP179" s="595" t="n"/>
      <c r="AR179" s="594" t="n"/>
      <c r="AS179" s="595" t="n"/>
    </row>
    <row r="180" ht="15.75" customHeight="1" s="26">
      <c r="B180" s="593" t="n"/>
      <c r="E180" s="594" t="n"/>
      <c r="F180" s="595" t="n"/>
      <c r="H180" s="594" t="n"/>
      <c r="I180" s="595" t="n"/>
      <c r="K180" s="594" t="n"/>
      <c r="L180" s="595" t="n"/>
      <c r="N180" s="594" t="n"/>
      <c r="O180" s="595" t="n"/>
      <c r="Q180" s="594" t="n"/>
      <c r="R180" s="595" t="n"/>
      <c r="T180" s="594" t="n"/>
      <c r="U180" s="595" t="n"/>
      <c r="W180" s="594" t="n"/>
      <c r="X180" s="595" t="n"/>
      <c r="Z180" s="594" t="n"/>
      <c r="AA180" s="595" t="n"/>
      <c r="AC180" s="594" t="n"/>
      <c r="AD180" s="595" t="n"/>
      <c r="AF180" s="594" t="n"/>
      <c r="AG180" s="595" t="n"/>
      <c r="AI180" s="594" t="n"/>
      <c r="AJ180" s="595" t="n"/>
      <c r="AL180" s="594" t="n"/>
      <c r="AM180" s="595" t="n"/>
      <c r="AO180" s="594" t="n"/>
      <c r="AP180" s="595" t="n"/>
      <c r="AR180" s="594" t="n"/>
      <c r="AS180" s="595" t="n"/>
    </row>
    <row r="181" ht="15.75" customHeight="1" s="26">
      <c r="B181" s="593" t="n"/>
      <c r="E181" s="594" t="n"/>
      <c r="F181" s="595" t="n"/>
      <c r="H181" s="594" t="n"/>
      <c r="I181" s="595" t="n"/>
      <c r="K181" s="594" t="n"/>
      <c r="L181" s="595" t="n"/>
      <c r="N181" s="594" t="n"/>
      <c r="O181" s="595" t="n"/>
      <c r="Q181" s="594" t="n"/>
      <c r="R181" s="595" t="n"/>
      <c r="T181" s="594" t="n"/>
      <c r="U181" s="595" t="n"/>
      <c r="W181" s="594" t="n"/>
      <c r="X181" s="595" t="n"/>
      <c r="Z181" s="594" t="n"/>
      <c r="AA181" s="595" t="n"/>
      <c r="AC181" s="594" t="n"/>
      <c r="AD181" s="595" t="n"/>
      <c r="AF181" s="594" t="n"/>
      <c r="AG181" s="595" t="n"/>
      <c r="AI181" s="594" t="n"/>
      <c r="AJ181" s="595" t="n"/>
      <c r="AL181" s="594" t="n"/>
      <c r="AM181" s="595" t="n"/>
      <c r="AO181" s="594" t="n"/>
      <c r="AP181" s="595" t="n"/>
      <c r="AR181" s="594" t="n"/>
      <c r="AS181" s="595" t="n"/>
    </row>
    <row r="182" ht="15.75" customHeight="1" s="26">
      <c r="B182" s="593" t="n"/>
      <c r="E182" s="594" t="n"/>
      <c r="F182" s="595" t="n"/>
      <c r="H182" s="594" t="n"/>
      <c r="I182" s="595" t="n"/>
      <c r="K182" s="594" t="n"/>
      <c r="L182" s="595" t="n"/>
      <c r="N182" s="594" t="n"/>
      <c r="O182" s="595" t="n"/>
      <c r="Q182" s="594" t="n"/>
      <c r="R182" s="595" t="n"/>
      <c r="T182" s="594" t="n"/>
      <c r="U182" s="595" t="n"/>
      <c r="W182" s="594" t="n"/>
      <c r="X182" s="595" t="n"/>
      <c r="Z182" s="594" t="n"/>
      <c r="AA182" s="595" t="n"/>
      <c r="AC182" s="594" t="n"/>
      <c r="AD182" s="595" t="n"/>
      <c r="AF182" s="594" t="n"/>
      <c r="AG182" s="595" t="n"/>
      <c r="AI182" s="594" t="n"/>
      <c r="AJ182" s="595" t="n"/>
      <c r="AL182" s="594" t="n"/>
      <c r="AM182" s="595" t="n"/>
      <c r="AO182" s="594" t="n"/>
      <c r="AP182" s="595" t="n"/>
      <c r="AR182" s="594" t="n"/>
      <c r="AS182" s="595" t="n"/>
    </row>
    <row r="183" ht="15.75" customHeight="1" s="26">
      <c r="B183" s="593" t="n"/>
      <c r="E183" s="594" t="n"/>
      <c r="F183" s="595" t="n"/>
      <c r="H183" s="594" t="n"/>
      <c r="I183" s="595" t="n"/>
      <c r="K183" s="594" t="n"/>
      <c r="L183" s="595" t="n"/>
      <c r="N183" s="594" t="n"/>
      <c r="O183" s="595" t="n"/>
      <c r="Q183" s="594" t="n"/>
      <c r="R183" s="595" t="n"/>
      <c r="T183" s="594" t="n"/>
      <c r="U183" s="595" t="n"/>
      <c r="W183" s="594" t="n"/>
      <c r="X183" s="595" t="n"/>
      <c r="Z183" s="594" t="n"/>
      <c r="AA183" s="595" t="n"/>
      <c r="AC183" s="594" t="n"/>
      <c r="AD183" s="595" t="n"/>
      <c r="AF183" s="594" t="n"/>
      <c r="AG183" s="595" t="n"/>
      <c r="AI183" s="594" t="n"/>
      <c r="AJ183" s="595" t="n"/>
      <c r="AL183" s="594" t="n"/>
      <c r="AM183" s="595" t="n"/>
      <c r="AO183" s="594" t="n"/>
      <c r="AP183" s="595" t="n"/>
      <c r="AR183" s="594" t="n"/>
      <c r="AS183" s="595" t="n"/>
    </row>
    <row r="184" ht="15.75" customHeight="1" s="26">
      <c r="B184" s="593" t="n"/>
      <c r="E184" s="594" t="n"/>
      <c r="F184" s="595" t="n"/>
      <c r="H184" s="594" t="n"/>
      <c r="I184" s="595" t="n"/>
      <c r="K184" s="594" t="n"/>
      <c r="L184" s="595" t="n"/>
      <c r="N184" s="594" t="n"/>
      <c r="O184" s="595" t="n"/>
      <c r="Q184" s="594" t="n"/>
      <c r="R184" s="595" t="n"/>
      <c r="T184" s="594" t="n"/>
      <c r="U184" s="595" t="n"/>
      <c r="W184" s="594" t="n"/>
      <c r="X184" s="595" t="n"/>
      <c r="Z184" s="594" t="n"/>
      <c r="AA184" s="595" t="n"/>
      <c r="AC184" s="594" t="n"/>
      <c r="AD184" s="595" t="n"/>
      <c r="AF184" s="594" t="n"/>
      <c r="AG184" s="595" t="n"/>
      <c r="AI184" s="594" t="n"/>
      <c r="AJ184" s="595" t="n"/>
      <c r="AL184" s="594" t="n"/>
      <c r="AM184" s="595" t="n"/>
      <c r="AO184" s="594" t="n"/>
      <c r="AP184" s="595" t="n"/>
      <c r="AR184" s="594" t="n"/>
      <c r="AS184" s="595" t="n"/>
    </row>
    <row r="185" ht="15.75" customHeight="1" s="26">
      <c r="B185" s="593" t="n"/>
      <c r="E185" s="594" t="n"/>
      <c r="F185" s="595" t="n"/>
      <c r="H185" s="594" t="n"/>
      <c r="I185" s="595" t="n"/>
      <c r="K185" s="594" t="n"/>
      <c r="L185" s="595" t="n"/>
      <c r="N185" s="594" t="n"/>
      <c r="O185" s="595" t="n"/>
      <c r="Q185" s="594" t="n"/>
      <c r="R185" s="595" t="n"/>
      <c r="T185" s="594" t="n"/>
      <c r="U185" s="595" t="n"/>
      <c r="W185" s="594" t="n"/>
      <c r="X185" s="595" t="n"/>
      <c r="Z185" s="594" t="n"/>
      <c r="AA185" s="595" t="n"/>
      <c r="AC185" s="594" t="n"/>
      <c r="AD185" s="595" t="n"/>
      <c r="AF185" s="594" t="n"/>
      <c r="AG185" s="595" t="n"/>
      <c r="AI185" s="594" t="n"/>
      <c r="AJ185" s="595" t="n"/>
      <c r="AL185" s="594" t="n"/>
      <c r="AM185" s="595" t="n"/>
      <c r="AO185" s="594" t="n"/>
      <c r="AP185" s="595" t="n"/>
      <c r="AR185" s="594" t="n"/>
      <c r="AS185" s="595" t="n"/>
    </row>
    <row r="186" ht="15.75" customHeight="1" s="26">
      <c r="B186" s="593" t="n"/>
      <c r="E186" s="594" t="n"/>
      <c r="F186" s="595" t="n"/>
      <c r="H186" s="594" t="n"/>
      <c r="I186" s="595" t="n"/>
      <c r="K186" s="594" t="n"/>
      <c r="L186" s="595" t="n"/>
      <c r="N186" s="594" t="n"/>
      <c r="O186" s="595" t="n"/>
      <c r="Q186" s="594" t="n"/>
      <c r="R186" s="595" t="n"/>
      <c r="T186" s="594" t="n"/>
      <c r="U186" s="595" t="n"/>
      <c r="W186" s="594" t="n"/>
      <c r="X186" s="595" t="n"/>
      <c r="Z186" s="594" t="n"/>
      <c r="AA186" s="595" t="n"/>
      <c r="AC186" s="594" t="n"/>
      <c r="AD186" s="595" t="n"/>
      <c r="AF186" s="594" t="n"/>
      <c r="AG186" s="595" t="n"/>
      <c r="AI186" s="594" t="n"/>
      <c r="AJ186" s="595" t="n"/>
      <c r="AL186" s="594" t="n"/>
      <c r="AM186" s="595" t="n"/>
      <c r="AO186" s="594" t="n"/>
      <c r="AP186" s="595" t="n"/>
      <c r="AR186" s="594" t="n"/>
      <c r="AS186" s="595" t="n"/>
    </row>
    <row r="187" ht="15.75" customHeight="1" s="26">
      <c r="B187" s="593" t="n"/>
      <c r="E187" s="594" t="n"/>
      <c r="F187" s="595" t="n"/>
      <c r="H187" s="594" t="n"/>
      <c r="I187" s="595" t="n"/>
      <c r="K187" s="594" t="n"/>
      <c r="L187" s="595" t="n"/>
      <c r="N187" s="594" t="n"/>
      <c r="O187" s="595" t="n"/>
      <c r="Q187" s="594" t="n"/>
      <c r="R187" s="595" t="n"/>
      <c r="T187" s="594" t="n"/>
      <c r="U187" s="595" t="n"/>
      <c r="W187" s="594" t="n"/>
      <c r="X187" s="595" t="n"/>
      <c r="Z187" s="594" t="n"/>
      <c r="AA187" s="595" t="n"/>
      <c r="AC187" s="594" t="n"/>
      <c r="AD187" s="595" t="n"/>
      <c r="AF187" s="594" t="n"/>
      <c r="AG187" s="595" t="n"/>
      <c r="AI187" s="594" t="n"/>
      <c r="AJ187" s="595" t="n"/>
      <c r="AL187" s="594" t="n"/>
      <c r="AM187" s="595" t="n"/>
      <c r="AO187" s="594" t="n"/>
      <c r="AP187" s="595" t="n"/>
      <c r="AR187" s="594" t="n"/>
      <c r="AS187" s="595" t="n"/>
    </row>
    <row r="188" ht="15.75" customHeight="1" s="26">
      <c r="B188" s="593" t="n"/>
      <c r="E188" s="594" t="n"/>
      <c r="F188" s="595" t="n"/>
      <c r="H188" s="594" t="n"/>
      <c r="I188" s="595" t="n"/>
      <c r="K188" s="594" t="n"/>
      <c r="L188" s="595" t="n"/>
      <c r="N188" s="594" t="n"/>
      <c r="O188" s="595" t="n"/>
      <c r="Q188" s="594" t="n"/>
      <c r="R188" s="595" t="n"/>
      <c r="T188" s="594" t="n"/>
      <c r="U188" s="595" t="n"/>
      <c r="W188" s="594" t="n"/>
      <c r="X188" s="595" t="n"/>
      <c r="Z188" s="594" t="n"/>
      <c r="AA188" s="595" t="n"/>
      <c r="AC188" s="594" t="n"/>
      <c r="AD188" s="595" t="n"/>
      <c r="AF188" s="594" t="n"/>
      <c r="AG188" s="595" t="n"/>
      <c r="AI188" s="594" t="n"/>
      <c r="AJ188" s="595" t="n"/>
      <c r="AL188" s="594" t="n"/>
      <c r="AM188" s="595" t="n"/>
      <c r="AO188" s="594" t="n"/>
      <c r="AP188" s="595" t="n"/>
      <c r="AR188" s="594" t="n"/>
      <c r="AS188" s="595" t="n"/>
    </row>
    <row r="189" ht="15.75" customHeight="1" s="26">
      <c r="B189" s="593" t="n"/>
      <c r="E189" s="594" t="n"/>
      <c r="F189" s="595" t="n"/>
      <c r="H189" s="594" t="n"/>
      <c r="I189" s="595" t="n"/>
      <c r="K189" s="594" t="n"/>
      <c r="L189" s="595" t="n"/>
      <c r="N189" s="594" t="n"/>
      <c r="O189" s="595" t="n"/>
      <c r="Q189" s="594" t="n"/>
      <c r="R189" s="595" t="n"/>
      <c r="T189" s="594" t="n"/>
      <c r="U189" s="595" t="n"/>
      <c r="W189" s="594" t="n"/>
      <c r="X189" s="595" t="n"/>
      <c r="Z189" s="594" t="n"/>
      <c r="AA189" s="595" t="n"/>
      <c r="AC189" s="594" t="n"/>
      <c r="AD189" s="595" t="n"/>
      <c r="AF189" s="594" t="n"/>
      <c r="AG189" s="595" t="n"/>
      <c r="AI189" s="594" t="n"/>
      <c r="AJ189" s="595" t="n"/>
      <c r="AL189" s="594" t="n"/>
      <c r="AM189" s="595" t="n"/>
      <c r="AO189" s="594" t="n"/>
      <c r="AP189" s="595" t="n"/>
      <c r="AR189" s="594" t="n"/>
      <c r="AS189" s="595" t="n"/>
    </row>
    <row r="190" ht="15.75" customHeight="1" s="26">
      <c r="B190" s="593" t="n"/>
      <c r="E190" s="594" t="n"/>
      <c r="F190" s="595" t="n"/>
      <c r="H190" s="594" t="n"/>
      <c r="I190" s="595" t="n"/>
      <c r="K190" s="594" t="n"/>
      <c r="L190" s="595" t="n"/>
      <c r="N190" s="594" t="n"/>
      <c r="O190" s="595" t="n"/>
      <c r="Q190" s="594" t="n"/>
      <c r="R190" s="595" t="n"/>
      <c r="T190" s="594" t="n"/>
      <c r="U190" s="595" t="n"/>
      <c r="W190" s="594" t="n"/>
      <c r="X190" s="595" t="n"/>
      <c r="Z190" s="594" t="n"/>
      <c r="AA190" s="595" t="n"/>
      <c r="AC190" s="594" t="n"/>
      <c r="AD190" s="595" t="n"/>
      <c r="AF190" s="594" t="n"/>
      <c r="AG190" s="595" t="n"/>
      <c r="AI190" s="594" t="n"/>
      <c r="AJ190" s="595" t="n"/>
      <c r="AL190" s="594" t="n"/>
      <c r="AM190" s="595" t="n"/>
      <c r="AO190" s="594" t="n"/>
      <c r="AP190" s="595" t="n"/>
      <c r="AR190" s="594" t="n"/>
      <c r="AS190" s="595" t="n"/>
    </row>
    <row r="191" ht="15.75" customHeight="1" s="26">
      <c r="B191" s="593" t="n"/>
      <c r="E191" s="594" t="n"/>
      <c r="F191" s="595" t="n"/>
      <c r="H191" s="594" t="n"/>
      <c r="I191" s="595" t="n"/>
      <c r="K191" s="594" t="n"/>
      <c r="L191" s="595" t="n"/>
      <c r="N191" s="594" t="n"/>
      <c r="O191" s="595" t="n"/>
      <c r="Q191" s="594" t="n"/>
      <c r="R191" s="595" t="n"/>
      <c r="T191" s="594" t="n"/>
      <c r="U191" s="595" t="n"/>
      <c r="W191" s="594" t="n"/>
      <c r="X191" s="595" t="n"/>
      <c r="Z191" s="594" t="n"/>
      <c r="AA191" s="595" t="n"/>
      <c r="AC191" s="594" t="n"/>
      <c r="AD191" s="595" t="n"/>
      <c r="AF191" s="594" t="n"/>
      <c r="AG191" s="595" t="n"/>
      <c r="AI191" s="594" t="n"/>
      <c r="AJ191" s="595" t="n"/>
      <c r="AL191" s="594" t="n"/>
      <c r="AM191" s="595" t="n"/>
      <c r="AO191" s="594" t="n"/>
      <c r="AP191" s="595" t="n"/>
      <c r="AR191" s="594" t="n"/>
      <c r="AS191" s="595" t="n"/>
    </row>
    <row r="192" ht="15.75" customHeight="1" s="26">
      <c r="B192" s="593" t="n"/>
      <c r="E192" s="594" t="n"/>
      <c r="F192" s="595" t="n"/>
      <c r="H192" s="594" t="n"/>
      <c r="I192" s="595" t="n"/>
      <c r="K192" s="594" t="n"/>
      <c r="L192" s="595" t="n"/>
      <c r="N192" s="594" t="n"/>
      <c r="O192" s="595" t="n"/>
      <c r="Q192" s="594" t="n"/>
      <c r="R192" s="595" t="n"/>
      <c r="T192" s="594" t="n"/>
      <c r="U192" s="595" t="n"/>
      <c r="W192" s="594" t="n"/>
      <c r="X192" s="595" t="n"/>
      <c r="Z192" s="594" t="n"/>
      <c r="AA192" s="595" t="n"/>
      <c r="AC192" s="594" t="n"/>
      <c r="AD192" s="595" t="n"/>
      <c r="AF192" s="594" t="n"/>
      <c r="AG192" s="595" t="n"/>
      <c r="AI192" s="594" t="n"/>
      <c r="AJ192" s="595" t="n"/>
      <c r="AL192" s="594" t="n"/>
      <c r="AM192" s="595" t="n"/>
      <c r="AO192" s="594" t="n"/>
      <c r="AP192" s="595" t="n"/>
      <c r="AR192" s="594" t="n"/>
      <c r="AS192" s="595" t="n"/>
    </row>
    <row r="193" ht="15.75" customHeight="1" s="26">
      <c r="B193" s="593" t="n"/>
      <c r="E193" s="594" t="n"/>
      <c r="F193" s="595" t="n"/>
      <c r="H193" s="594" t="n"/>
      <c r="I193" s="595" t="n"/>
      <c r="K193" s="594" t="n"/>
      <c r="L193" s="595" t="n"/>
      <c r="N193" s="594" t="n"/>
      <c r="O193" s="595" t="n"/>
      <c r="Q193" s="594" t="n"/>
      <c r="R193" s="595" t="n"/>
      <c r="T193" s="594" t="n"/>
      <c r="U193" s="595" t="n"/>
      <c r="W193" s="594" t="n"/>
      <c r="X193" s="595" t="n"/>
      <c r="Z193" s="594" t="n"/>
      <c r="AA193" s="595" t="n"/>
      <c r="AC193" s="594" t="n"/>
      <c r="AD193" s="595" t="n"/>
      <c r="AF193" s="594" t="n"/>
      <c r="AG193" s="595" t="n"/>
      <c r="AI193" s="594" t="n"/>
      <c r="AJ193" s="595" t="n"/>
      <c r="AL193" s="594" t="n"/>
      <c r="AM193" s="595" t="n"/>
      <c r="AO193" s="594" t="n"/>
      <c r="AP193" s="595" t="n"/>
      <c r="AR193" s="594" t="n"/>
      <c r="AS193" s="595" t="n"/>
    </row>
    <row r="194" ht="15.75" customHeight="1" s="26">
      <c r="B194" s="593" t="n"/>
      <c r="E194" s="594" t="n"/>
      <c r="F194" s="595" t="n"/>
      <c r="H194" s="594" t="n"/>
      <c r="I194" s="595" t="n"/>
      <c r="K194" s="594" t="n"/>
      <c r="L194" s="595" t="n"/>
      <c r="N194" s="594" t="n"/>
      <c r="O194" s="595" t="n"/>
      <c r="Q194" s="594" t="n"/>
      <c r="R194" s="595" t="n"/>
      <c r="T194" s="594" t="n"/>
      <c r="U194" s="595" t="n"/>
      <c r="W194" s="594" t="n"/>
      <c r="X194" s="595" t="n"/>
      <c r="Z194" s="594" t="n"/>
      <c r="AA194" s="595" t="n"/>
      <c r="AC194" s="594" t="n"/>
      <c r="AD194" s="595" t="n"/>
      <c r="AF194" s="594" t="n"/>
      <c r="AG194" s="595" t="n"/>
      <c r="AI194" s="594" t="n"/>
      <c r="AJ194" s="595" t="n"/>
      <c r="AL194" s="594" t="n"/>
      <c r="AM194" s="595" t="n"/>
      <c r="AO194" s="594" t="n"/>
      <c r="AP194" s="595" t="n"/>
      <c r="AR194" s="594" t="n"/>
      <c r="AS194" s="595" t="n"/>
    </row>
    <row r="195" ht="15.75" customHeight="1" s="26">
      <c r="B195" s="593" t="n"/>
      <c r="E195" s="594" t="n"/>
      <c r="F195" s="595" t="n"/>
      <c r="H195" s="594" t="n"/>
      <c r="I195" s="595" t="n"/>
      <c r="K195" s="594" t="n"/>
      <c r="L195" s="595" t="n"/>
      <c r="N195" s="594" t="n"/>
      <c r="O195" s="595" t="n"/>
      <c r="Q195" s="594" t="n"/>
      <c r="R195" s="595" t="n"/>
      <c r="T195" s="594" t="n"/>
      <c r="U195" s="595" t="n"/>
      <c r="W195" s="594" t="n"/>
      <c r="X195" s="595" t="n"/>
      <c r="Z195" s="594" t="n"/>
      <c r="AA195" s="595" t="n"/>
      <c r="AC195" s="594" t="n"/>
      <c r="AD195" s="595" t="n"/>
      <c r="AF195" s="594" t="n"/>
      <c r="AG195" s="595" t="n"/>
      <c r="AI195" s="594" t="n"/>
      <c r="AJ195" s="595" t="n"/>
      <c r="AL195" s="594" t="n"/>
      <c r="AM195" s="595" t="n"/>
      <c r="AO195" s="594" t="n"/>
      <c r="AP195" s="595" t="n"/>
      <c r="AR195" s="594" t="n"/>
      <c r="AS195" s="595" t="n"/>
    </row>
    <row r="196" ht="15.75" customHeight="1" s="26">
      <c r="B196" s="593" t="n"/>
      <c r="E196" s="594" t="n"/>
      <c r="F196" s="595" t="n"/>
      <c r="H196" s="594" t="n"/>
      <c r="I196" s="595" t="n"/>
      <c r="K196" s="594" t="n"/>
      <c r="L196" s="595" t="n"/>
      <c r="N196" s="594" t="n"/>
      <c r="O196" s="595" t="n"/>
      <c r="Q196" s="594" t="n"/>
      <c r="R196" s="595" t="n"/>
      <c r="T196" s="594" t="n"/>
      <c r="U196" s="595" t="n"/>
      <c r="W196" s="594" t="n"/>
      <c r="X196" s="595" t="n"/>
      <c r="Z196" s="594" t="n"/>
      <c r="AA196" s="595" t="n"/>
      <c r="AC196" s="594" t="n"/>
      <c r="AD196" s="595" t="n"/>
      <c r="AF196" s="594" t="n"/>
      <c r="AG196" s="595" t="n"/>
      <c r="AI196" s="594" t="n"/>
      <c r="AJ196" s="595" t="n"/>
      <c r="AL196" s="594" t="n"/>
      <c r="AM196" s="595" t="n"/>
      <c r="AO196" s="594" t="n"/>
      <c r="AP196" s="595" t="n"/>
      <c r="AR196" s="594" t="n"/>
      <c r="AS196" s="595" t="n"/>
    </row>
    <row r="197" ht="15.75" customHeight="1" s="26">
      <c r="B197" s="593" t="n"/>
      <c r="E197" s="594" t="n"/>
      <c r="F197" s="595" t="n"/>
      <c r="H197" s="594" t="n"/>
      <c r="I197" s="595" t="n"/>
      <c r="K197" s="594" t="n"/>
      <c r="L197" s="595" t="n"/>
      <c r="N197" s="594" t="n"/>
      <c r="O197" s="595" t="n"/>
      <c r="Q197" s="594" t="n"/>
      <c r="R197" s="595" t="n"/>
      <c r="T197" s="594" t="n"/>
      <c r="U197" s="595" t="n"/>
      <c r="W197" s="594" t="n"/>
      <c r="X197" s="595" t="n"/>
      <c r="Z197" s="594" t="n"/>
      <c r="AA197" s="595" t="n"/>
      <c r="AC197" s="594" t="n"/>
      <c r="AD197" s="595" t="n"/>
      <c r="AF197" s="594" t="n"/>
      <c r="AG197" s="595" t="n"/>
      <c r="AI197" s="594" t="n"/>
      <c r="AJ197" s="595" t="n"/>
      <c r="AL197" s="594" t="n"/>
      <c r="AM197" s="595" t="n"/>
      <c r="AO197" s="594" t="n"/>
      <c r="AP197" s="595" t="n"/>
      <c r="AR197" s="594" t="n"/>
      <c r="AS197" s="595" t="n"/>
    </row>
    <row r="198" ht="15.75" customHeight="1" s="26">
      <c r="B198" s="593" t="n"/>
      <c r="E198" s="594" t="n"/>
      <c r="F198" s="595" t="n"/>
      <c r="H198" s="594" t="n"/>
      <c r="I198" s="595" t="n"/>
      <c r="K198" s="594" t="n"/>
      <c r="L198" s="595" t="n"/>
      <c r="N198" s="594" t="n"/>
      <c r="O198" s="595" t="n"/>
      <c r="Q198" s="594" t="n"/>
      <c r="R198" s="595" t="n"/>
      <c r="T198" s="594" t="n"/>
      <c r="U198" s="595" t="n"/>
      <c r="W198" s="594" t="n"/>
      <c r="X198" s="595" t="n"/>
      <c r="Z198" s="594" t="n"/>
      <c r="AA198" s="595" t="n"/>
      <c r="AC198" s="594" t="n"/>
      <c r="AD198" s="595" t="n"/>
      <c r="AF198" s="594" t="n"/>
      <c r="AG198" s="595" t="n"/>
      <c r="AI198" s="594" t="n"/>
      <c r="AJ198" s="595" t="n"/>
      <c r="AL198" s="594" t="n"/>
      <c r="AM198" s="595" t="n"/>
      <c r="AO198" s="594" t="n"/>
      <c r="AP198" s="595" t="n"/>
      <c r="AR198" s="594" t="n"/>
      <c r="AS198" s="595" t="n"/>
    </row>
    <row r="199" ht="15.75" customHeight="1" s="26">
      <c r="B199" s="593" t="n"/>
      <c r="E199" s="594" t="n"/>
      <c r="F199" s="595" t="n"/>
      <c r="H199" s="594" t="n"/>
      <c r="I199" s="595" t="n"/>
      <c r="K199" s="594" t="n"/>
      <c r="L199" s="595" t="n"/>
      <c r="N199" s="594" t="n"/>
      <c r="O199" s="595" t="n"/>
      <c r="Q199" s="594" t="n"/>
      <c r="R199" s="595" t="n"/>
      <c r="T199" s="594" t="n"/>
      <c r="U199" s="595" t="n"/>
      <c r="W199" s="594" t="n"/>
      <c r="X199" s="595" t="n"/>
      <c r="Z199" s="594" t="n"/>
      <c r="AA199" s="595" t="n"/>
      <c r="AC199" s="594" t="n"/>
      <c r="AD199" s="595" t="n"/>
      <c r="AF199" s="594" t="n"/>
      <c r="AG199" s="595" t="n"/>
      <c r="AI199" s="594" t="n"/>
      <c r="AJ199" s="595" t="n"/>
      <c r="AL199" s="594" t="n"/>
      <c r="AM199" s="595" t="n"/>
      <c r="AO199" s="594" t="n"/>
      <c r="AP199" s="595" t="n"/>
      <c r="AR199" s="594" t="n"/>
      <c r="AS199" s="595" t="n"/>
    </row>
    <row r="200" ht="15.75" customHeight="1" s="26">
      <c r="B200" s="593" t="n"/>
      <c r="E200" s="594" t="n"/>
      <c r="F200" s="595" t="n"/>
      <c r="H200" s="594" t="n"/>
      <c r="I200" s="595" t="n"/>
      <c r="K200" s="594" t="n"/>
      <c r="L200" s="595" t="n"/>
      <c r="N200" s="594" t="n"/>
      <c r="O200" s="595" t="n"/>
      <c r="Q200" s="594" t="n"/>
      <c r="R200" s="595" t="n"/>
      <c r="T200" s="594" t="n"/>
      <c r="U200" s="595" t="n"/>
      <c r="W200" s="594" t="n"/>
      <c r="X200" s="595" t="n"/>
      <c r="Z200" s="594" t="n"/>
      <c r="AA200" s="595" t="n"/>
      <c r="AC200" s="594" t="n"/>
      <c r="AD200" s="595" t="n"/>
      <c r="AF200" s="594" t="n"/>
      <c r="AG200" s="595" t="n"/>
      <c r="AI200" s="594" t="n"/>
      <c r="AJ200" s="595" t="n"/>
      <c r="AL200" s="594" t="n"/>
      <c r="AM200" s="595" t="n"/>
      <c r="AO200" s="594" t="n"/>
      <c r="AP200" s="595" t="n"/>
      <c r="AR200" s="594" t="n"/>
      <c r="AS200" s="595" t="n"/>
    </row>
    <row r="201" ht="15.75" customHeight="1" s="26">
      <c r="B201" s="593" t="n"/>
      <c r="E201" s="594" t="n"/>
      <c r="F201" s="595" t="n"/>
      <c r="H201" s="594" t="n"/>
      <c r="I201" s="595" t="n"/>
      <c r="K201" s="594" t="n"/>
      <c r="L201" s="595" t="n"/>
      <c r="N201" s="594" t="n"/>
      <c r="O201" s="595" t="n"/>
      <c r="Q201" s="594" t="n"/>
      <c r="R201" s="595" t="n"/>
      <c r="T201" s="594" t="n"/>
      <c r="U201" s="595" t="n"/>
      <c r="W201" s="594" t="n"/>
      <c r="X201" s="595" t="n"/>
      <c r="Z201" s="594" t="n"/>
      <c r="AA201" s="595" t="n"/>
      <c r="AC201" s="594" t="n"/>
      <c r="AD201" s="595" t="n"/>
      <c r="AF201" s="594" t="n"/>
      <c r="AG201" s="595" t="n"/>
      <c r="AI201" s="594" t="n"/>
      <c r="AJ201" s="595" t="n"/>
      <c r="AL201" s="594" t="n"/>
      <c r="AM201" s="595" t="n"/>
      <c r="AO201" s="594" t="n"/>
      <c r="AP201" s="595" t="n"/>
      <c r="AR201" s="594" t="n"/>
      <c r="AS201" s="595" t="n"/>
    </row>
    <row r="202" ht="15.75" customHeight="1" s="26">
      <c r="B202" s="593" t="n"/>
      <c r="E202" s="594" t="n"/>
      <c r="F202" s="595" t="n"/>
      <c r="H202" s="594" t="n"/>
      <c r="I202" s="595" t="n"/>
      <c r="K202" s="594" t="n"/>
      <c r="L202" s="595" t="n"/>
      <c r="N202" s="594" t="n"/>
      <c r="O202" s="595" t="n"/>
      <c r="Q202" s="594" t="n"/>
      <c r="R202" s="595" t="n"/>
      <c r="T202" s="594" t="n"/>
      <c r="U202" s="595" t="n"/>
      <c r="W202" s="594" t="n"/>
      <c r="X202" s="595" t="n"/>
      <c r="Z202" s="594" t="n"/>
      <c r="AA202" s="595" t="n"/>
      <c r="AC202" s="594" t="n"/>
      <c r="AD202" s="595" t="n"/>
      <c r="AF202" s="594" t="n"/>
      <c r="AG202" s="595" t="n"/>
      <c r="AI202" s="594" t="n"/>
      <c r="AJ202" s="595" t="n"/>
      <c r="AL202" s="594" t="n"/>
      <c r="AM202" s="595" t="n"/>
      <c r="AO202" s="594" t="n"/>
      <c r="AP202" s="595" t="n"/>
      <c r="AR202" s="594" t="n"/>
      <c r="AS202" s="595" t="n"/>
    </row>
    <row r="203" ht="15.75" customHeight="1" s="26">
      <c r="B203" s="593" t="n"/>
      <c r="E203" s="594" t="n"/>
      <c r="F203" s="595" t="n"/>
      <c r="H203" s="594" t="n"/>
      <c r="I203" s="595" t="n"/>
      <c r="K203" s="594" t="n"/>
      <c r="L203" s="595" t="n"/>
      <c r="N203" s="594" t="n"/>
      <c r="O203" s="595" t="n"/>
      <c r="Q203" s="594" t="n"/>
      <c r="R203" s="595" t="n"/>
      <c r="T203" s="594" t="n"/>
      <c r="U203" s="595" t="n"/>
      <c r="W203" s="594" t="n"/>
      <c r="X203" s="595" t="n"/>
      <c r="Z203" s="594" t="n"/>
      <c r="AA203" s="595" t="n"/>
      <c r="AC203" s="594" t="n"/>
      <c r="AD203" s="595" t="n"/>
      <c r="AF203" s="594" t="n"/>
      <c r="AG203" s="595" t="n"/>
      <c r="AI203" s="594" t="n"/>
      <c r="AJ203" s="595" t="n"/>
      <c r="AL203" s="594" t="n"/>
      <c r="AM203" s="595" t="n"/>
      <c r="AO203" s="594" t="n"/>
      <c r="AP203" s="595" t="n"/>
      <c r="AR203" s="594" t="n"/>
      <c r="AS203" s="595" t="n"/>
    </row>
    <row r="204" ht="15.75" customHeight="1" s="26">
      <c r="B204" s="593" t="n"/>
      <c r="E204" s="594" t="n"/>
      <c r="F204" s="595" t="n"/>
      <c r="H204" s="594" t="n"/>
      <c r="I204" s="595" t="n"/>
      <c r="K204" s="594" t="n"/>
      <c r="L204" s="595" t="n"/>
      <c r="N204" s="594" t="n"/>
      <c r="O204" s="595" t="n"/>
      <c r="Q204" s="594" t="n"/>
      <c r="R204" s="595" t="n"/>
      <c r="T204" s="594" t="n"/>
      <c r="U204" s="595" t="n"/>
      <c r="W204" s="594" t="n"/>
      <c r="X204" s="595" t="n"/>
      <c r="Z204" s="594" t="n"/>
      <c r="AA204" s="595" t="n"/>
      <c r="AC204" s="594" t="n"/>
      <c r="AD204" s="595" t="n"/>
      <c r="AF204" s="594" t="n"/>
      <c r="AG204" s="595" t="n"/>
      <c r="AI204" s="594" t="n"/>
      <c r="AJ204" s="595" t="n"/>
      <c r="AL204" s="594" t="n"/>
      <c r="AM204" s="595" t="n"/>
      <c r="AO204" s="594" t="n"/>
      <c r="AP204" s="595" t="n"/>
      <c r="AR204" s="594" t="n"/>
      <c r="AS204" s="595" t="n"/>
    </row>
    <row r="205" ht="15.75" customHeight="1" s="26">
      <c r="B205" s="593" t="n"/>
      <c r="E205" s="594" t="n"/>
      <c r="F205" s="595" t="n"/>
      <c r="H205" s="594" t="n"/>
      <c r="I205" s="595" t="n"/>
      <c r="K205" s="594" t="n"/>
      <c r="L205" s="595" t="n"/>
      <c r="N205" s="594" t="n"/>
      <c r="O205" s="595" t="n"/>
      <c r="Q205" s="594" t="n"/>
      <c r="R205" s="595" t="n"/>
      <c r="T205" s="594" t="n"/>
      <c r="U205" s="595" t="n"/>
      <c r="W205" s="594" t="n"/>
      <c r="X205" s="595" t="n"/>
      <c r="Z205" s="594" t="n"/>
      <c r="AA205" s="595" t="n"/>
      <c r="AC205" s="594" t="n"/>
      <c r="AD205" s="595" t="n"/>
      <c r="AF205" s="594" t="n"/>
      <c r="AG205" s="595" t="n"/>
      <c r="AI205" s="594" t="n"/>
      <c r="AJ205" s="595" t="n"/>
      <c r="AL205" s="594" t="n"/>
      <c r="AM205" s="595" t="n"/>
      <c r="AO205" s="594" t="n"/>
      <c r="AP205" s="595" t="n"/>
      <c r="AR205" s="594" t="n"/>
      <c r="AS205" s="595" t="n"/>
    </row>
    <row r="206" ht="15.75" customHeight="1" s="26">
      <c r="B206" s="593" t="n"/>
      <c r="E206" s="594" t="n"/>
      <c r="F206" s="595" t="n"/>
      <c r="H206" s="594" t="n"/>
      <c r="I206" s="595" t="n"/>
      <c r="K206" s="594" t="n"/>
      <c r="L206" s="595" t="n"/>
      <c r="N206" s="594" t="n"/>
      <c r="O206" s="595" t="n"/>
      <c r="Q206" s="594" t="n"/>
      <c r="R206" s="595" t="n"/>
      <c r="T206" s="594" t="n"/>
      <c r="U206" s="595" t="n"/>
      <c r="W206" s="594" t="n"/>
      <c r="X206" s="595" t="n"/>
      <c r="Z206" s="594" t="n"/>
      <c r="AA206" s="595" t="n"/>
      <c r="AC206" s="594" t="n"/>
      <c r="AD206" s="595" t="n"/>
      <c r="AF206" s="594" t="n"/>
      <c r="AG206" s="595" t="n"/>
      <c r="AI206" s="594" t="n"/>
      <c r="AJ206" s="595" t="n"/>
      <c r="AL206" s="594" t="n"/>
      <c r="AM206" s="595" t="n"/>
      <c r="AO206" s="594" t="n"/>
      <c r="AP206" s="595" t="n"/>
      <c r="AR206" s="594" t="n"/>
      <c r="AS206" s="595" t="n"/>
    </row>
    <row r="207" ht="15.75" customHeight="1" s="26">
      <c r="B207" s="593" t="n"/>
      <c r="E207" s="594" t="n"/>
      <c r="F207" s="595" t="n"/>
      <c r="H207" s="594" t="n"/>
      <c r="I207" s="595" t="n"/>
      <c r="K207" s="594" t="n"/>
      <c r="L207" s="595" t="n"/>
      <c r="N207" s="594" t="n"/>
      <c r="O207" s="595" t="n"/>
      <c r="Q207" s="594" t="n"/>
      <c r="R207" s="595" t="n"/>
      <c r="T207" s="594" t="n"/>
      <c r="U207" s="595" t="n"/>
      <c r="W207" s="594" t="n"/>
      <c r="X207" s="595" t="n"/>
      <c r="Z207" s="594" t="n"/>
      <c r="AA207" s="595" t="n"/>
      <c r="AC207" s="594" t="n"/>
      <c r="AD207" s="595" t="n"/>
      <c r="AF207" s="594" t="n"/>
      <c r="AG207" s="595" t="n"/>
      <c r="AI207" s="594" t="n"/>
      <c r="AJ207" s="595" t="n"/>
      <c r="AL207" s="594" t="n"/>
      <c r="AM207" s="595" t="n"/>
      <c r="AO207" s="594" t="n"/>
      <c r="AP207" s="595" t="n"/>
      <c r="AR207" s="594" t="n"/>
      <c r="AS207" s="595" t="n"/>
    </row>
    <row r="208" ht="15.75" customHeight="1" s="26">
      <c r="B208" s="593" t="n"/>
      <c r="E208" s="594" t="n"/>
      <c r="F208" s="595" t="n"/>
      <c r="H208" s="594" t="n"/>
      <c r="I208" s="595" t="n"/>
      <c r="K208" s="594" t="n"/>
      <c r="L208" s="595" t="n"/>
      <c r="N208" s="594" t="n"/>
      <c r="O208" s="595" t="n"/>
      <c r="Q208" s="594" t="n"/>
      <c r="R208" s="595" t="n"/>
      <c r="T208" s="594" t="n"/>
      <c r="U208" s="595" t="n"/>
      <c r="W208" s="594" t="n"/>
      <c r="X208" s="595" t="n"/>
      <c r="Z208" s="594" t="n"/>
      <c r="AA208" s="595" t="n"/>
      <c r="AC208" s="594" t="n"/>
      <c r="AD208" s="595" t="n"/>
      <c r="AF208" s="594" t="n"/>
      <c r="AG208" s="595" t="n"/>
      <c r="AI208" s="594" t="n"/>
      <c r="AJ208" s="595" t="n"/>
      <c r="AL208" s="594" t="n"/>
      <c r="AM208" s="595" t="n"/>
      <c r="AO208" s="594" t="n"/>
      <c r="AP208" s="595" t="n"/>
      <c r="AR208" s="594" t="n"/>
      <c r="AS208" s="595" t="n"/>
    </row>
    <row r="209" ht="15.75" customHeight="1" s="26">
      <c r="B209" s="593" t="n"/>
      <c r="E209" s="594" t="n"/>
      <c r="F209" s="595" t="n"/>
      <c r="H209" s="594" t="n"/>
      <c r="I209" s="595" t="n"/>
      <c r="K209" s="594" t="n"/>
      <c r="L209" s="595" t="n"/>
      <c r="N209" s="594" t="n"/>
      <c r="O209" s="595" t="n"/>
      <c r="Q209" s="594" t="n"/>
      <c r="R209" s="595" t="n"/>
      <c r="T209" s="594" t="n"/>
      <c r="U209" s="595" t="n"/>
      <c r="W209" s="594" t="n"/>
      <c r="X209" s="595" t="n"/>
      <c r="Z209" s="594" t="n"/>
      <c r="AA209" s="595" t="n"/>
      <c r="AC209" s="594" t="n"/>
      <c r="AD209" s="595" t="n"/>
      <c r="AF209" s="594" t="n"/>
      <c r="AG209" s="595" t="n"/>
      <c r="AI209" s="594" t="n"/>
      <c r="AJ209" s="595" t="n"/>
      <c r="AL209" s="594" t="n"/>
      <c r="AM209" s="595" t="n"/>
      <c r="AO209" s="594" t="n"/>
      <c r="AP209" s="595" t="n"/>
      <c r="AR209" s="594" t="n"/>
      <c r="AS209" s="595" t="n"/>
    </row>
    <row r="210" ht="15.75" customHeight="1" s="26">
      <c r="B210" s="593" t="n"/>
      <c r="E210" s="594" t="n"/>
      <c r="F210" s="595" t="n"/>
      <c r="H210" s="594" t="n"/>
      <c r="I210" s="595" t="n"/>
      <c r="K210" s="594" t="n"/>
      <c r="L210" s="595" t="n"/>
      <c r="N210" s="594" t="n"/>
      <c r="O210" s="595" t="n"/>
      <c r="Q210" s="594" t="n"/>
      <c r="R210" s="595" t="n"/>
      <c r="T210" s="594" t="n"/>
      <c r="U210" s="595" t="n"/>
      <c r="W210" s="594" t="n"/>
      <c r="X210" s="595" t="n"/>
      <c r="Z210" s="594" t="n"/>
      <c r="AA210" s="595" t="n"/>
      <c r="AC210" s="594" t="n"/>
      <c r="AD210" s="595" t="n"/>
      <c r="AF210" s="594" t="n"/>
      <c r="AG210" s="595" t="n"/>
      <c r="AI210" s="594" t="n"/>
      <c r="AJ210" s="595" t="n"/>
      <c r="AL210" s="594" t="n"/>
      <c r="AM210" s="595" t="n"/>
      <c r="AO210" s="594" t="n"/>
      <c r="AP210" s="595" t="n"/>
      <c r="AR210" s="594" t="n"/>
      <c r="AS210" s="595" t="n"/>
    </row>
    <row r="211" ht="15.75" customHeight="1" s="26">
      <c r="B211" s="593" t="n"/>
      <c r="E211" s="594" t="n"/>
      <c r="F211" s="595" t="n"/>
      <c r="H211" s="594" t="n"/>
      <c r="I211" s="595" t="n"/>
      <c r="K211" s="594" t="n"/>
      <c r="L211" s="595" t="n"/>
      <c r="N211" s="594" t="n"/>
      <c r="O211" s="595" t="n"/>
      <c r="Q211" s="594" t="n"/>
      <c r="R211" s="595" t="n"/>
      <c r="T211" s="594" t="n"/>
      <c r="U211" s="595" t="n"/>
      <c r="W211" s="594" t="n"/>
      <c r="X211" s="595" t="n"/>
      <c r="Z211" s="594" t="n"/>
      <c r="AA211" s="595" t="n"/>
      <c r="AC211" s="594" t="n"/>
      <c r="AD211" s="595" t="n"/>
      <c r="AF211" s="594" t="n"/>
      <c r="AG211" s="595" t="n"/>
      <c r="AI211" s="594" t="n"/>
      <c r="AJ211" s="595" t="n"/>
      <c r="AL211" s="594" t="n"/>
      <c r="AM211" s="595" t="n"/>
      <c r="AO211" s="594" t="n"/>
      <c r="AP211" s="595" t="n"/>
      <c r="AR211" s="594" t="n"/>
      <c r="AS211" s="595" t="n"/>
    </row>
    <row r="212" ht="15.75" customHeight="1" s="26">
      <c r="B212" s="593" t="n"/>
      <c r="E212" s="594" t="n"/>
      <c r="F212" s="595" t="n"/>
      <c r="H212" s="594" t="n"/>
      <c r="I212" s="595" t="n"/>
      <c r="K212" s="594" t="n"/>
      <c r="L212" s="595" t="n"/>
      <c r="N212" s="594" t="n"/>
      <c r="O212" s="595" t="n"/>
      <c r="Q212" s="594" t="n"/>
      <c r="R212" s="595" t="n"/>
      <c r="T212" s="594" t="n"/>
      <c r="U212" s="595" t="n"/>
      <c r="W212" s="594" t="n"/>
      <c r="X212" s="595" t="n"/>
      <c r="Z212" s="594" t="n"/>
      <c r="AA212" s="595" t="n"/>
      <c r="AC212" s="594" t="n"/>
      <c r="AD212" s="595" t="n"/>
      <c r="AF212" s="594" t="n"/>
      <c r="AG212" s="595" t="n"/>
      <c r="AI212" s="594" t="n"/>
      <c r="AJ212" s="595" t="n"/>
      <c r="AL212" s="594" t="n"/>
      <c r="AM212" s="595" t="n"/>
      <c r="AO212" s="594" t="n"/>
      <c r="AP212" s="595" t="n"/>
      <c r="AR212" s="594" t="n"/>
      <c r="AS212" s="595" t="n"/>
    </row>
    <row r="213" ht="15.75" customHeight="1" s="26">
      <c r="B213" s="593" t="n"/>
      <c r="E213" s="594" t="n"/>
      <c r="F213" s="595" t="n"/>
      <c r="H213" s="594" t="n"/>
      <c r="I213" s="595" t="n"/>
      <c r="K213" s="594" t="n"/>
      <c r="L213" s="595" t="n"/>
      <c r="N213" s="594" t="n"/>
      <c r="O213" s="595" t="n"/>
      <c r="Q213" s="594" t="n"/>
      <c r="R213" s="595" t="n"/>
      <c r="T213" s="594" t="n"/>
      <c r="U213" s="595" t="n"/>
      <c r="W213" s="594" t="n"/>
      <c r="X213" s="595" t="n"/>
      <c r="Z213" s="594" t="n"/>
      <c r="AA213" s="595" t="n"/>
      <c r="AC213" s="594" t="n"/>
      <c r="AD213" s="595" t="n"/>
      <c r="AF213" s="594" t="n"/>
      <c r="AG213" s="595" t="n"/>
      <c r="AI213" s="594" t="n"/>
      <c r="AJ213" s="595" t="n"/>
      <c r="AL213" s="594" t="n"/>
      <c r="AM213" s="595" t="n"/>
      <c r="AO213" s="594" t="n"/>
      <c r="AP213" s="595" t="n"/>
      <c r="AR213" s="594" t="n"/>
      <c r="AS213" s="595" t="n"/>
    </row>
    <row r="214" ht="15.75" customHeight="1" s="26">
      <c r="B214" s="593" t="n"/>
      <c r="E214" s="594" t="n"/>
      <c r="F214" s="595" t="n"/>
      <c r="H214" s="594" t="n"/>
      <c r="I214" s="595" t="n"/>
      <c r="K214" s="594" t="n"/>
      <c r="L214" s="595" t="n"/>
      <c r="N214" s="594" t="n"/>
      <c r="O214" s="595" t="n"/>
      <c r="Q214" s="594" t="n"/>
      <c r="R214" s="595" t="n"/>
      <c r="T214" s="594" t="n"/>
      <c r="U214" s="595" t="n"/>
      <c r="W214" s="594" t="n"/>
      <c r="X214" s="595" t="n"/>
      <c r="Z214" s="594" t="n"/>
      <c r="AA214" s="595" t="n"/>
      <c r="AC214" s="594" t="n"/>
      <c r="AD214" s="595" t="n"/>
      <c r="AF214" s="594" t="n"/>
      <c r="AG214" s="595" t="n"/>
      <c r="AI214" s="594" t="n"/>
      <c r="AJ214" s="595" t="n"/>
      <c r="AL214" s="594" t="n"/>
      <c r="AM214" s="595" t="n"/>
      <c r="AO214" s="594" t="n"/>
      <c r="AP214" s="595" t="n"/>
      <c r="AR214" s="594" t="n"/>
      <c r="AS214" s="595" t="n"/>
    </row>
    <row r="215" ht="15.75" customHeight="1" s="26">
      <c r="B215" s="593" t="n"/>
      <c r="E215" s="594" t="n"/>
      <c r="F215" s="595" t="n"/>
      <c r="H215" s="594" t="n"/>
      <c r="I215" s="595" t="n"/>
      <c r="K215" s="594" t="n"/>
      <c r="L215" s="595" t="n"/>
      <c r="N215" s="594" t="n"/>
      <c r="O215" s="595" t="n"/>
      <c r="Q215" s="594" t="n"/>
      <c r="R215" s="595" t="n"/>
      <c r="T215" s="594" t="n"/>
      <c r="U215" s="595" t="n"/>
      <c r="W215" s="594" t="n"/>
      <c r="X215" s="595" t="n"/>
      <c r="Z215" s="594" t="n"/>
      <c r="AA215" s="595" t="n"/>
      <c r="AC215" s="594" t="n"/>
      <c r="AD215" s="595" t="n"/>
      <c r="AF215" s="594" t="n"/>
      <c r="AG215" s="595" t="n"/>
      <c r="AI215" s="594" t="n"/>
      <c r="AJ215" s="595" t="n"/>
      <c r="AL215" s="594" t="n"/>
      <c r="AM215" s="595" t="n"/>
      <c r="AO215" s="594" t="n"/>
      <c r="AP215" s="595" t="n"/>
      <c r="AR215" s="594" t="n"/>
      <c r="AS215" s="595" t="n"/>
    </row>
    <row r="216" ht="15.75" customHeight="1" s="26">
      <c r="B216" s="593" t="n"/>
      <c r="E216" s="594" t="n"/>
      <c r="F216" s="595" t="n"/>
      <c r="H216" s="594" t="n"/>
      <c r="I216" s="595" t="n"/>
      <c r="K216" s="594" t="n"/>
      <c r="L216" s="595" t="n"/>
      <c r="N216" s="594" t="n"/>
      <c r="O216" s="595" t="n"/>
      <c r="Q216" s="594" t="n"/>
      <c r="R216" s="595" t="n"/>
      <c r="T216" s="594" t="n"/>
      <c r="U216" s="595" t="n"/>
      <c r="W216" s="594" t="n"/>
      <c r="X216" s="595" t="n"/>
      <c r="Z216" s="594" t="n"/>
      <c r="AA216" s="595" t="n"/>
      <c r="AC216" s="594" t="n"/>
      <c r="AD216" s="595" t="n"/>
      <c r="AF216" s="594" t="n"/>
      <c r="AG216" s="595" t="n"/>
      <c r="AI216" s="594" t="n"/>
      <c r="AJ216" s="595" t="n"/>
      <c r="AL216" s="594" t="n"/>
      <c r="AM216" s="595" t="n"/>
      <c r="AO216" s="594" t="n"/>
      <c r="AP216" s="595" t="n"/>
      <c r="AR216" s="594" t="n"/>
      <c r="AS216" s="595" t="n"/>
    </row>
    <row r="217" ht="15.75" customHeight="1" s="26">
      <c r="B217" s="593" t="n"/>
      <c r="E217" s="594" t="n"/>
      <c r="F217" s="595" t="n"/>
      <c r="H217" s="594" t="n"/>
      <c r="I217" s="595" t="n"/>
      <c r="K217" s="594" t="n"/>
      <c r="L217" s="595" t="n"/>
      <c r="N217" s="594" t="n"/>
      <c r="O217" s="595" t="n"/>
      <c r="Q217" s="594" t="n"/>
      <c r="R217" s="595" t="n"/>
      <c r="T217" s="594" t="n"/>
      <c r="U217" s="595" t="n"/>
      <c r="W217" s="594" t="n"/>
      <c r="X217" s="595" t="n"/>
      <c r="Z217" s="594" t="n"/>
      <c r="AA217" s="595" t="n"/>
      <c r="AC217" s="594" t="n"/>
      <c r="AD217" s="595" t="n"/>
      <c r="AF217" s="594" t="n"/>
      <c r="AG217" s="595" t="n"/>
      <c r="AI217" s="594" t="n"/>
      <c r="AJ217" s="595" t="n"/>
      <c r="AL217" s="594" t="n"/>
      <c r="AM217" s="595" t="n"/>
      <c r="AO217" s="594" t="n"/>
      <c r="AP217" s="595" t="n"/>
      <c r="AR217" s="594" t="n"/>
      <c r="AS217" s="595" t="n"/>
    </row>
    <row r="218" ht="15.75" customHeight="1" s="26">
      <c r="B218" s="593" t="n"/>
      <c r="E218" s="594" t="n"/>
      <c r="F218" s="595" t="n"/>
      <c r="H218" s="594" t="n"/>
      <c r="I218" s="595" t="n"/>
      <c r="K218" s="594" t="n"/>
      <c r="L218" s="595" t="n"/>
      <c r="N218" s="594" t="n"/>
      <c r="O218" s="595" t="n"/>
      <c r="Q218" s="594" t="n"/>
      <c r="R218" s="595" t="n"/>
      <c r="T218" s="594" t="n"/>
      <c r="U218" s="595" t="n"/>
      <c r="W218" s="594" t="n"/>
      <c r="X218" s="595" t="n"/>
      <c r="Z218" s="594" t="n"/>
      <c r="AA218" s="595" t="n"/>
      <c r="AC218" s="594" t="n"/>
      <c r="AD218" s="595" t="n"/>
      <c r="AF218" s="594" t="n"/>
      <c r="AG218" s="595" t="n"/>
      <c r="AI218" s="594" t="n"/>
      <c r="AJ218" s="595" t="n"/>
      <c r="AL218" s="594" t="n"/>
      <c r="AM218" s="595" t="n"/>
      <c r="AO218" s="594" t="n"/>
      <c r="AP218" s="595" t="n"/>
      <c r="AR218" s="594" t="n"/>
      <c r="AS218" s="595" t="n"/>
    </row>
    <row r="219" ht="15.75" customHeight="1" s="26">
      <c r="B219" s="593" t="n"/>
      <c r="E219" s="594" t="n"/>
      <c r="F219" s="595" t="n"/>
      <c r="H219" s="594" t="n"/>
      <c r="I219" s="595" t="n"/>
      <c r="K219" s="594" t="n"/>
      <c r="L219" s="595" t="n"/>
      <c r="N219" s="594" t="n"/>
      <c r="O219" s="595" t="n"/>
      <c r="Q219" s="594" t="n"/>
      <c r="R219" s="595" t="n"/>
      <c r="T219" s="594" t="n"/>
      <c r="U219" s="595" t="n"/>
      <c r="W219" s="594" t="n"/>
      <c r="X219" s="595" t="n"/>
      <c r="Z219" s="594" t="n"/>
      <c r="AA219" s="595" t="n"/>
      <c r="AC219" s="594" t="n"/>
      <c r="AD219" s="595" t="n"/>
      <c r="AF219" s="594" t="n"/>
      <c r="AG219" s="595" t="n"/>
      <c r="AI219" s="594" t="n"/>
      <c r="AJ219" s="595" t="n"/>
      <c r="AL219" s="594" t="n"/>
      <c r="AM219" s="595" t="n"/>
      <c r="AO219" s="594" t="n"/>
      <c r="AP219" s="595" t="n"/>
      <c r="AR219" s="594" t="n"/>
      <c r="AS219" s="595" t="n"/>
    </row>
    <row r="220" ht="15.75" customHeight="1" s="26">
      <c r="B220" s="593" t="n"/>
      <c r="E220" s="594" t="n"/>
      <c r="F220" s="595" t="n"/>
      <c r="H220" s="594" t="n"/>
      <c r="I220" s="595" t="n"/>
      <c r="K220" s="594" t="n"/>
      <c r="L220" s="595" t="n"/>
      <c r="N220" s="594" t="n"/>
      <c r="O220" s="595" t="n"/>
      <c r="Q220" s="594" t="n"/>
      <c r="R220" s="595" t="n"/>
      <c r="T220" s="594" t="n"/>
      <c r="U220" s="595" t="n"/>
      <c r="W220" s="594" t="n"/>
      <c r="X220" s="595" t="n"/>
      <c r="Z220" s="594" t="n"/>
      <c r="AA220" s="595" t="n"/>
      <c r="AC220" s="594" t="n"/>
      <c r="AD220" s="595" t="n"/>
      <c r="AF220" s="594" t="n"/>
      <c r="AG220" s="595" t="n"/>
      <c r="AI220" s="594" t="n"/>
      <c r="AJ220" s="595" t="n"/>
      <c r="AL220" s="594" t="n"/>
      <c r="AM220" s="595" t="n"/>
      <c r="AO220" s="594" t="n"/>
      <c r="AP220" s="595" t="n"/>
      <c r="AR220" s="594" t="n"/>
      <c r="AS220" s="595" t="n"/>
    </row>
    <row r="221" ht="15.75" customHeight="1" s="26">
      <c r="B221" s="593" t="n"/>
      <c r="E221" s="594" t="n"/>
      <c r="F221" s="595" t="n"/>
      <c r="H221" s="594" t="n"/>
      <c r="I221" s="595" t="n"/>
      <c r="K221" s="594" t="n"/>
      <c r="L221" s="595" t="n"/>
      <c r="N221" s="594" t="n"/>
      <c r="O221" s="595" t="n"/>
      <c r="Q221" s="594" t="n"/>
      <c r="R221" s="595" t="n"/>
      <c r="T221" s="594" t="n"/>
      <c r="U221" s="595" t="n"/>
      <c r="W221" s="594" t="n"/>
      <c r="X221" s="595" t="n"/>
      <c r="Z221" s="594" t="n"/>
      <c r="AA221" s="595" t="n"/>
      <c r="AC221" s="594" t="n"/>
      <c r="AD221" s="595" t="n"/>
      <c r="AF221" s="594" t="n"/>
      <c r="AG221" s="595" t="n"/>
      <c r="AI221" s="594" t="n"/>
      <c r="AJ221" s="595" t="n"/>
      <c r="AL221" s="594" t="n"/>
      <c r="AM221" s="595" t="n"/>
      <c r="AO221" s="594" t="n"/>
      <c r="AP221" s="595" t="n"/>
      <c r="AR221" s="594" t="n"/>
      <c r="AS221" s="595" t="n"/>
    </row>
    <row r="222" ht="15.75" customHeight="1" s="26">
      <c r="B222" s="593" t="n"/>
      <c r="E222" s="594" t="n"/>
      <c r="F222" s="595" t="n"/>
      <c r="H222" s="594" t="n"/>
      <c r="I222" s="595" t="n"/>
      <c r="K222" s="594" t="n"/>
      <c r="L222" s="595" t="n"/>
      <c r="N222" s="594" t="n"/>
      <c r="O222" s="595" t="n"/>
      <c r="Q222" s="594" t="n"/>
      <c r="R222" s="595" t="n"/>
      <c r="T222" s="594" t="n"/>
      <c r="U222" s="595" t="n"/>
      <c r="W222" s="594" t="n"/>
      <c r="X222" s="595" t="n"/>
      <c r="Z222" s="594" t="n"/>
      <c r="AA222" s="595" t="n"/>
      <c r="AC222" s="594" t="n"/>
      <c r="AD222" s="595" t="n"/>
      <c r="AF222" s="594" t="n"/>
      <c r="AG222" s="595" t="n"/>
      <c r="AI222" s="594" t="n"/>
      <c r="AJ222" s="595" t="n"/>
      <c r="AL222" s="594" t="n"/>
      <c r="AM222" s="595" t="n"/>
      <c r="AO222" s="594" t="n"/>
      <c r="AP222" s="595" t="n"/>
      <c r="AR222" s="594" t="n"/>
      <c r="AS222" s="595" t="n"/>
    </row>
    <row r="223" ht="15.75" customHeight="1" s="26">
      <c r="B223" s="593" t="n"/>
      <c r="E223" s="594" t="n"/>
      <c r="F223" s="595" t="n"/>
      <c r="H223" s="594" t="n"/>
      <c r="I223" s="595" t="n"/>
      <c r="K223" s="594" t="n"/>
      <c r="L223" s="595" t="n"/>
      <c r="N223" s="594" t="n"/>
      <c r="O223" s="595" t="n"/>
      <c r="Q223" s="594" t="n"/>
      <c r="R223" s="595" t="n"/>
      <c r="T223" s="594" t="n"/>
      <c r="U223" s="595" t="n"/>
      <c r="W223" s="594" t="n"/>
      <c r="X223" s="595" t="n"/>
      <c r="Z223" s="594" t="n"/>
      <c r="AA223" s="595" t="n"/>
      <c r="AC223" s="594" t="n"/>
      <c r="AD223" s="595" t="n"/>
      <c r="AF223" s="594" t="n"/>
      <c r="AG223" s="595" t="n"/>
      <c r="AI223" s="594" t="n"/>
      <c r="AJ223" s="595" t="n"/>
      <c r="AL223" s="594" t="n"/>
      <c r="AM223" s="595" t="n"/>
      <c r="AO223" s="594" t="n"/>
      <c r="AP223" s="595" t="n"/>
      <c r="AR223" s="594" t="n"/>
      <c r="AS223" s="595" t="n"/>
    </row>
    <row r="224" ht="15.75" customHeight="1" s="26">
      <c r="B224" s="593" t="n"/>
      <c r="E224" s="594" t="n"/>
      <c r="F224" s="595" t="n"/>
      <c r="H224" s="594" t="n"/>
      <c r="I224" s="595" t="n"/>
      <c r="K224" s="594" t="n"/>
      <c r="L224" s="595" t="n"/>
      <c r="N224" s="594" t="n"/>
      <c r="O224" s="595" t="n"/>
      <c r="Q224" s="594" t="n"/>
      <c r="R224" s="595" t="n"/>
      <c r="T224" s="594" t="n"/>
      <c r="U224" s="595" t="n"/>
      <c r="W224" s="594" t="n"/>
      <c r="X224" s="595" t="n"/>
      <c r="Z224" s="594" t="n"/>
      <c r="AA224" s="595" t="n"/>
      <c r="AC224" s="594" t="n"/>
      <c r="AD224" s="595" t="n"/>
      <c r="AF224" s="594" t="n"/>
      <c r="AG224" s="595" t="n"/>
      <c r="AI224" s="594" t="n"/>
      <c r="AJ224" s="595" t="n"/>
      <c r="AL224" s="594" t="n"/>
      <c r="AM224" s="595" t="n"/>
      <c r="AO224" s="594" t="n"/>
      <c r="AP224" s="595" t="n"/>
      <c r="AR224" s="594" t="n"/>
      <c r="AS224" s="595" t="n"/>
    </row>
    <row r="225" ht="15.75" customHeight="1" s="26">
      <c r="B225" s="593" t="n"/>
      <c r="E225" s="594" t="n"/>
      <c r="F225" s="595" t="n"/>
      <c r="H225" s="594" t="n"/>
      <c r="I225" s="595" t="n"/>
      <c r="K225" s="594" t="n"/>
      <c r="L225" s="595" t="n"/>
      <c r="N225" s="594" t="n"/>
      <c r="O225" s="595" t="n"/>
      <c r="Q225" s="594" t="n"/>
      <c r="R225" s="595" t="n"/>
      <c r="T225" s="594" t="n"/>
      <c r="U225" s="595" t="n"/>
      <c r="W225" s="594" t="n"/>
      <c r="X225" s="595" t="n"/>
      <c r="Z225" s="594" t="n"/>
      <c r="AA225" s="595" t="n"/>
      <c r="AC225" s="594" t="n"/>
      <c r="AD225" s="595" t="n"/>
      <c r="AF225" s="594" t="n"/>
      <c r="AG225" s="595" t="n"/>
      <c r="AI225" s="594" t="n"/>
      <c r="AJ225" s="595" t="n"/>
      <c r="AL225" s="594" t="n"/>
      <c r="AM225" s="595" t="n"/>
      <c r="AO225" s="594" t="n"/>
      <c r="AP225" s="595" t="n"/>
      <c r="AR225" s="594" t="n"/>
      <c r="AS225" s="595" t="n"/>
    </row>
    <row r="226" ht="15.75" customHeight="1" s="26">
      <c r="B226" s="593" t="n"/>
      <c r="E226" s="594" t="n"/>
      <c r="F226" s="595" t="n"/>
      <c r="H226" s="594" t="n"/>
      <c r="I226" s="595" t="n"/>
      <c r="K226" s="594" t="n"/>
      <c r="L226" s="595" t="n"/>
      <c r="N226" s="594" t="n"/>
      <c r="O226" s="595" t="n"/>
      <c r="Q226" s="594" t="n"/>
      <c r="R226" s="595" t="n"/>
      <c r="T226" s="594" t="n"/>
      <c r="U226" s="595" t="n"/>
      <c r="W226" s="594" t="n"/>
      <c r="X226" s="595" t="n"/>
      <c r="Z226" s="594" t="n"/>
      <c r="AA226" s="595" t="n"/>
      <c r="AC226" s="594" t="n"/>
      <c r="AD226" s="595" t="n"/>
      <c r="AF226" s="594" t="n"/>
      <c r="AG226" s="595" t="n"/>
      <c r="AI226" s="594" t="n"/>
      <c r="AJ226" s="595" t="n"/>
      <c r="AL226" s="594" t="n"/>
      <c r="AM226" s="595" t="n"/>
      <c r="AO226" s="594" t="n"/>
      <c r="AP226" s="595" t="n"/>
      <c r="AR226" s="594" t="n"/>
      <c r="AS226" s="595" t="n"/>
    </row>
    <row r="227" ht="15.75" customHeight="1" s="26">
      <c r="B227" s="593" t="n"/>
      <c r="E227" s="594" t="n"/>
      <c r="F227" s="595" t="n"/>
      <c r="H227" s="594" t="n"/>
      <c r="I227" s="595" t="n"/>
      <c r="K227" s="594" t="n"/>
      <c r="L227" s="595" t="n"/>
      <c r="N227" s="594" t="n"/>
      <c r="O227" s="595" t="n"/>
      <c r="Q227" s="594" t="n"/>
      <c r="R227" s="595" t="n"/>
      <c r="T227" s="594" t="n"/>
      <c r="U227" s="595" t="n"/>
      <c r="W227" s="594" t="n"/>
      <c r="X227" s="595" t="n"/>
      <c r="Z227" s="594" t="n"/>
      <c r="AA227" s="595" t="n"/>
      <c r="AC227" s="594" t="n"/>
      <c r="AD227" s="595" t="n"/>
      <c r="AF227" s="594" t="n"/>
      <c r="AG227" s="595" t="n"/>
      <c r="AI227" s="594" t="n"/>
      <c r="AJ227" s="595" t="n"/>
      <c r="AL227" s="594" t="n"/>
      <c r="AM227" s="595" t="n"/>
      <c r="AO227" s="594" t="n"/>
      <c r="AP227" s="595" t="n"/>
      <c r="AR227" s="594" t="n"/>
      <c r="AS227" s="595" t="n"/>
    </row>
    <row r="228" ht="15.75" customHeight="1" s="26">
      <c r="B228" s="593" t="n"/>
      <c r="E228" s="594" t="n"/>
      <c r="F228" s="595" t="n"/>
      <c r="H228" s="594" t="n"/>
      <c r="I228" s="595" t="n"/>
      <c r="K228" s="594" t="n"/>
      <c r="L228" s="595" t="n"/>
      <c r="N228" s="594" t="n"/>
      <c r="O228" s="595" t="n"/>
      <c r="Q228" s="594" t="n"/>
      <c r="R228" s="595" t="n"/>
      <c r="T228" s="594" t="n"/>
      <c r="U228" s="595" t="n"/>
      <c r="W228" s="594" t="n"/>
      <c r="X228" s="595" t="n"/>
      <c r="Z228" s="594" t="n"/>
      <c r="AA228" s="595" t="n"/>
      <c r="AC228" s="594" t="n"/>
      <c r="AD228" s="595" t="n"/>
      <c r="AF228" s="594" t="n"/>
      <c r="AG228" s="595" t="n"/>
      <c r="AI228" s="594" t="n"/>
      <c r="AJ228" s="595" t="n"/>
      <c r="AL228" s="594" t="n"/>
      <c r="AM228" s="595" t="n"/>
      <c r="AO228" s="594" t="n"/>
      <c r="AP228" s="595" t="n"/>
      <c r="AR228" s="594" t="n"/>
      <c r="AS228" s="595" t="n"/>
    </row>
    <row r="229" ht="15.75" customHeight="1" s="26">
      <c r="B229" s="593" t="n"/>
      <c r="E229" s="594" t="n"/>
      <c r="F229" s="595" t="n"/>
      <c r="H229" s="594" t="n"/>
      <c r="I229" s="595" t="n"/>
      <c r="K229" s="594" t="n"/>
      <c r="L229" s="595" t="n"/>
      <c r="N229" s="594" t="n"/>
      <c r="O229" s="595" t="n"/>
      <c r="Q229" s="594" t="n"/>
      <c r="R229" s="595" t="n"/>
      <c r="T229" s="594" t="n"/>
      <c r="U229" s="595" t="n"/>
      <c r="W229" s="594" t="n"/>
      <c r="X229" s="595" t="n"/>
      <c r="Z229" s="594" t="n"/>
      <c r="AA229" s="595" t="n"/>
      <c r="AC229" s="594" t="n"/>
      <c r="AD229" s="595" t="n"/>
      <c r="AF229" s="594" t="n"/>
      <c r="AG229" s="595" t="n"/>
      <c r="AI229" s="594" t="n"/>
      <c r="AJ229" s="595" t="n"/>
      <c r="AL229" s="594" t="n"/>
      <c r="AM229" s="595" t="n"/>
      <c r="AO229" s="594" t="n"/>
      <c r="AP229" s="595" t="n"/>
      <c r="AR229" s="594" t="n"/>
      <c r="AS229" s="595" t="n"/>
    </row>
    <row r="230" ht="15.75" customHeight="1" s="26">
      <c r="B230" s="593" t="n"/>
      <c r="E230" s="594" t="n"/>
      <c r="F230" s="595" t="n"/>
      <c r="H230" s="594" t="n"/>
      <c r="I230" s="595" t="n"/>
      <c r="K230" s="594" t="n"/>
      <c r="L230" s="595" t="n"/>
      <c r="N230" s="594" t="n"/>
      <c r="O230" s="595" t="n"/>
      <c r="Q230" s="594" t="n"/>
      <c r="R230" s="595" t="n"/>
      <c r="T230" s="594" t="n"/>
      <c r="U230" s="595" t="n"/>
      <c r="W230" s="594" t="n"/>
      <c r="X230" s="595" t="n"/>
      <c r="Z230" s="594" t="n"/>
      <c r="AA230" s="595" t="n"/>
      <c r="AC230" s="594" t="n"/>
      <c r="AD230" s="595" t="n"/>
      <c r="AF230" s="594" t="n"/>
      <c r="AG230" s="595" t="n"/>
      <c r="AI230" s="594" t="n"/>
      <c r="AJ230" s="595" t="n"/>
      <c r="AL230" s="594" t="n"/>
      <c r="AM230" s="595" t="n"/>
      <c r="AO230" s="594" t="n"/>
      <c r="AP230" s="595" t="n"/>
      <c r="AR230" s="594" t="n"/>
      <c r="AS230" s="595" t="n"/>
    </row>
    <row r="231" ht="15.75" customHeight="1" s="26">
      <c r="B231" s="593" t="n"/>
      <c r="E231" s="594" t="n"/>
      <c r="F231" s="595" t="n"/>
      <c r="H231" s="594" t="n"/>
      <c r="I231" s="595" t="n"/>
      <c r="K231" s="594" t="n"/>
      <c r="L231" s="595" t="n"/>
      <c r="N231" s="594" t="n"/>
      <c r="O231" s="595" t="n"/>
      <c r="Q231" s="594" t="n"/>
      <c r="R231" s="595" t="n"/>
      <c r="T231" s="594" t="n"/>
      <c r="U231" s="595" t="n"/>
      <c r="W231" s="594" t="n"/>
      <c r="X231" s="595" t="n"/>
      <c r="Z231" s="594" t="n"/>
      <c r="AA231" s="595" t="n"/>
      <c r="AC231" s="594" t="n"/>
      <c r="AD231" s="595" t="n"/>
      <c r="AF231" s="594" t="n"/>
      <c r="AG231" s="595" t="n"/>
      <c r="AI231" s="594" t="n"/>
      <c r="AJ231" s="595" t="n"/>
      <c r="AL231" s="594" t="n"/>
      <c r="AM231" s="595" t="n"/>
      <c r="AO231" s="594" t="n"/>
      <c r="AP231" s="595" t="n"/>
      <c r="AR231" s="594" t="n"/>
      <c r="AS231" s="595" t="n"/>
    </row>
    <row r="232" ht="15.75" customHeight="1" s="26">
      <c r="B232" s="593" t="n"/>
      <c r="E232" s="594" t="n"/>
      <c r="F232" s="595" t="n"/>
      <c r="H232" s="594" t="n"/>
      <c r="I232" s="595" t="n"/>
      <c r="K232" s="594" t="n"/>
      <c r="L232" s="595" t="n"/>
      <c r="N232" s="594" t="n"/>
      <c r="O232" s="595" t="n"/>
      <c r="Q232" s="594" t="n"/>
      <c r="R232" s="595" t="n"/>
      <c r="T232" s="594" t="n"/>
      <c r="U232" s="595" t="n"/>
      <c r="W232" s="594" t="n"/>
      <c r="X232" s="595" t="n"/>
      <c r="Z232" s="594" t="n"/>
      <c r="AA232" s="595" t="n"/>
      <c r="AC232" s="594" t="n"/>
      <c r="AD232" s="595" t="n"/>
      <c r="AF232" s="594" t="n"/>
      <c r="AG232" s="595" t="n"/>
      <c r="AI232" s="594" t="n"/>
      <c r="AJ232" s="595" t="n"/>
      <c r="AL232" s="594" t="n"/>
      <c r="AM232" s="595" t="n"/>
      <c r="AO232" s="594" t="n"/>
      <c r="AP232" s="595" t="n"/>
      <c r="AR232" s="594" t="n"/>
      <c r="AS232" s="595" t="n"/>
    </row>
    <row r="233" ht="15.75" customHeight="1" s="26">
      <c r="B233" s="593" t="n"/>
      <c r="E233" s="594" t="n"/>
      <c r="F233" s="595" t="n"/>
      <c r="H233" s="594" t="n"/>
      <c r="I233" s="595" t="n"/>
      <c r="K233" s="594" t="n"/>
      <c r="L233" s="595" t="n"/>
      <c r="N233" s="594" t="n"/>
      <c r="O233" s="595" t="n"/>
      <c r="Q233" s="594" t="n"/>
      <c r="R233" s="595" t="n"/>
      <c r="T233" s="594" t="n"/>
      <c r="U233" s="595" t="n"/>
      <c r="W233" s="594" t="n"/>
      <c r="X233" s="595" t="n"/>
      <c r="Z233" s="594" t="n"/>
      <c r="AA233" s="595" t="n"/>
      <c r="AC233" s="594" t="n"/>
      <c r="AD233" s="595" t="n"/>
      <c r="AF233" s="594" t="n"/>
      <c r="AG233" s="595" t="n"/>
      <c r="AI233" s="594" t="n"/>
      <c r="AJ233" s="595" t="n"/>
      <c r="AL233" s="594" t="n"/>
      <c r="AM233" s="595" t="n"/>
      <c r="AO233" s="594" t="n"/>
      <c r="AP233" s="595" t="n"/>
      <c r="AR233" s="594" t="n"/>
      <c r="AS233" s="595" t="n"/>
    </row>
    <row r="234" ht="15.75" customHeight="1" s="26">
      <c r="B234" s="593" t="n"/>
      <c r="E234" s="594" t="n"/>
      <c r="F234" s="595" t="n"/>
      <c r="H234" s="594" t="n"/>
      <c r="I234" s="595" t="n"/>
      <c r="K234" s="594" t="n"/>
      <c r="L234" s="595" t="n"/>
      <c r="N234" s="594" t="n"/>
      <c r="O234" s="595" t="n"/>
      <c r="Q234" s="594" t="n"/>
      <c r="R234" s="595" t="n"/>
      <c r="T234" s="594" t="n"/>
      <c r="U234" s="595" t="n"/>
      <c r="W234" s="594" t="n"/>
      <c r="X234" s="595" t="n"/>
      <c r="Z234" s="594" t="n"/>
      <c r="AA234" s="595" t="n"/>
      <c r="AC234" s="594" t="n"/>
      <c r="AD234" s="595" t="n"/>
      <c r="AF234" s="594" t="n"/>
      <c r="AG234" s="595" t="n"/>
      <c r="AI234" s="594" t="n"/>
      <c r="AJ234" s="595" t="n"/>
      <c r="AL234" s="594" t="n"/>
      <c r="AM234" s="595" t="n"/>
      <c r="AO234" s="594" t="n"/>
      <c r="AP234" s="595" t="n"/>
      <c r="AR234" s="594" t="n"/>
      <c r="AS234" s="595" t="n"/>
    </row>
    <row r="235" ht="15.75" customHeight="1" s="26">
      <c r="B235" s="593" t="n"/>
      <c r="E235" s="594" t="n"/>
      <c r="F235" s="595" t="n"/>
      <c r="H235" s="594" t="n"/>
      <c r="I235" s="595" t="n"/>
      <c r="K235" s="594" t="n"/>
      <c r="L235" s="595" t="n"/>
      <c r="N235" s="594" t="n"/>
      <c r="O235" s="595" t="n"/>
      <c r="Q235" s="594" t="n"/>
      <c r="R235" s="595" t="n"/>
      <c r="T235" s="594" t="n"/>
      <c r="U235" s="595" t="n"/>
      <c r="W235" s="594" t="n"/>
      <c r="X235" s="595" t="n"/>
      <c r="Z235" s="594" t="n"/>
      <c r="AA235" s="595" t="n"/>
      <c r="AC235" s="594" t="n"/>
      <c r="AD235" s="595" t="n"/>
      <c r="AF235" s="594" t="n"/>
      <c r="AG235" s="595" t="n"/>
      <c r="AI235" s="594" t="n"/>
      <c r="AJ235" s="595" t="n"/>
      <c r="AL235" s="594" t="n"/>
      <c r="AM235" s="595" t="n"/>
      <c r="AO235" s="594" t="n"/>
      <c r="AP235" s="595" t="n"/>
      <c r="AR235" s="594" t="n"/>
      <c r="AS235" s="595" t="n"/>
    </row>
    <row r="236" ht="15.75" customHeight="1" s="26">
      <c r="B236" s="593" t="n"/>
      <c r="E236" s="594" t="n"/>
      <c r="F236" s="595" t="n"/>
      <c r="H236" s="594" t="n"/>
      <c r="I236" s="595" t="n"/>
      <c r="K236" s="594" t="n"/>
      <c r="L236" s="595" t="n"/>
      <c r="N236" s="594" t="n"/>
      <c r="O236" s="595" t="n"/>
      <c r="Q236" s="594" t="n"/>
      <c r="R236" s="595" t="n"/>
      <c r="T236" s="594" t="n"/>
      <c r="U236" s="595" t="n"/>
      <c r="W236" s="594" t="n"/>
      <c r="X236" s="595" t="n"/>
      <c r="Z236" s="594" t="n"/>
      <c r="AA236" s="595" t="n"/>
      <c r="AC236" s="594" t="n"/>
      <c r="AD236" s="595" t="n"/>
      <c r="AF236" s="594" t="n"/>
      <c r="AG236" s="595" t="n"/>
      <c r="AI236" s="594" t="n"/>
      <c r="AJ236" s="595" t="n"/>
      <c r="AL236" s="594" t="n"/>
      <c r="AM236" s="595" t="n"/>
      <c r="AO236" s="594" t="n"/>
      <c r="AP236" s="595" t="n"/>
      <c r="AR236" s="594" t="n"/>
      <c r="AS236" s="595" t="n"/>
    </row>
    <row r="237" ht="15.75" customHeight="1" s="26">
      <c r="B237" s="593" t="n"/>
      <c r="E237" s="594" t="n"/>
      <c r="F237" s="595" t="n"/>
      <c r="H237" s="594" t="n"/>
      <c r="I237" s="595" t="n"/>
      <c r="K237" s="594" t="n"/>
      <c r="L237" s="595" t="n"/>
      <c r="N237" s="594" t="n"/>
      <c r="O237" s="595" t="n"/>
      <c r="Q237" s="594" t="n"/>
      <c r="R237" s="595" t="n"/>
      <c r="T237" s="594" t="n"/>
      <c r="U237" s="595" t="n"/>
      <c r="W237" s="594" t="n"/>
      <c r="X237" s="595" t="n"/>
      <c r="Z237" s="594" t="n"/>
      <c r="AA237" s="595" t="n"/>
      <c r="AC237" s="594" t="n"/>
      <c r="AD237" s="595" t="n"/>
      <c r="AF237" s="594" t="n"/>
      <c r="AG237" s="595" t="n"/>
      <c r="AI237" s="594" t="n"/>
      <c r="AJ237" s="595" t="n"/>
      <c r="AL237" s="594" t="n"/>
      <c r="AM237" s="595" t="n"/>
      <c r="AO237" s="594" t="n"/>
      <c r="AP237" s="595" t="n"/>
      <c r="AR237" s="594" t="n"/>
      <c r="AS237" s="595" t="n"/>
    </row>
    <row r="238" ht="15.75" customHeight="1" s="26">
      <c r="B238" s="593" t="n"/>
      <c r="E238" s="594" t="n"/>
      <c r="F238" s="595" t="n"/>
      <c r="H238" s="594" t="n"/>
      <c r="I238" s="595" t="n"/>
      <c r="K238" s="594" t="n"/>
      <c r="L238" s="595" t="n"/>
      <c r="N238" s="594" t="n"/>
      <c r="O238" s="595" t="n"/>
      <c r="Q238" s="594" t="n"/>
      <c r="R238" s="595" t="n"/>
      <c r="T238" s="594" t="n"/>
      <c r="U238" s="595" t="n"/>
      <c r="W238" s="594" t="n"/>
      <c r="X238" s="595" t="n"/>
      <c r="Z238" s="594" t="n"/>
      <c r="AA238" s="595" t="n"/>
      <c r="AC238" s="594" t="n"/>
      <c r="AD238" s="595" t="n"/>
      <c r="AF238" s="594" t="n"/>
      <c r="AG238" s="595" t="n"/>
      <c r="AI238" s="594" t="n"/>
      <c r="AJ238" s="595" t="n"/>
      <c r="AL238" s="594" t="n"/>
      <c r="AM238" s="595" t="n"/>
      <c r="AO238" s="594" t="n"/>
      <c r="AP238" s="595" t="n"/>
      <c r="AR238" s="594" t="n"/>
      <c r="AS238" s="595" t="n"/>
    </row>
    <row r="239" ht="15.75" customHeight="1" s="26">
      <c r="B239" s="593" t="n"/>
      <c r="E239" s="594" t="n"/>
      <c r="F239" s="595" t="n"/>
      <c r="H239" s="594" t="n"/>
      <c r="I239" s="595" t="n"/>
      <c r="K239" s="594" t="n"/>
      <c r="L239" s="595" t="n"/>
      <c r="N239" s="594" t="n"/>
      <c r="O239" s="595" t="n"/>
      <c r="Q239" s="594" t="n"/>
      <c r="R239" s="595" t="n"/>
      <c r="T239" s="594" t="n"/>
      <c r="U239" s="595" t="n"/>
      <c r="W239" s="594" t="n"/>
      <c r="X239" s="595" t="n"/>
      <c r="Z239" s="594" t="n"/>
      <c r="AA239" s="595" t="n"/>
      <c r="AC239" s="594" t="n"/>
      <c r="AD239" s="595" t="n"/>
      <c r="AF239" s="594" t="n"/>
      <c r="AG239" s="595" t="n"/>
      <c r="AI239" s="594" t="n"/>
      <c r="AJ239" s="595" t="n"/>
      <c r="AL239" s="594" t="n"/>
      <c r="AM239" s="595" t="n"/>
      <c r="AO239" s="594" t="n"/>
      <c r="AP239" s="595" t="n"/>
      <c r="AR239" s="594" t="n"/>
      <c r="AS239" s="595" t="n"/>
    </row>
    <row r="240" ht="15.75" customHeight="1" s="26">
      <c r="B240" s="593" t="n"/>
      <c r="E240" s="594" t="n"/>
      <c r="F240" s="595" t="n"/>
      <c r="H240" s="594" t="n"/>
      <c r="I240" s="595" t="n"/>
      <c r="K240" s="594" t="n"/>
      <c r="L240" s="595" t="n"/>
      <c r="N240" s="594" t="n"/>
      <c r="O240" s="595" t="n"/>
      <c r="Q240" s="594" t="n"/>
      <c r="R240" s="595" t="n"/>
      <c r="T240" s="594" t="n"/>
      <c r="U240" s="595" t="n"/>
      <c r="W240" s="594" t="n"/>
      <c r="X240" s="595" t="n"/>
      <c r="Z240" s="594" t="n"/>
      <c r="AA240" s="595" t="n"/>
      <c r="AC240" s="594" t="n"/>
      <c r="AD240" s="595" t="n"/>
      <c r="AF240" s="594" t="n"/>
      <c r="AG240" s="595" t="n"/>
      <c r="AI240" s="594" t="n"/>
      <c r="AJ240" s="595" t="n"/>
      <c r="AL240" s="594" t="n"/>
      <c r="AM240" s="595" t="n"/>
      <c r="AO240" s="594" t="n"/>
      <c r="AP240" s="595" t="n"/>
      <c r="AR240" s="594" t="n"/>
      <c r="AS240" s="595" t="n"/>
    </row>
    <row r="241" ht="15.75" customHeight="1" s="26">
      <c r="B241" s="593" t="n"/>
      <c r="E241" s="594" t="n"/>
      <c r="F241" s="595" t="n"/>
      <c r="H241" s="594" t="n"/>
      <c r="I241" s="595" t="n"/>
      <c r="K241" s="594" t="n"/>
      <c r="L241" s="595" t="n"/>
      <c r="N241" s="594" t="n"/>
      <c r="O241" s="595" t="n"/>
      <c r="Q241" s="594" t="n"/>
      <c r="R241" s="595" t="n"/>
      <c r="T241" s="594" t="n"/>
      <c r="U241" s="595" t="n"/>
      <c r="W241" s="594" t="n"/>
      <c r="X241" s="595" t="n"/>
      <c r="Z241" s="594" t="n"/>
      <c r="AA241" s="595" t="n"/>
      <c r="AC241" s="594" t="n"/>
      <c r="AD241" s="595" t="n"/>
      <c r="AF241" s="594" t="n"/>
      <c r="AG241" s="595" t="n"/>
      <c r="AI241" s="594" t="n"/>
      <c r="AJ241" s="595" t="n"/>
      <c r="AL241" s="594" t="n"/>
      <c r="AM241" s="595" t="n"/>
      <c r="AO241" s="594" t="n"/>
      <c r="AP241" s="595" t="n"/>
      <c r="AR241" s="594" t="n"/>
      <c r="AS241" s="595" t="n"/>
    </row>
    <row r="242" ht="15.75" customHeight="1" s="26">
      <c r="B242" s="593" t="n"/>
      <c r="E242" s="594" t="n"/>
      <c r="F242" s="595" t="n"/>
      <c r="H242" s="594" t="n"/>
      <c r="I242" s="595" t="n"/>
      <c r="K242" s="594" t="n"/>
      <c r="L242" s="595" t="n"/>
      <c r="N242" s="594" t="n"/>
      <c r="O242" s="595" t="n"/>
      <c r="Q242" s="594" t="n"/>
      <c r="R242" s="595" t="n"/>
      <c r="T242" s="594" t="n"/>
      <c r="U242" s="595" t="n"/>
      <c r="W242" s="594" t="n"/>
      <c r="X242" s="595" t="n"/>
      <c r="Z242" s="594" t="n"/>
      <c r="AA242" s="595" t="n"/>
      <c r="AC242" s="594" t="n"/>
      <c r="AD242" s="595" t="n"/>
      <c r="AF242" s="594" t="n"/>
      <c r="AG242" s="595" t="n"/>
      <c r="AI242" s="594" t="n"/>
      <c r="AJ242" s="595" t="n"/>
      <c r="AL242" s="594" t="n"/>
      <c r="AM242" s="595" t="n"/>
      <c r="AO242" s="594" t="n"/>
      <c r="AP242" s="595" t="n"/>
      <c r="AR242" s="594" t="n"/>
      <c r="AS242" s="595" t="n"/>
    </row>
    <row r="243" ht="15.75" customHeight="1" s="26">
      <c r="B243" s="593" t="n"/>
      <c r="E243" s="594" t="n"/>
      <c r="F243" s="595" t="n"/>
      <c r="H243" s="594" t="n"/>
      <c r="I243" s="595" t="n"/>
      <c r="K243" s="594" t="n"/>
      <c r="L243" s="595" t="n"/>
      <c r="N243" s="594" t="n"/>
      <c r="O243" s="595" t="n"/>
      <c r="Q243" s="594" t="n"/>
      <c r="R243" s="595" t="n"/>
      <c r="T243" s="594" t="n"/>
      <c r="U243" s="595" t="n"/>
      <c r="W243" s="594" t="n"/>
      <c r="X243" s="595" t="n"/>
      <c r="Z243" s="594" t="n"/>
      <c r="AA243" s="595" t="n"/>
      <c r="AC243" s="594" t="n"/>
      <c r="AD243" s="595" t="n"/>
      <c r="AF243" s="594" t="n"/>
      <c r="AG243" s="595" t="n"/>
      <c r="AI243" s="594" t="n"/>
      <c r="AJ243" s="595" t="n"/>
      <c r="AL243" s="594" t="n"/>
      <c r="AM243" s="595" t="n"/>
      <c r="AO243" s="594" t="n"/>
      <c r="AP243" s="595" t="n"/>
      <c r="AR243" s="594" t="n"/>
      <c r="AS243" s="595" t="n"/>
    </row>
    <row r="244" ht="15.75" customHeight="1" s="26">
      <c r="B244" s="593" t="n"/>
      <c r="E244" s="594" t="n"/>
      <c r="F244" s="595" t="n"/>
      <c r="H244" s="594" t="n"/>
      <c r="I244" s="595" t="n"/>
      <c r="K244" s="594" t="n"/>
      <c r="L244" s="595" t="n"/>
      <c r="N244" s="594" t="n"/>
      <c r="O244" s="595" t="n"/>
      <c r="Q244" s="594" t="n"/>
      <c r="R244" s="595" t="n"/>
      <c r="T244" s="594" t="n"/>
      <c r="U244" s="595" t="n"/>
      <c r="W244" s="594" t="n"/>
      <c r="X244" s="595" t="n"/>
      <c r="Z244" s="594" t="n"/>
      <c r="AA244" s="595" t="n"/>
      <c r="AC244" s="594" t="n"/>
      <c r="AD244" s="595" t="n"/>
      <c r="AF244" s="594" t="n"/>
      <c r="AG244" s="595" t="n"/>
      <c r="AI244" s="594" t="n"/>
      <c r="AJ244" s="595" t="n"/>
      <c r="AL244" s="594" t="n"/>
      <c r="AM244" s="595" t="n"/>
      <c r="AO244" s="594" t="n"/>
      <c r="AP244" s="595" t="n"/>
      <c r="AR244" s="594" t="n"/>
      <c r="AS244" s="595" t="n"/>
    </row>
    <row r="245" ht="15.75" customHeight="1" s="26">
      <c r="B245" s="593" t="n"/>
      <c r="E245" s="594" t="n"/>
      <c r="F245" s="595" t="n"/>
      <c r="H245" s="594" t="n"/>
      <c r="I245" s="595" t="n"/>
      <c r="K245" s="594" t="n"/>
      <c r="L245" s="595" t="n"/>
      <c r="N245" s="594" t="n"/>
      <c r="O245" s="595" t="n"/>
      <c r="Q245" s="594" t="n"/>
      <c r="R245" s="595" t="n"/>
      <c r="T245" s="594" t="n"/>
      <c r="U245" s="595" t="n"/>
      <c r="W245" s="594" t="n"/>
      <c r="X245" s="595" t="n"/>
      <c r="Z245" s="594" t="n"/>
      <c r="AA245" s="595" t="n"/>
      <c r="AC245" s="594" t="n"/>
      <c r="AD245" s="595" t="n"/>
      <c r="AF245" s="594" t="n"/>
      <c r="AG245" s="595" t="n"/>
      <c r="AI245" s="594" t="n"/>
      <c r="AJ245" s="595" t="n"/>
      <c r="AL245" s="594" t="n"/>
      <c r="AM245" s="595" t="n"/>
      <c r="AO245" s="594" t="n"/>
      <c r="AP245" s="595" t="n"/>
      <c r="AR245" s="594" t="n"/>
      <c r="AS245" s="595" t="n"/>
    </row>
    <row r="246" ht="15.75" customHeight="1" s="26">
      <c r="B246" s="593" t="n"/>
      <c r="E246" s="594" t="n"/>
      <c r="F246" s="595" t="n"/>
      <c r="H246" s="594" t="n"/>
      <c r="I246" s="595" t="n"/>
      <c r="K246" s="594" t="n"/>
      <c r="L246" s="595" t="n"/>
      <c r="N246" s="594" t="n"/>
      <c r="O246" s="595" t="n"/>
      <c r="Q246" s="594" t="n"/>
      <c r="R246" s="595" t="n"/>
      <c r="T246" s="594" t="n"/>
      <c r="U246" s="595" t="n"/>
      <c r="W246" s="594" t="n"/>
      <c r="X246" s="595" t="n"/>
      <c r="Z246" s="594" t="n"/>
      <c r="AA246" s="595" t="n"/>
      <c r="AC246" s="594" t="n"/>
      <c r="AD246" s="595" t="n"/>
      <c r="AF246" s="594" t="n"/>
      <c r="AG246" s="595" t="n"/>
      <c r="AI246" s="594" t="n"/>
      <c r="AJ246" s="595" t="n"/>
      <c r="AL246" s="594" t="n"/>
      <c r="AM246" s="595" t="n"/>
      <c r="AO246" s="594" t="n"/>
      <c r="AP246" s="595" t="n"/>
      <c r="AR246" s="594" t="n"/>
      <c r="AS246" s="595" t="n"/>
    </row>
    <row r="247" ht="15.75" customHeight="1" s="26">
      <c r="B247" s="593" t="n"/>
      <c r="E247" s="594" t="n"/>
      <c r="F247" s="595" t="n"/>
      <c r="H247" s="594" t="n"/>
      <c r="I247" s="595" t="n"/>
      <c r="K247" s="594" t="n"/>
      <c r="L247" s="595" t="n"/>
      <c r="N247" s="594" t="n"/>
      <c r="O247" s="595" t="n"/>
      <c r="Q247" s="594" t="n"/>
      <c r="R247" s="595" t="n"/>
      <c r="T247" s="594" t="n"/>
      <c r="U247" s="595" t="n"/>
      <c r="W247" s="594" t="n"/>
      <c r="X247" s="595" t="n"/>
      <c r="Z247" s="594" t="n"/>
      <c r="AA247" s="595" t="n"/>
      <c r="AC247" s="594" t="n"/>
      <c r="AD247" s="595" t="n"/>
      <c r="AF247" s="594" t="n"/>
      <c r="AG247" s="595" t="n"/>
      <c r="AI247" s="594" t="n"/>
      <c r="AJ247" s="595" t="n"/>
      <c r="AL247" s="594" t="n"/>
      <c r="AM247" s="595" t="n"/>
      <c r="AO247" s="594" t="n"/>
      <c r="AP247" s="595" t="n"/>
      <c r="AR247" s="594" t="n"/>
      <c r="AS247" s="595" t="n"/>
    </row>
    <row r="248" ht="15.75" customHeight="1" s="26">
      <c r="B248" s="593" t="n"/>
      <c r="E248" s="594" t="n"/>
      <c r="F248" s="595" t="n"/>
      <c r="H248" s="594" t="n"/>
      <c r="I248" s="595" t="n"/>
      <c r="K248" s="594" t="n"/>
      <c r="L248" s="595" t="n"/>
      <c r="N248" s="594" t="n"/>
      <c r="O248" s="595" t="n"/>
      <c r="Q248" s="594" t="n"/>
      <c r="R248" s="595" t="n"/>
      <c r="T248" s="594" t="n"/>
      <c r="U248" s="595" t="n"/>
      <c r="W248" s="594" t="n"/>
      <c r="X248" s="595" t="n"/>
      <c r="Z248" s="594" t="n"/>
      <c r="AA248" s="595" t="n"/>
      <c r="AC248" s="594" t="n"/>
      <c r="AD248" s="595" t="n"/>
      <c r="AF248" s="594" t="n"/>
      <c r="AG248" s="595" t="n"/>
      <c r="AI248" s="594" t="n"/>
      <c r="AJ248" s="595" t="n"/>
      <c r="AL248" s="594" t="n"/>
      <c r="AM248" s="595" t="n"/>
      <c r="AO248" s="594" t="n"/>
      <c r="AP248" s="595" t="n"/>
      <c r="AR248" s="594" t="n"/>
      <c r="AS248" s="595" t="n"/>
    </row>
    <row r="249" ht="15.75" customHeight="1" s="26">
      <c r="B249" s="593" t="n"/>
      <c r="E249" s="594" t="n"/>
      <c r="F249" s="595" t="n"/>
      <c r="H249" s="594" t="n"/>
      <c r="I249" s="595" t="n"/>
      <c r="K249" s="594" t="n"/>
      <c r="L249" s="595" t="n"/>
      <c r="N249" s="594" t="n"/>
      <c r="O249" s="595" t="n"/>
      <c r="Q249" s="594" t="n"/>
      <c r="R249" s="595" t="n"/>
      <c r="T249" s="594" t="n"/>
      <c r="U249" s="595" t="n"/>
      <c r="W249" s="594" t="n"/>
      <c r="X249" s="595" t="n"/>
      <c r="Z249" s="594" t="n"/>
      <c r="AA249" s="595" t="n"/>
      <c r="AC249" s="594" t="n"/>
      <c r="AD249" s="595" t="n"/>
      <c r="AF249" s="594" t="n"/>
      <c r="AG249" s="595" t="n"/>
      <c r="AI249" s="594" t="n"/>
      <c r="AJ249" s="595" t="n"/>
      <c r="AL249" s="594" t="n"/>
      <c r="AM249" s="595" t="n"/>
      <c r="AO249" s="594" t="n"/>
      <c r="AP249" s="595" t="n"/>
      <c r="AR249" s="594" t="n"/>
      <c r="AS249" s="595" t="n"/>
    </row>
    <row r="250" ht="15.75" customHeight="1" s="26">
      <c r="B250" s="593" t="n"/>
      <c r="E250" s="594" t="n"/>
      <c r="F250" s="595" t="n"/>
      <c r="H250" s="594" t="n"/>
      <c r="I250" s="595" t="n"/>
      <c r="K250" s="594" t="n"/>
      <c r="L250" s="595" t="n"/>
      <c r="N250" s="594" t="n"/>
      <c r="O250" s="595" t="n"/>
      <c r="Q250" s="594" t="n"/>
      <c r="R250" s="595" t="n"/>
      <c r="T250" s="594" t="n"/>
      <c r="U250" s="595" t="n"/>
      <c r="W250" s="594" t="n"/>
      <c r="X250" s="595" t="n"/>
      <c r="Z250" s="594" t="n"/>
      <c r="AA250" s="595" t="n"/>
      <c r="AC250" s="594" t="n"/>
      <c r="AD250" s="595" t="n"/>
      <c r="AF250" s="594" t="n"/>
      <c r="AG250" s="595" t="n"/>
      <c r="AI250" s="594" t="n"/>
      <c r="AJ250" s="595" t="n"/>
      <c r="AL250" s="594" t="n"/>
      <c r="AM250" s="595" t="n"/>
      <c r="AO250" s="594" t="n"/>
      <c r="AP250" s="595" t="n"/>
      <c r="AR250" s="594" t="n"/>
      <c r="AS250" s="595" t="n"/>
    </row>
    <row r="251" ht="15.75" customHeight="1" s="26">
      <c r="B251" s="593" t="n"/>
      <c r="E251" s="594" t="n"/>
      <c r="F251" s="595" t="n"/>
      <c r="H251" s="594" t="n"/>
      <c r="I251" s="595" t="n"/>
      <c r="K251" s="594" t="n"/>
      <c r="L251" s="595" t="n"/>
      <c r="N251" s="594" t="n"/>
      <c r="O251" s="595" t="n"/>
      <c r="Q251" s="594" t="n"/>
      <c r="R251" s="595" t="n"/>
      <c r="T251" s="594" t="n"/>
      <c r="U251" s="595" t="n"/>
      <c r="W251" s="594" t="n"/>
      <c r="X251" s="595" t="n"/>
      <c r="Z251" s="594" t="n"/>
      <c r="AA251" s="595" t="n"/>
      <c r="AC251" s="594" t="n"/>
      <c r="AD251" s="595" t="n"/>
      <c r="AF251" s="594" t="n"/>
      <c r="AG251" s="595" t="n"/>
      <c r="AI251" s="594" t="n"/>
      <c r="AJ251" s="595" t="n"/>
      <c r="AL251" s="594" t="n"/>
      <c r="AM251" s="595" t="n"/>
      <c r="AO251" s="594" t="n"/>
      <c r="AP251" s="595" t="n"/>
      <c r="AR251" s="594" t="n"/>
      <c r="AS251" s="595" t="n"/>
    </row>
    <row r="252" ht="15.75" customHeight="1" s="26">
      <c r="B252" s="593" t="n"/>
      <c r="E252" s="594" t="n"/>
      <c r="F252" s="595" t="n"/>
      <c r="H252" s="594" t="n"/>
      <c r="I252" s="595" t="n"/>
      <c r="K252" s="594" t="n"/>
      <c r="L252" s="595" t="n"/>
      <c r="N252" s="594" t="n"/>
      <c r="O252" s="595" t="n"/>
      <c r="Q252" s="594" t="n"/>
      <c r="R252" s="595" t="n"/>
      <c r="T252" s="594" t="n"/>
      <c r="U252" s="595" t="n"/>
      <c r="W252" s="594" t="n"/>
      <c r="X252" s="595" t="n"/>
      <c r="Z252" s="594" t="n"/>
      <c r="AA252" s="595" t="n"/>
      <c r="AC252" s="594" t="n"/>
      <c r="AD252" s="595" t="n"/>
      <c r="AF252" s="594" t="n"/>
      <c r="AG252" s="595" t="n"/>
      <c r="AI252" s="594" t="n"/>
      <c r="AJ252" s="595" t="n"/>
      <c r="AL252" s="594" t="n"/>
      <c r="AM252" s="595" t="n"/>
      <c r="AO252" s="594" t="n"/>
      <c r="AP252" s="595" t="n"/>
      <c r="AR252" s="594" t="n"/>
      <c r="AS252" s="595" t="n"/>
    </row>
    <row r="253" ht="15.75" customHeight="1" s="26">
      <c r="B253" s="593" t="n"/>
      <c r="E253" s="594" t="n"/>
      <c r="F253" s="595" t="n"/>
      <c r="H253" s="594" t="n"/>
      <c r="I253" s="595" t="n"/>
      <c r="K253" s="594" t="n"/>
      <c r="L253" s="595" t="n"/>
      <c r="N253" s="594" t="n"/>
      <c r="O253" s="595" t="n"/>
      <c r="Q253" s="594" t="n"/>
      <c r="R253" s="595" t="n"/>
      <c r="T253" s="594" t="n"/>
      <c r="U253" s="595" t="n"/>
      <c r="W253" s="594" t="n"/>
      <c r="X253" s="595" t="n"/>
      <c r="Z253" s="594" t="n"/>
      <c r="AA253" s="595" t="n"/>
      <c r="AC253" s="594" t="n"/>
      <c r="AD253" s="595" t="n"/>
      <c r="AF253" s="594" t="n"/>
      <c r="AG253" s="595" t="n"/>
      <c r="AI253" s="594" t="n"/>
      <c r="AJ253" s="595" t="n"/>
      <c r="AL253" s="594" t="n"/>
      <c r="AM253" s="595" t="n"/>
      <c r="AO253" s="594" t="n"/>
      <c r="AP253" s="595" t="n"/>
      <c r="AR253" s="594" t="n"/>
      <c r="AS253" s="595" t="n"/>
    </row>
    <row r="254" ht="15.75" customHeight="1" s="26">
      <c r="B254" s="593" t="n"/>
      <c r="E254" s="594" t="n"/>
      <c r="F254" s="595" t="n"/>
      <c r="H254" s="594" t="n"/>
      <c r="I254" s="595" t="n"/>
      <c r="K254" s="594" t="n"/>
      <c r="L254" s="595" t="n"/>
      <c r="N254" s="594" t="n"/>
      <c r="O254" s="595" t="n"/>
      <c r="Q254" s="594" t="n"/>
      <c r="R254" s="595" t="n"/>
      <c r="T254" s="594" t="n"/>
      <c r="U254" s="595" t="n"/>
      <c r="W254" s="594" t="n"/>
      <c r="X254" s="595" t="n"/>
      <c r="Z254" s="594" t="n"/>
      <c r="AA254" s="595" t="n"/>
      <c r="AC254" s="594" t="n"/>
      <c r="AD254" s="595" t="n"/>
      <c r="AF254" s="594" t="n"/>
      <c r="AG254" s="595" t="n"/>
      <c r="AI254" s="594" t="n"/>
      <c r="AJ254" s="595" t="n"/>
      <c r="AL254" s="594" t="n"/>
      <c r="AM254" s="595" t="n"/>
      <c r="AO254" s="594" t="n"/>
      <c r="AP254" s="595" t="n"/>
      <c r="AR254" s="594" t="n"/>
      <c r="AS254" s="595" t="n"/>
    </row>
    <row r="255" ht="15.75" customHeight="1" s="26">
      <c r="B255" s="593" t="n"/>
      <c r="E255" s="594" t="n"/>
      <c r="F255" s="595" t="n"/>
      <c r="H255" s="594" t="n"/>
      <c r="I255" s="595" t="n"/>
      <c r="K255" s="594" t="n"/>
      <c r="L255" s="595" t="n"/>
      <c r="N255" s="594" t="n"/>
      <c r="O255" s="595" t="n"/>
      <c r="Q255" s="594" t="n"/>
      <c r="R255" s="595" t="n"/>
      <c r="T255" s="594" t="n"/>
      <c r="U255" s="595" t="n"/>
      <c r="W255" s="594" t="n"/>
      <c r="X255" s="595" t="n"/>
      <c r="Z255" s="594" t="n"/>
      <c r="AA255" s="595" t="n"/>
      <c r="AC255" s="594" t="n"/>
      <c r="AD255" s="595" t="n"/>
      <c r="AF255" s="594" t="n"/>
      <c r="AG255" s="595" t="n"/>
      <c r="AI255" s="594" t="n"/>
      <c r="AJ255" s="595" t="n"/>
      <c r="AL255" s="594" t="n"/>
      <c r="AM255" s="595" t="n"/>
      <c r="AO255" s="594" t="n"/>
      <c r="AP255" s="595" t="n"/>
      <c r="AR255" s="594" t="n"/>
      <c r="AS255" s="595" t="n"/>
    </row>
    <row r="256" ht="15.75" customHeight="1" s="26">
      <c r="B256" s="593" t="n"/>
      <c r="E256" s="594" t="n"/>
      <c r="F256" s="595" t="n"/>
      <c r="H256" s="594" t="n"/>
      <c r="I256" s="595" t="n"/>
      <c r="K256" s="594" t="n"/>
      <c r="L256" s="595" t="n"/>
      <c r="N256" s="594" t="n"/>
      <c r="O256" s="595" t="n"/>
      <c r="Q256" s="594" t="n"/>
      <c r="R256" s="595" t="n"/>
      <c r="T256" s="594" t="n"/>
      <c r="U256" s="595" t="n"/>
      <c r="W256" s="594" t="n"/>
      <c r="X256" s="595" t="n"/>
      <c r="Z256" s="594" t="n"/>
      <c r="AA256" s="595" t="n"/>
      <c r="AC256" s="594" t="n"/>
      <c r="AD256" s="595" t="n"/>
      <c r="AF256" s="594" t="n"/>
      <c r="AG256" s="595" t="n"/>
      <c r="AI256" s="594" t="n"/>
      <c r="AJ256" s="595" t="n"/>
      <c r="AL256" s="594" t="n"/>
      <c r="AM256" s="595" t="n"/>
      <c r="AO256" s="594" t="n"/>
      <c r="AP256" s="595" t="n"/>
      <c r="AR256" s="594" t="n"/>
      <c r="AS256" s="595" t="n"/>
    </row>
    <row r="257" ht="15.75" customHeight="1" s="26">
      <c r="B257" s="593" t="n"/>
      <c r="E257" s="594" t="n"/>
      <c r="F257" s="595" t="n"/>
      <c r="H257" s="594" t="n"/>
      <c r="I257" s="595" t="n"/>
      <c r="K257" s="594" t="n"/>
      <c r="L257" s="595" t="n"/>
      <c r="N257" s="594" t="n"/>
      <c r="O257" s="595" t="n"/>
      <c r="Q257" s="594" t="n"/>
      <c r="R257" s="595" t="n"/>
      <c r="T257" s="594" t="n"/>
      <c r="U257" s="595" t="n"/>
      <c r="W257" s="594" t="n"/>
      <c r="X257" s="595" t="n"/>
      <c r="Z257" s="594" t="n"/>
      <c r="AA257" s="595" t="n"/>
      <c r="AC257" s="594" t="n"/>
      <c r="AD257" s="595" t="n"/>
      <c r="AF257" s="594" t="n"/>
      <c r="AG257" s="595" t="n"/>
      <c r="AI257" s="594" t="n"/>
      <c r="AJ257" s="595" t="n"/>
      <c r="AL257" s="594" t="n"/>
      <c r="AM257" s="595" t="n"/>
      <c r="AO257" s="594" t="n"/>
      <c r="AP257" s="595" t="n"/>
      <c r="AR257" s="594" t="n"/>
      <c r="AS257" s="595" t="n"/>
    </row>
    <row r="258" ht="15.75" customHeight="1" s="26">
      <c r="B258" s="593" t="n"/>
      <c r="E258" s="594" t="n"/>
      <c r="F258" s="595" t="n"/>
      <c r="H258" s="594" t="n"/>
      <c r="I258" s="595" t="n"/>
      <c r="K258" s="594" t="n"/>
      <c r="L258" s="595" t="n"/>
      <c r="N258" s="594" t="n"/>
      <c r="O258" s="595" t="n"/>
      <c r="Q258" s="594" t="n"/>
      <c r="R258" s="595" t="n"/>
      <c r="T258" s="594" t="n"/>
      <c r="U258" s="595" t="n"/>
      <c r="W258" s="594" t="n"/>
      <c r="X258" s="595" t="n"/>
      <c r="Z258" s="594" t="n"/>
      <c r="AA258" s="595" t="n"/>
      <c r="AC258" s="594" t="n"/>
      <c r="AD258" s="595" t="n"/>
      <c r="AF258" s="594" t="n"/>
      <c r="AG258" s="595" t="n"/>
      <c r="AI258" s="594" t="n"/>
      <c r="AJ258" s="595" t="n"/>
      <c r="AL258" s="594" t="n"/>
      <c r="AM258" s="595" t="n"/>
      <c r="AO258" s="594" t="n"/>
      <c r="AP258" s="595" t="n"/>
      <c r="AR258" s="594" t="n"/>
      <c r="AS258" s="595" t="n"/>
    </row>
    <row r="259" ht="15.75" customHeight="1" s="26">
      <c r="B259" s="593" t="n"/>
      <c r="E259" s="594" t="n"/>
      <c r="F259" s="595" t="n"/>
      <c r="H259" s="594" t="n"/>
      <c r="I259" s="595" t="n"/>
      <c r="K259" s="594" t="n"/>
      <c r="L259" s="595" t="n"/>
      <c r="N259" s="594" t="n"/>
      <c r="O259" s="595" t="n"/>
      <c r="Q259" s="594" t="n"/>
      <c r="R259" s="595" t="n"/>
      <c r="T259" s="594" t="n"/>
      <c r="U259" s="595" t="n"/>
      <c r="W259" s="594" t="n"/>
      <c r="X259" s="595" t="n"/>
      <c r="Z259" s="594" t="n"/>
      <c r="AA259" s="595" t="n"/>
      <c r="AC259" s="594" t="n"/>
      <c r="AD259" s="595" t="n"/>
      <c r="AF259" s="594" t="n"/>
      <c r="AG259" s="595" t="n"/>
      <c r="AI259" s="594" t="n"/>
      <c r="AJ259" s="595" t="n"/>
      <c r="AL259" s="594" t="n"/>
      <c r="AM259" s="595" t="n"/>
      <c r="AO259" s="594" t="n"/>
      <c r="AP259" s="595" t="n"/>
      <c r="AR259" s="594" t="n"/>
      <c r="AS259" s="595" t="n"/>
    </row>
    <row r="260" ht="15.75" customHeight="1" s="26">
      <c r="B260" s="593" t="n"/>
      <c r="E260" s="594" t="n"/>
      <c r="F260" s="595" t="n"/>
      <c r="H260" s="594" t="n"/>
      <c r="I260" s="595" t="n"/>
      <c r="K260" s="594" t="n"/>
      <c r="L260" s="595" t="n"/>
      <c r="N260" s="594" t="n"/>
      <c r="O260" s="595" t="n"/>
      <c r="Q260" s="594" t="n"/>
      <c r="R260" s="595" t="n"/>
      <c r="T260" s="594" t="n"/>
      <c r="U260" s="595" t="n"/>
      <c r="W260" s="594" t="n"/>
      <c r="X260" s="595" t="n"/>
      <c r="Z260" s="594" t="n"/>
      <c r="AA260" s="595" t="n"/>
      <c r="AC260" s="594" t="n"/>
      <c r="AD260" s="595" t="n"/>
      <c r="AF260" s="594" t="n"/>
      <c r="AG260" s="595" t="n"/>
      <c r="AI260" s="594" t="n"/>
      <c r="AJ260" s="595" t="n"/>
      <c r="AL260" s="594" t="n"/>
      <c r="AM260" s="595" t="n"/>
      <c r="AO260" s="594" t="n"/>
      <c r="AP260" s="595" t="n"/>
      <c r="AR260" s="594" t="n"/>
      <c r="AS260" s="595" t="n"/>
    </row>
    <row r="261" ht="15.75" customHeight="1" s="26">
      <c r="B261" s="593" t="n"/>
      <c r="E261" s="594" t="n"/>
      <c r="F261" s="595" t="n"/>
      <c r="H261" s="594" t="n"/>
      <c r="I261" s="595" t="n"/>
      <c r="K261" s="594" t="n"/>
      <c r="L261" s="595" t="n"/>
      <c r="N261" s="594" t="n"/>
      <c r="O261" s="595" t="n"/>
      <c r="Q261" s="594" t="n"/>
      <c r="R261" s="595" t="n"/>
      <c r="T261" s="594" t="n"/>
      <c r="U261" s="595" t="n"/>
      <c r="W261" s="594" t="n"/>
      <c r="X261" s="595" t="n"/>
      <c r="Z261" s="594" t="n"/>
      <c r="AA261" s="595" t="n"/>
      <c r="AC261" s="594" t="n"/>
      <c r="AD261" s="595" t="n"/>
      <c r="AF261" s="594" t="n"/>
      <c r="AG261" s="595" t="n"/>
      <c r="AI261" s="594" t="n"/>
      <c r="AJ261" s="595" t="n"/>
      <c r="AL261" s="594" t="n"/>
      <c r="AM261" s="595" t="n"/>
      <c r="AO261" s="594" t="n"/>
      <c r="AP261" s="595" t="n"/>
      <c r="AR261" s="594" t="n"/>
      <c r="AS261" s="595" t="n"/>
    </row>
    <row r="262" ht="15.75" customHeight="1" s="26">
      <c r="B262" s="593" t="n"/>
      <c r="E262" s="594" t="n"/>
      <c r="F262" s="595" t="n"/>
      <c r="H262" s="594" t="n"/>
      <c r="I262" s="595" t="n"/>
      <c r="K262" s="594" t="n"/>
      <c r="L262" s="595" t="n"/>
      <c r="N262" s="594" t="n"/>
      <c r="O262" s="595" t="n"/>
      <c r="Q262" s="594" t="n"/>
      <c r="R262" s="595" t="n"/>
      <c r="T262" s="594" t="n"/>
      <c r="U262" s="595" t="n"/>
      <c r="W262" s="594" t="n"/>
      <c r="X262" s="595" t="n"/>
      <c r="Z262" s="594" t="n"/>
      <c r="AA262" s="595" t="n"/>
      <c r="AC262" s="594" t="n"/>
      <c r="AD262" s="595" t="n"/>
      <c r="AF262" s="594" t="n"/>
      <c r="AG262" s="595" t="n"/>
      <c r="AI262" s="594" t="n"/>
      <c r="AJ262" s="595" t="n"/>
      <c r="AL262" s="594" t="n"/>
      <c r="AM262" s="595" t="n"/>
      <c r="AO262" s="594" t="n"/>
      <c r="AP262" s="595" t="n"/>
      <c r="AR262" s="594" t="n"/>
      <c r="AS262" s="595" t="n"/>
    </row>
    <row r="263" ht="15.75" customHeight="1" s="26">
      <c r="B263" s="593" t="n"/>
      <c r="E263" s="594" t="n"/>
      <c r="F263" s="595" t="n"/>
      <c r="H263" s="594" t="n"/>
      <c r="I263" s="595" t="n"/>
      <c r="K263" s="594" t="n"/>
      <c r="L263" s="595" t="n"/>
      <c r="N263" s="594" t="n"/>
      <c r="O263" s="595" t="n"/>
      <c r="Q263" s="594" t="n"/>
      <c r="R263" s="595" t="n"/>
      <c r="T263" s="594" t="n"/>
      <c r="U263" s="595" t="n"/>
      <c r="W263" s="594" t="n"/>
      <c r="X263" s="595" t="n"/>
      <c r="Z263" s="594" t="n"/>
      <c r="AA263" s="595" t="n"/>
      <c r="AC263" s="594" t="n"/>
      <c r="AD263" s="595" t="n"/>
      <c r="AF263" s="594" t="n"/>
      <c r="AG263" s="595" t="n"/>
      <c r="AI263" s="594" t="n"/>
      <c r="AJ263" s="595" t="n"/>
      <c r="AL263" s="594" t="n"/>
      <c r="AM263" s="595" t="n"/>
      <c r="AO263" s="594" t="n"/>
      <c r="AP263" s="595" t="n"/>
      <c r="AR263" s="594" t="n"/>
      <c r="AS263" s="595" t="n"/>
    </row>
    <row r="264" ht="15.75" customHeight="1" s="26">
      <c r="B264" s="593" t="n"/>
      <c r="E264" s="594" t="n"/>
      <c r="F264" s="595" t="n"/>
      <c r="H264" s="594" t="n"/>
      <c r="I264" s="595" t="n"/>
      <c r="K264" s="594" t="n"/>
      <c r="L264" s="595" t="n"/>
      <c r="N264" s="594" t="n"/>
      <c r="O264" s="595" t="n"/>
      <c r="Q264" s="594" t="n"/>
      <c r="R264" s="595" t="n"/>
      <c r="T264" s="594" t="n"/>
      <c r="U264" s="595" t="n"/>
      <c r="W264" s="594" t="n"/>
      <c r="X264" s="595" t="n"/>
      <c r="Z264" s="594" t="n"/>
      <c r="AA264" s="595" t="n"/>
      <c r="AC264" s="594" t="n"/>
      <c r="AD264" s="595" t="n"/>
      <c r="AF264" s="594" t="n"/>
      <c r="AG264" s="595" t="n"/>
      <c r="AI264" s="594" t="n"/>
      <c r="AJ264" s="595" t="n"/>
      <c r="AL264" s="594" t="n"/>
      <c r="AM264" s="595" t="n"/>
      <c r="AO264" s="594" t="n"/>
      <c r="AP264" s="595" t="n"/>
      <c r="AR264" s="594" t="n"/>
      <c r="AS264" s="595" t="n"/>
    </row>
    <row r="265" ht="15.75" customHeight="1" s="26">
      <c r="B265" s="593" t="n"/>
      <c r="E265" s="594" t="n"/>
      <c r="F265" s="595" t="n"/>
      <c r="H265" s="594" t="n"/>
      <c r="I265" s="595" t="n"/>
      <c r="K265" s="594" t="n"/>
      <c r="L265" s="595" t="n"/>
      <c r="N265" s="594" t="n"/>
      <c r="O265" s="595" t="n"/>
      <c r="Q265" s="594" t="n"/>
      <c r="R265" s="595" t="n"/>
      <c r="T265" s="594" t="n"/>
      <c r="U265" s="595" t="n"/>
      <c r="W265" s="594" t="n"/>
      <c r="X265" s="595" t="n"/>
      <c r="Z265" s="594" t="n"/>
      <c r="AA265" s="595" t="n"/>
      <c r="AC265" s="594" t="n"/>
      <c r="AD265" s="595" t="n"/>
      <c r="AF265" s="594" t="n"/>
      <c r="AG265" s="595" t="n"/>
      <c r="AI265" s="594" t="n"/>
      <c r="AJ265" s="595" t="n"/>
      <c r="AL265" s="594" t="n"/>
      <c r="AM265" s="595" t="n"/>
      <c r="AO265" s="594" t="n"/>
      <c r="AP265" s="595" t="n"/>
      <c r="AR265" s="594" t="n"/>
      <c r="AS265" s="595" t="n"/>
    </row>
    <row r="266" ht="15.75" customHeight="1" s="26">
      <c r="B266" s="593" t="n"/>
      <c r="E266" s="594" t="n"/>
      <c r="F266" s="595" t="n"/>
      <c r="H266" s="594" t="n"/>
      <c r="I266" s="595" t="n"/>
      <c r="K266" s="594" t="n"/>
      <c r="L266" s="595" t="n"/>
      <c r="N266" s="594" t="n"/>
      <c r="O266" s="595" t="n"/>
      <c r="Q266" s="594" t="n"/>
      <c r="R266" s="595" t="n"/>
      <c r="T266" s="594" t="n"/>
      <c r="U266" s="595" t="n"/>
      <c r="W266" s="594" t="n"/>
      <c r="X266" s="595" t="n"/>
      <c r="Z266" s="594" t="n"/>
      <c r="AA266" s="595" t="n"/>
      <c r="AC266" s="594" t="n"/>
      <c r="AD266" s="595" t="n"/>
      <c r="AF266" s="594" t="n"/>
      <c r="AG266" s="595" t="n"/>
      <c r="AI266" s="594" t="n"/>
      <c r="AJ266" s="595" t="n"/>
      <c r="AL266" s="594" t="n"/>
      <c r="AM266" s="595" t="n"/>
      <c r="AO266" s="594" t="n"/>
      <c r="AP266" s="595" t="n"/>
      <c r="AR266" s="594" t="n"/>
      <c r="AS266" s="595" t="n"/>
    </row>
    <row r="267" ht="15.75" customHeight="1" s="26">
      <c r="B267" s="593" t="n"/>
      <c r="E267" s="594" t="n"/>
      <c r="F267" s="595" t="n"/>
      <c r="H267" s="594" t="n"/>
      <c r="I267" s="595" t="n"/>
      <c r="K267" s="594" t="n"/>
      <c r="L267" s="595" t="n"/>
      <c r="N267" s="594" t="n"/>
      <c r="O267" s="595" t="n"/>
      <c r="Q267" s="594" t="n"/>
      <c r="R267" s="595" t="n"/>
      <c r="T267" s="594" t="n"/>
      <c r="U267" s="595" t="n"/>
      <c r="W267" s="594" t="n"/>
      <c r="X267" s="595" t="n"/>
      <c r="Z267" s="594" t="n"/>
      <c r="AA267" s="595" t="n"/>
      <c r="AC267" s="594" t="n"/>
      <c r="AD267" s="595" t="n"/>
      <c r="AF267" s="594" t="n"/>
      <c r="AG267" s="595" t="n"/>
      <c r="AI267" s="594" t="n"/>
      <c r="AJ267" s="595" t="n"/>
      <c r="AL267" s="594" t="n"/>
      <c r="AM267" s="595" t="n"/>
      <c r="AO267" s="594" t="n"/>
      <c r="AP267" s="595" t="n"/>
      <c r="AR267" s="594" t="n"/>
      <c r="AS267" s="595" t="n"/>
    </row>
    <row r="268" ht="15.75" customHeight="1" s="26">
      <c r="B268" s="593" t="n"/>
      <c r="E268" s="594" t="n"/>
      <c r="F268" s="595" t="n"/>
      <c r="H268" s="594" t="n"/>
      <c r="I268" s="595" t="n"/>
      <c r="K268" s="594" t="n"/>
      <c r="L268" s="595" t="n"/>
      <c r="N268" s="594" t="n"/>
      <c r="O268" s="595" t="n"/>
      <c r="Q268" s="594" t="n"/>
      <c r="R268" s="595" t="n"/>
      <c r="T268" s="594" t="n"/>
      <c r="U268" s="595" t="n"/>
      <c r="W268" s="594" t="n"/>
      <c r="X268" s="595" t="n"/>
      <c r="Z268" s="594" t="n"/>
      <c r="AA268" s="595" t="n"/>
      <c r="AC268" s="594" t="n"/>
      <c r="AD268" s="595" t="n"/>
      <c r="AF268" s="594" t="n"/>
      <c r="AG268" s="595" t="n"/>
      <c r="AI268" s="594" t="n"/>
      <c r="AJ268" s="595" t="n"/>
      <c r="AL268" s="594" t="n"/>
      <c r="AM268" s="595" t="n"/>
      <c r="AO268" s="594" t="n"/>
      <c r="AP268" s="595" t="n"/>
      <c r="AR268" s="594" t="n"/>
      <c r="AS268" s="595" t="n"/>
    </row>
    <row r="269" ht="15.75" customHeight="1" s="26">
      <c r="B269" s="593" t="n"/>
      <c r="E269" s="594" t="n"/>
      <c r="F269" s="595" t="n"/>
      <c r="H269" s="594" t="n"/>
      <c r="I269" s="595" t="n"/>
      <c r="K269" s="594" t="n"/>
      <c r="L269" s="595" t="n"/>
      <c r="N269" s="594" t="n"/>
      <c r="O269" s="595" t="n"/>
      <c r="Q269" s="594" t="n"/>
      <c r="R269" s="595" t="n"/>
      <c r="T269" s="594" t="n"/>
      <c r="U269" s="595" t="n"/>
      <c r="W269" s="594" t="n"/>
      <c r="X269" s="595" t="n"/>
      <c r="Z269" s="594" t="n"/>
      <c r="AA269" s="595" t="n"/>
      <c r="AC269" s="594" t="n"/>
      <c r="AD269" s="595" t="n"/>
      <c r="AF269" s="594" t="n"/>
      <c r="AG269" s="595" t="n"/>
      <c r="AI269" s="594" t="n"/>
      <c r="AJ269" s="595" t="n"/>
      <c r="AL269" s="594" t="n"/>
      <c r="AM269" s="595" t="n"/>
      <c r="AO269" s="594" t="n"/>
      <c r="AP269" s="595" t="n"/>
      <c r="AR269" s="594" t="n"/>
      <c r="AS269" s="595" t="n"/>
    </row>
    <row r="270" ht="15.75" customHeight="1" s="26">
      <c r="B270" s="593" t="n"/>
      <c r="E270" s="594" t="n"/>
      <c r="F270" s="595" t="n"/>
      <c r="H270" s="594" t="n"/>
      <c r="I270" s="595" t="n"/>
      <c r="K270" s="594" t="n"/>
      <c r="L270" s="595" t="n"/>
      <c r="N270" s="594" t="n"/>
      <c r="O270" s="595" t="n"/>
      <c r="Q270" s="594" t="n"/>
      <c r="R270" s="595" t="n"/>
      <c r="T270" s="594" t="n"/>
      <c r="U270" s="595" t="n"/>
      <c r="W270" s="594" t="n"/>
      <c r="X270" s="595" t="n"/>
      <c r="Z270" s="594" t="n"/>
      <c r="AA270" s="595" t="n"/>
      <c r="AC270" s="594" t="n"/>
      <c r="AD270" s="595" t="n"/>
      <c r="AF270" s="594" t="n"/>
      <c r="AG270" s="595" t="n"/>
      <c r="AI270" s="594" t="n"/>
      <c r="AJ270" s="595" t="n"/>
      <c r="AL270" s="594" t="n"/>
      <c r="AM270" s="595" t="n"/>
      <c r="AO270" s="594" t="n"/>
      <c r="AP270" s="595" t="n"/>
      <c r="AR270" s="594" t="n"/>
      <c r="AS270" s="595" t="n"/>
    </row>
    <row r="271" ht="15.75" customHeight="1" s="26">
      <c r="B271" s="593" t="n"/>
      <c r="E271" s="594" t="n"/>
      <c r="F271" s="595" t="n"/>
      <c r="H271" s="594" t="n"/>
      <c r="I271" s="595" t="n"/>
      <c r="K271" s="594" t="n"/>
      <c r="L271" s="595" t="n"/>
      <c r="N271" s="594" t="n"/>
      <c r="O271" s="595" t="n"/>
      <c r="Q271" s="594" t="n"/>
      <c r="R271" s="595" t="n"/>
      <c r="T271" s="594" t="n"/>
      <c r="U271" s="595" t="n"/>
      <c r="W271" s="594" t="n"/>
      <c r="X271" s="595" t="n"/>
      <c r="Z271" s="594" t="n"/>
      <c r="AA271" s="595" t="n"/>
      <c r="AC271" s="594" t="n"/>
      <c r="AD271" s="595" t="n"/>
      <c r="AF271" s="594" t="n"/>
      <c r="AG271" s="595" t="n"/>
      <c r="AI271" s="594" t="n"/>
      <c r="AJ271" s="595" t="n"/>
      <c r="AL271" s="594" t="n"/>
      <c r="AM271" s="595" t="n"/>
      <c r="AO271" s="594" t="n"/>
      <c r="AP271" s="595" t="n"/>
      <c r="AR271" s="594" t="n"/>
      <c r="AS271" s="595" t="n"/>
    </row>
    <row r="272" ht="15.75" customHeight="1" s="26">
      <c r="B272" s="593" t="n"/>
      <c r="E272" s="594" t="n"/>
      <c r="F272" s="595" t="n"/>
      <c r="H272" s="594" t="n"/>
      <c r="I272" s="595" t="n"/>
      <c r="K272" s="594" t="n"/>
      <c r="L272" s="595" t="n"/>
      <c r="N272" s="594" t="n"/>
      <c r="O272" s="595" t="n"/>
      <c r="Q272" s="594" t="n"/>
      <c r="R272" s="595" t="n"/>
      <c r="T272" s="594" t="n"/>
      <c r="U272" s="595" t="n"/>
      <c r="W272" s="594" t="n"/>
      <c r="X272" s="595" t="n"/>
      <c r="Z272" s="594" t="n"/>
      <c r="AA272" s="595" t="n"/>
      <c r="AC272" s="594" t="n"/>
      <c r="AD272" s="595" t="n"/>
      <c r="AF272" s="594" t="n"/>
      <c r="AG272" s="595" t="n"/>
      <c r="AI272" s="594" t="n"/>
      <c r="AJ272" s="595" t="n"/>
      <c r="AL272" s="594" t="n"/>
      <c r="AM272" s="595" t="n"/>
      <c r="AO272" s="594" t="n"/>
      <c r="AP272" s="595" t="n"/>
      <c r="AR272" s="594" t="n"/>
      <c r="AS272" s="595" t="n"/>
    </row>
    <row r="273" ht="15.75" customHeight="1" s="26">
      <c r="B273" s="593" t="n"/>
      <c r="E273" s="594" t="n"/>
      <c r="F273" s="595" t="n"/>
      <c r="H273" s="594" t="n"/>
      <c r="I273" s="595" t="n"/>
      <c r="K273" s="594" t="n"/>
      <c r="L273" s="595" t="n"/>
      <c r="N273" s="594" t="n"/>
      <c r="O273" s="595" t="n"/>
      <c r="Q273" s="594" t="n"/>
      <c r="R273" s="595" t="n"/>
      <c r="T273" s="594" t="n"/>
      <c r="U273" s="595" t="n"/>
      <c r="W273" s="594" t="n"/>
      <c r="X273" s="595" t="n"/>
      <c r="Z273" s="594" t="n"/>
      <c r="AA273" s="595" t="n"/>
      <c r="AC273" s="594" t="n"/>
      <c r="AD273" s="595" t="n"/>
      <c r="AF273" s="594" t="n"/>
      <c r="AG273" s="595" t="n"/>
      <c r="AI273" s="594" t="n"/>
      <c r="AJ273" s="595" t="n"/>
      <c r="AL273" s="594" t="n"/>
      <c r="AM273" s="595" t="n"/>
      <c r="AO273" s="594" t="n"/>
      <c r="AP273" s="595" t="n"/>
      <c r="AR273" s="594" t="n"/>
      <c r="AS273" s="595" t="n"/>
    </row>
    <row r="274" ht="15.75" customHeight="1" s="26">
      <c r="B274" s="593" t="n"/>
      <c r="E274" s="594" t="n"/>
      <c r="F274" s="595" t="n"/>
      <c r="H274" s="594" t="n"/>
      <c r="I274" s="595" t="n"/>
      <c r="K274" s="594" t="n"/>
      <c r="L274" s="595" t="n"/>
      <c r="N274" s="594" t="n"/>
      <c r="O274" s="595" t="n"/>
      <c r="Q274" s="594" t="n"/>
      <c r="R274" s="595" t="n"/>
      <c r="T274" s="594" t="n"/>
      <c r="U274" s="595" t="n"/>
      <c r="W274" s="594" t="n"/>
      <c r="X274" s="595" t="n"/>
      <c r="Z274" s="594" t="n"/>
      <c r="AA274" s="595" t="n"/>
      <c r="AC274" s="594" t="n"/>
      <c r="AD274" s="595" t="n"/>
      <c r="AF274" s="594" t="n"/>
      <c r="AG274" s="595" t="n"/>
      <c r="AI274" s="594" t="n"/>
      <c r="AJ274" s="595" t="n"/>
      <c r="AL274" s="594" t="n"/>
      <c r="AM274" s="595" t="n"/>
      <c r="AO274" s="594" t="n"/>
      <c r="AP274" s="595" t="n"/>
      <c r="AR274" s="594" t="n"/>
      <c r="AS274" s="595" t="n"/>
    </row>
    <row r="275" ht="15.75" customHeight="1" s="26">
      <c r="B275" s="593" t="n"/>
      <c r="E275" s="594" t="n"/>
      <c r="F275" s="595" t="n"/>
      <c r="H275" s="594" t="n"/>
      <c r="I275" s="595" t="n"/>
      <c r="K275" s="594" t="n"/>
      <c r="L275" s="595" t="n"/>
      <c r="N275" s="594" t="n"/>
      <c r="O275" s="595" t="n"/>
      <c r="Q275" s="594" t="n"/>
      <c r="R275" s="595" t="n"/>
      <c r="T275" s="594" t="n"/>
      <c r="U275" s="595" t="n"/>
      <c r="W275" s="594" t="n"/>
      <c r="X275" s="595" t="n"/>
      <c r="Z275" s="594" t="n"/>
      <c r="AA275" s="595" t="n"/>
      <c r="AC275" s="594" t="n"/>
      <c r="AD275" s="595" t="n"/>
      <c r="AF275" s="594" t="n"/>
      <c r="AG275" s="595" t="n"/>
      <c r="AI275" s="594" t="n"/>
      <c r="AJ275" s="595" t="n"/>
      <c r="AL275" s="594" t="n"/>
      <c r="AM275" s="595" t="n"/>
      <c r="AO275" s="594" t="n"/>
      <c r="AP275" s="595" t="n"/>
      <c r="AR275" s="594" t="n"/>
      <c r="AS275" s="595" t="n"/>
    </row>
    <row r="276" ht="15.75" customHeight="1" s="26">
      <c r="B276" s="593" t="n"/>
      <c r="E276" s="594" t="n"/>
      <c r="F276" s="595" t="n"/>
      <c r="H276" s="594" t="n"/>
      <c r="I276" s="595" t="n"/>
      <c r="K276" s="594" t="n"/>
      <c r="L276" s="595" t="n"/>
      <c r="N276" s="594" t="n"/>
      <c r="O276" s="595" t="n"/>
      <c r="Q276" s="594" t="n"/>
      <c r="R276" s="595" t="n"/>
      <c r="T276" s="594" t="n"/>
      <c r="U276" s="595" t="n"/>
      <c r="W276" s="594" t="n"/>
      <c r="X276" s="595" t="n"/>
      <c r="Z276" s="594" t="n"/>
      <c r="AA276" s="595" t="n"/>
      <c r="AC276" s="594" t="n"/>
      <c r="AD276" s="595" t="n"/>
      <c r="AF276" s="594" t="n"/>
      <c r="AG276" s="595" t="n"/>
      <c r="AI276" s="594" t="n"/>
      <c r="AJ276" s="595" t="n"/>
      <c r="AL276" s="594" t="n"/>
      <c r="AM276" s="595" t="n"/>
      <c r="AO276" s="594" t="n"/>
      <c r="AP276" s="595" t="n"/>
      <c r="AR276" s="594" t="n"/>
      <c r="AS276" s="595" t="n"/>
    </row>
    <row r="277" ht="15.75" customHeight="1" s="26">
      <c r="B277" s="593" t="n"/>
      <c r="E277" s="594" t="n"/>
      <c r="F277" s="595" t="n"/>
      <c r="H277" s="594" t="n"/>
      <c r="I277" s="595" t="n"/>
      <c r="K277" s="594" t="n"/>
      <c r="L277" s="595" t="n"/>
      <c r="N277" s="594" t="n"/>
      <c r="O277" s="595" t="n"/>
      <c r="Q277" s="594" t="n"/>
      <c r="R277" s="595" t="n"/>
      <c r="T277" s="594" t="n"/>
      <c r="U277" s="595" t="n"/>
      <c r="W277" s="594" t="n"/>
      <c r="X277" s="595" t="n"/>
      <c r="Z277" s="594" t="n"/>
      <c r="AA277" s="595" t="n"/>
      <c r="AC277" s="594" t="n"/>
      <c r="AD277" s="595" t="n"/>
      <c r="AF277" s="594" t="n"/>
      <c r="AG277" s="595" t="n"/>
      <c r="AI277" s="594" t="n"/>
      <c r="AJ277" s="595" t="n"/>
      <c r="AL277" s="594" t="n"/>
      <c r="AM277" s="595" t="n"/>
      <c r="AO277" s="594" t="n"/>
      <c r="AP277" s="595" t="n"/>
      <c r="AR277" s="594" t="n"/>
      <c r="AS277" s="595" t="n"/>
    </row>
    <row r="278" ht="15.75" customHeight="1" s="26">
      <c r="B278" s="593" t="n"/>
      <c r="E278" s="594" t="n"/>
      <c r="F278" s="595" t="n"/>
      <c r="H278" s="594" t="n"/>
      <c r="I278" s="595" t="n"/>
      <c r="K278" s="594" t="n"/>
      <c r="L278" s="595" t="n"/>
      <c r="N278" s="594" t="n"/>
      <c r="O278" s="595" t="n"/>
      <c r="Q278" s="594" t="n"/>
      <c r="R278" s="595" t="n"/>
      <c r="T278" s="594" t="n"/>
      <c r="U278" s="595" t="n"/>
      <c r="W278" s="594" t="n"/>
      <c r="X278" s="595" t="n"/>
      <c r="Z278" s="594" t="n"/>
      <c r="AA278" s="595" t="n"/>
      <c r="AC278" s="594" t="n"/>
      <c r="AD278" s="595" t="n"/>
      <c r="AF278" s="594" t="n"/>
      <c r="AG278" s="595" t="n"/>
      <c r="AI278" s="594" t="n"/>
      <c r="AJ278" s="595" t="n"/>
      <c r="AL278" s="594" t="n"/>
      <c r="AM278" s="595" t="n"/>
      <c r="AO278" s="594" t="n"/>
      <c r="AP278" s="595" t="n"/>
      <c r="AR278" s="594" t="n"/>
      <c r="AS278" s="595" t="n"/>
    </row>
    <row r="279" ht="15.75" customHeight="1" s="26">
      <c r="B279" s="593" t="n"/>
      <c r="E279" s="594" t="n"/>
      <c r="F279" s="595" t="n"/>
      <c r="H279" s="594" t="n"/>
      <c r="I279" s="595" t="n"/>
      <c r="K279" s="594" t="n"/>
      <c r="L279" s="595" t="n"/>
      <c r="N279" s="594" t="n"/>
      <c r="O279" s="595" t="n"/>
      <c r="Q279" s="594" t="n"/>
      <c r="R279" s="595" t="n"/>
      <c r="T279" s="594" t="n"/>
      <c r="U279" s="595" t="n"/>
      <c r="W279" s="594" t="n"/>
      <c r="X279" s="595" t="n"/>
      <c r="Z279" s="594" t="n"/>
      <c r="AA279" s="595" t="n"/>
      <c r="AC279" s="594" t="n"/>
      <c r="AD279" s="595" t="n"/>
      <c r="AF279" s="594" t="n"/>
      <c r="AG279" s="595" t="n"/>
      <c r="AI279" s="594" t="n"/>
      <c r="AJ279" s="595" t="n"/>
      <c r="AL279" s="594" t="n"/>
      <c r="AM279" s="595" t="n"/>
      <c r="AO279" s="594" t="n"/>
      <c r="AP279" s="595" t="n"/>
      <c r="AR279" s="594" t="n"/>
      <c r="AS279" s="595" t="n"/>
    </row>
    <row r="280" ht="15.75" customHeight="1" s="26">
      <c r="B280" s="593" t="n"/>
      <c r="E280" s="594" t="n"/>
      <c r="F280" s="595" t="n"/>
      <c r="H280" s="594" t="n"/>
      <c r="I280" s="595" t="n"/>
      <c r="K280" s="594" t="n"/>
      <c r="L280" s="595" t="n"/>
      <c r="N280" s="594" t="n"/>
      <c r="O280" s="595" t="n"/>
      <c r="Q280" s="594" t="n"/>
      <c r="R280" s="595" t="n"/>
      <c r="T280" s="594" t="n"/>
      <c r="U280" s="595" t="n"/>
      <c r="W280" s="594" t="n"/>
      <c r="X280" s="595" t="n"/>
      <c r="Z280" s="594" t="n"/>
      <c r="AA280" s="595" t="n"/>
      <c r="AC280" s="594" t="n"/>
      <c r="AD280" s="595" t="n"/>
      <c r="AF280" s="594" t="n"/>
      <c r="AG280" s="595" t="n"/>
      <c r="AI280" s="594" t="n"/>
      <c r="AJ280" s="595" t="n"/>
      <c r="AL280" s="594" t="n"/>
      <c r="AM280" s="595" t="n"/>
      <c r="AO280" s="594" t="n"/>
      <c r="AP280" s="595" t="n"/>
      <c r="AR280" s="594" t="n"/>
      <c r="AS280" s="595" t="n"/>
    </row>
    <row r="281" ht="15.75" customHeight="1" s="26">
      <c r="B281" s="593" t="n"/>
      <c r="E281" s="594" t="n"/>
      <c r="F281" s="595" t="n"/>
      <c r="H281" s="594" t="n"/>
      <c r="I281" s="595" t="n"/>
      <c r="K281" s="594" t="n"/>
      <c r="L281" s="595" t="n"/>
      <c r="N281" s="594" t="n"/>
      <c r="O281" s="595" t="n"/>
      <c r="Q281" s="594" t="n"/>
      <c r="R281" s="595" t="n"/>
      <c r="T281" s="594" t="n"/>
      <c r="U281" s="595" t="n"/>
      <c r="W281" s="594" t="n"/>
      <c r="X281" s="595" t="n"/>
      <c r="Z281" s="594" t="n"/>
      <c r="AA281" s="595" t="n"/>
      <c r="AC281" s="594" t="n"/>
      <c r="AD281" s="595" t="n"/>
      <c r="AF281" s="594" t="n"/>
      <c r="AG281" s="595" t="n"/>
      <c r="AI281" s="594" t="n"/>
      <c r="AJ281" s="595" t="n"/>
      <c r="AL281" s="594" t="n"/>
      <c r="AM281" s="595" t="n"/>
      <c r="AO281" s="594" t="n"/>
      <c r="AP281" s="595" t="n"/>
      <c r="AR281" s="594" t="n"/>
      <c r="AS281" s="595" t="n"/>
    </row>
    <row r="282" ht="15.75" customHeight="1" s="26">
      <c r="B282" s="593" t="n"/>
      <c r="E282" s="594" t="n"/>
      <c r="F282" s="595" t="n"/>
      <c r="H282" s="594" t="n"/>
      <c r="I282" s="595" t="n"/>
      <c r="K282" s="594" t="n"/>
      <c r="L282" s="595" t="n"/>
      <c r="N282" s="594" t="n"/>
      <c r="O282" s="595" t="n"/>
      <c r="Q282" s="594" t="n"/>
      <c r="R282" s="595" t="n"/>
      <c r="T282" s="594" t="n"/>
      <c r="U282" s="595" t="n"/>
      <c r="W282" s="594" t="n"/>
      <c r="X282" s="595" t="n"/>
      <c r="Z282" s="594" t="n"/>
      <c r="AA282" s="595" t="n"/>
      <c r="AC282" s="594" t="n"/>
      <c r="AD282" s="595" t="n"/>
      <c r="AF282" s="594" t="n"/>
      <c r="AG282" s="595" t="n"/>
      <c r="AI282" s="594" t="n"/>
      <c r="AJ282" s="595" t="n"/>
      <c r="AL282" s="594" t="n"/>
      <c r="AM282" s="595" t="n"/>
      <c r="AO282" s="594" t="n"/>
      <c r="AP282" s="595" t="n"/>
      <c r="AR282" s="594" t="n"/>
      <c r="AS282" s="595" t="n"/>
    </row>
    <row r="283" ht="15.75" customHeight="1" s="26">
      <c r="B283" s="593" t="n"/>
      <c r="E283" s="594" t="n"/>
      <c r="F283" s="595" t="n"/>
      <c r="H283" s="594" t="n"/>
      <c r="I283" s="595" t="n"/>
      <c r="K283" s="594" t="n"/>
      <c r="L283" s="595" t="n"/>
      <c r="N283" s="594" t="n"/>
      <c r="O283" s="595" t="n"/>
      <c r="Q283" s="594" t="n"/>
      <c r="R283" s="595" t="n"/>
      <c r="T283" s="594" t="n"/>
      <c r="U283" s="595" t="n"/>
      <c r="W283" s="594" t="n"/>
      <c r="X283" s="595" t="n"/>
      <c r="Z283" s="594" t="n"/>
      <c r="AA283" s="595" t="n"/>
      <c r="AC283" s="594" t="n"/>
      <c r="AD283" s="595" t="n"/>
      <c r="AF283" s="594" t="n"/>
      <c r="AG283" s="595" t="n"/>
      <c r="AI283" s="594" t="n"/>
      <c r="AJ283" s="595" t="n"/>
      <c r="AL283" s="594" t="n"/>
      <c r="AM283" s="595" t="n"/>
      <c r="AO283" s="594" t="n"/>
      <c r="AP283" s="595" t="n"/>
      <c r="AR283" s="594" t="n"/>
      <c r="AS283" s="595" t="n"/>
    </row>
    <row r="284" ht="15.75" customHeight="1" s="26">
      <c r="B284" s="593" t="n"/>
      <c r="E284" s="594" t="n"/>
      <c r="F284" s="595" t="n"/>
      <c r="H284" s="594" t="n"/>
      <c r="I284" s="595" t="n"/>
      <c r="K284" s="594" t="n"/>
      <c r="L284" s="595" t="n"/>
      <c r="N284" s="594" t="n"/>
      <c r="O284" s="595" t="n"/>
      <c r="Q284" s="594" t="n"/>
      <c r="R284" s="595" t="n"/>
      <c r="T284" s="594" t="n"/>
      <c r="U284" s="595" t="n"/>
      <c r="W284" s="594" t="n"/>
      <c r="X284" s="595" t="n"/>
      <c r="Z284" s="594" t="n"/>
      <c r="AA284" s="595" t="n"/>
      <c r="AC284" s="594" t="n"/>
      <c r="AD284" s="595" t="n"/>
      <c r="AF284" s="594" t="n"/>
      <c r="AG284" s="595" t="n"/>
      <c r="AI284" s="594" t="n"/>
      <c r="AJ284" s="595" t="n"/>
      <c r="AL284" s="594" t="n"/>
      <c r="AM284" s="595" t="n"/>
      <c r="AO284" s="594" t="n"/>
      <c r="AP284" s="595" t="n"/>
      <c r="AR284" s="594" t="n"/>
      <c r="AS284" s="595" t="n"/>
    </row>
    <row r="285" ht="15.75" customHeight="1" s="26">
      <c r="B285" s="593" t="n"/>
      <c r="E285" s="594" t="n"/>
      <c r="F285" s="595" t="n"/>
      <c r="H285" s="594" t="n"/>
      <c r="I285" s="595" t="n"/>
      <c r="K285" s="594" t="n"/>
      <c r="L285" s="595" t="n"/>
      <c r="N285" s="594" t="n"/>
      <c r="O285" s="595" t="n"/>
      <c r="Q285" s="594" t="n"/>
      <c r="R285" s="595" t="n"/>
      <c r="T285" s="594" t="n"/>
      <c r="U285" s="595" t="n"/>
      <c r="W285" s="594" t="n"/>
      <c r="X285" s="595" t="n"/>
      <c r="Z285" s="594" t="n"/>
      <c r="AA285" s="595" t="n"/>
      <c r="AC285" s="594" t="n"/>
      <c r="AD285" s="595" t="n"/>
      <c r="AF285" s="594" t="n"/>
      <c r="AG285" s="595" t="n"/>
      <c r="AI285" s="594" t="n"/>
      <c r="AJ285" s="595" t="n"/>
      <c r="AL285" s="594" t="n"/>
      <c r="AM285" s="595" t="n"/>
      <c r="AO285" s="594" t="n"/>
      <c r="AP285" s="595" t="n"/>
      <c r="AR285" s="594" t="n"/>
      <c r="AS285" s="595" t="n"/>
    </row>
    <row r="286" ht="15.75" customHeight="1" s="26">
      <c r="B286" s="593" t="n"/>
      <c r="E286" s="594" t="n"/>
      <c r="F286" s="595" t="n"/>
      <c r="H286" s="594" t="n"/>
      <c r="I286" s="595" t="n"/>
      <c r="K286" s="594" t="n"/>
      <c r="L286" s="595" t="n"/>
      <c r="N286" s="594" t="n"/>
      <c r="O286" s="595" t="n"/>
      <c r="Q286" s="594" t="n"/>
      <c r="R286" s="595" t="n"/>
      <c r="T286" s="594" t="n"/>
      <c r="U286" s="595" t="n"/>
      <c r="W286" s="594" t="n"/>
      <c r="X286" s="595" t="n"/>
      <c r="Z286" s="594" t="n"/>
      <c r="AA286" s="595" t="n"/>
      <c r="AC286" s="594" t="n"/>
      <c r="AD286" s="595" t="n"/>
      <c r="AF286" s="594" t="n"/>
      <c r="AG286" s="595" t="n"/>
      <c r="AI286" s="594" t="n"/>
      <c r="AJ286" s="595" t="n"/>
      <c r="AL286" s="594" t="n"/>
      <c r="AM286" s="595" t="n"/>
      <c r="AO286" s="594" t="n"/>
      <c r="AP286" s="595" t="n"/>
      <c r="AR286" s="594" t="n"/>
      <c r="AS286" s="595" t="n"/>
    </row>
    <row r="287" ht="15.75" customHeight="1" s="26">
      <c r="B287" s="593" t="n"/>
      <c r="E287" s="594" t="n"/>
      <c r="F287" s="595" t="n"/>
      <c r="H287" s="594" t="n"/>
      <c r="I287" s="595" t="n"/>
      <c r="K287" s="594" t="n"/>
      <c r="L287" s="595" t="n"/>
      <c r="N287" s="594" t="n"/>
      <c r="O287" s="595" t="n"/>
      <c r="Q287" s="594" t="n"/>
      <c r="R287" s="595" t="n"/>
      <c r="T287" s="594" t="n"/>
      <c r="U287" s="595" t="n"/>
      <c r="W287" s="594" t="n"/>
      <c r="X287" s="595" t="n"/>
      <c r="Z287" s="594" t="n"/>
      <c r="AA287" s="595" t="n"/>
      <c r="AC287" s="594" t="n"/>
      <c r="AD287" s="595" t="n"/>
      <c r="AF287" s="594" t="n"/>
      <c r="AG287" s="595" t="n"/>
      <c r="AI287" s="594" t="n"/>
      <c r="AJ287" s="595" t="n"/>
      <c r="AL287" s="594" t="n"/>
      <c r="AM287" s="595" t="n"/>
      <c r="AO287" s="594" t="n"/>
      <c r="AP287" s="595" t="n"/>
      <c r="AR287" s="594" t="n"/>
      <c r="AS287" s="595" t="n"/>
    </row>
    <row r="288" ht="15.75" customHeight="1" s="26">
      <c r="B288" s="593" t="n"/>
      <c r="E288" s="594" t="n"/>
      <c r="F288" s="595" t="n"/>
      <c r="H288" s="594" t="n"/>
      <c r="I288" s="595" t="n"/>
      <c r="K288" s="594" t="n"/>
      <c r="L288" s="595" t="n"/>
      <c r="N288" s="594" t="n"/>
      <c r="O288" s="595" t="n"/>
      <c r="Q288" s="594" t="n"/>
      <c r="R288" s="595" t="n"/>
      <c r="T288" s="594" t="n"/>
      <c r="U288" s="595" t="n"/>
      <c r="W288" s="594" t="n"/>
      <c r="X288" s="595" t="n"/>
      <c r="Z288" s="594" t="n"/>
      <c r="AA288" s="595" t="n"/>
      <c r="AC288" s="594" t="n"/>
      <c r="AD288" s="595" t="n"/>
      <c r="AF288" s="594" t="n"/>
      <c r="AG288" s="595" t="n"/>
      <c r="AI288" s="594" t="n"/>
      <c r="AJ288" s="595" t="n"/>
      <c r="AL288" s="594" t="n"/>
      <c r="AM288" s="595" t="n"/>
      <c r="AO288" s="594" t="n"/>
      <c r="AP288" s="595" t="n"/>
      <c r="AR288" s="594" t="n"/>
      <c r="AS288" s="595" t="n"/>
    </row>
    <row r="289" ht="15.75" customHeight="1" s="26">
      <c r="B289" s="593" t="n"/>
      <c r="E289" s="594" t="n"/>
      <c r="F289" s="595" t="n"/>
      <c r="H289" s="594" t="n"/>
      <c r="I289" s="595" t="n"/>
      <c r="K289" s="594" t="n"/>
      <c r="L289" s="595" t="n"/>
      <c r="N289" s="594" t="n"/>
      <c r="O289" s="595" t="n"/>
      <c r="Q289" s="594" t="n"/>
      <c r="R289" s="595" t="n"/>
      <c r="T289" s="594" t="n"/>
      <c r="U289" s="595" t="n"/>
      <c r="W289" s="594" t="n"/>
      <c r="X289" s="595" t="n"/>
      <c r="Z289" s="594" t="n"/>
      <c r="AA289" s="595" t="n"/>
      <c r="AC289" s="594" t="n"/>
      <c r="AD289" s="595" t="n"/>
      <c r="AF289" s="594" t="n"/>
      <c r="AG289" s="595" t="n"/>
      <c r="AI289" s="594" t="n"/>
      <c r="AJ289" s="595" t="n"/>
      <c r="AL289" s="594" t="n"/>
      <c r="AM289" s="595" t="n"/>
      <c r="AO289" s="594" t="n"/>
      <c r="AP289" s="595" t="n"/>
      <c r="AR289" s="594" t="n"/>
      <c r="AS289" s="595" t="n"/>
    </row>
    <row r="290" ht="15.75" customHeight="1" s="26">
      <c r="B290" s="593" t="n"/>
      <c r="E290" s="594" t="n"/>
      <c r="F290" s="595" t="n"/>
      <c r="H290" s="594" t="n"/>
      <c r="I290" s="595" t="n"/>
      <c r="K290" s="594" t="n"/>
      <c r="L290" s="595" t="n"/>
      <c r="N290" s="594" t="n"/>
      <c r="O290" s="595" t="n"/>
      <c r="Q290" s="594" t="n"/>
      <c r="R290" s="595" t="n"/>
      <c r="T290" s="594" t="n"/>
      <c r="U290" s="595" t="n"/>
      <c r="W290" s="594" t="n"/>
      <c r="X290" s="595" t="n"/>
      <c r="Z290" s="594" t="n"/>
      <c r="AA290" s="595" t="n"/>
      <c r="AC290" s="594" t="n"/>
      <c r="AD290" s="595" t="n"/>
      <c r="AF290" s="594" t="n"/>
      <c r="AG290" s="595" t="n"/>
      <c r="AI290" s="594" t="n"/>
      <c r="AJ290" s="595" t="n"/>
      <c r="AL290" s="594" t="n"/>
      <c r="AM290" s="595" t="n"/>
      <c r="AO290" s="594" t="n"/>
      <c r="AP290" s="595" t="n"/>
      <c r="AR290" s="594" t="n"/>
      <c r="AS290" s="595" t="n"/>
    </row>
    <row r="291" ht="15.75" customHeight="1" s="26">
      <c r="B291" s="593" t="n"/>
      <c r="E291" s="594" t="n"/>
      <c r="F291" s="595" t="n"/>
      <c r="H291" s="594" t="n"/>
      <c r="I291" s="595" t="n"/>
      <c r="K291" s="594" t="n"/>
      <c r="L291" s="595" t="n"/>
      <c r="N291" s="594" t="n"/>
      <c r="O291" s="595" t="n"/>
      <c r="Q291" s="594" t="n"/>
      <c r="R291" s="595" t="n"/>
      <c r="T291" s="594" t="n"/>
      <c r="U291" s="595" t="n"/>
      <c r="W291" s="594" t="n"/>
      <c r="X291" s="595" t="n"/>
      <c r="Z291" s="594" t="n"/>
      <c r="AA291" s="595" t="n"/>
      <c r="AC291" s="594" t="n"/>
      <c r="AD291" s="595" t="n"/>
      <c r="AF291" s="594" t="n"/>
      <c r="AG291" s="595" t="n"/>
      <c r="AI291" s="594" t="n"/>
      <c r="AJ291" s="595" t="n"/>
      <c r="AL291" s="594" t="n"/>
      <c r="AM291" s="595" t="n"/>
      <c r="AO291" s="594" t="n"/>
      <c r="AP291" s="595" t="n"/>
      <c r="AR291" s="594" t="n"/>
      <c r="AS291" s="595" t="n"/>
    </row>
    <row r="292" ht="15.75" customHeight="1" s="26">
      <c r="B292" s="593" t="n"/>
      <c r="E292" s="594" t="n"/>
      <c r="F292" s="595" t="n"/>
      <c r="H292" s="594" t="n"/>
      <c r="I292" s="595" t="n"/>
      <c r="K292" s="594" t="n"/>
      <c r="L292" s="595" t="n"/>
      <c r="N292" s="594" t="n"/>
      <c r="O292" s="595" t="n"/>
      <c r="Q292" s="594" t="n"/>
      <c r="R292" s="595" t="n"/>
      <c r="T292" s="594" t="n"/>
      <c r="U292" s="595" t="n"/>
      <c r="W292" s="594" t="n"/>
      <c r="X292" s="595" t="n"/>
      <c r="Z292" s="594" t="n"/>
      <c r="AA292" s="595" t="n"/>
      <c r="AC292" s="594" t="n"/>
      <c r="AD292" s="595" t="n"/>
      <c r="AF292" s="594" t="n"/>
      <c r="AG292" s="595" t="n"/>
      <c r="AI292" s="594" t="n"/>
      <c r="AJ292" s="595" t="n"/>
      <c r="AL292" s="594" t="n"/>
      <c r="AM292" s="595" t="n"/>
      <c r="AO292" s="594" t="n"/>
      <c r="AP292" s="595" t="n"/>
      <c r="AR292" s="594" t="n"/>
      <c r="AS292" s="595" t="n"/>
    </row>
    <row r="293" ht="15.75" customHeight="1" s="26">
      <c r="B293" s="593" t="n"/>
      <c r="E293" s="594" t="n"/>
      <c r="F293" s="595" t="n"/>
      <c r="H293" s="594" t="n"/>
      <c r="I293" s="595" t="n"/>
      <c r="K293" s="594" t="n"/>
      <c r="L293" s="595" t="n"/>
      <c r="N293" s="594" t="n"/>
      <c r="O293" s="595" t="n"/>
      <c r="Q293" s="594" t="n"/>
      <c r="R293" s="595" t="n"/>
      <c r="T293" s="594" t="n"/>
      <c r="U293" s="595" t="n"/>
      <c r="W293" s="594" t="n"/>
      <c r="X293" s="595" t="n"/>
      <c r="Z293" s="594" t="n"/>
      <c r="AA293" s="595" t="n"/>
      <c r="AC293" s="594" t="n"/>
      <c r="AD293" s="595" t="n"/>
      <c r="AF293" s="594" t="n"/>
      <c r="AG293" s="595" t="n"/>
      <c r="AI293" s="594" t="n"/>
      <c r="AJ293" s="595" t="n"/>
      <c r="AL293" s="594" t="n"/>
      <c r="AM293" s="595" t="n"/>
      <c r="AO293" s="594" t="n"/>
      <c r="AP293" s="595" t="n"/>
      <c r="AR293" s="594" t="n"/>
      <c r="AS293" s="595" t="n"/>
    </row>
    <row r="294" ht="15.75" customHeight="1" s="26">
      <c r="B294" s="593" t="n"/>
      <c r="E294" s="594" t="n"/>
      <c r="F294" s="595" t="n"/>
      <c r="H294" s="594" t="n"/>
      <c r="I294" s="595" t="n"/>
      <c r="K294" s="594" t="n"/>
      <c r="L294" s="595" t="n"/>
      <c r="N294" s="594" t="n"/>
      <c r="O294" s="595" t="n"/>
      <c r="Q294" s="594" t="n"/>
      <c r="R294" s="595" t="n"/>
      <c r="T294" s="594" t="n"/>
      <c r="U294" s="595" t="n"/>
      <c r="W294" s="594" t="n"/>
      <c r="X294" s="595" t="n"/>
      <c r="Z294" s="594" t="n"/>
      <c r="AA294" s="595" t="n"/>
      <c r="AC294" s="594" t="n"/>
      <c r="AD294" s="595" t="n"/>
      <c r="AF294" s="594" t="n"/>
      <c r="AG294" s="595" t="n"/>
      <c r="AI294" s="594" t="n"/>
      <c r="AJ294" s="595" t="n"/>
      <c r="AL294" s="594" t="n"/>
      <c r="AM294" s="595" t="n"/>
      <c r="AO294" s="594" t="n"/>
      <c r="AP294" s="595" t="n"/>
      <c r="AR294" s="594" t="n"/>
      <c r="AS294" s="595" t="n"/>
    </row>
    <row r="295" ht="15.75" customHeight="1" s="26">
      <c r="B295" s="593" t="n"/>
      <c r="E295" s="594" t="n"/>
      <c r="F295" s="595" t="n"/>
      <c r="H295" s="594" t="n"/>
      <c r="I295" s="595" t="n"/>
      <c r="K295" s="594" t="n"/>
      <c r="L295" s="595" t="n"/>
      <c r="N295" s="594" t="n"/>
      <c r="O295" s="595" t="n"/>
      <c r="Q295" s="594" t="n"/>
      <c r="R295" s="595" t="n"/>
      <c r="T295" s="594" t="n"/>
      <c r="U295" s="595" t="n"/>
      <c r="W295" s="594" t="n"/>
      <c r="X295" s="595" t="n"/>
      <c r="Z295" s="594" t="n"/>
      <c r="AA295" s="595" t="n"/>
      <c r="AC295" s="594" t="n"/>
      <c r="AD295" s="595" t="n"/>
      <c r="AF295" s="594" t="n"/>
      <c r="AG295" s="595" t="n"/>
      <c r="AI295" s="594" t="n"/>
      <c r="AJ295" s="595" t="n"/>
      <c r="AL295" s="594" t="n"/>
      <c r="AM295" s="595" t="n"/>
      <c r="AO295" s="594" t="n"/>
      <c r="AP295" s="595" t="n"/>
      <c r="AR295" s="594" t="n"/>
      <c r="AS295" s="595" t="n"/>
    </row>
    <row r="296" ht="15.75" customHeight="1" s="26">
      <c r="B296" s="593" t="n"/>
      <c r="E296" s="594" t="n"/>
      <c r="F296" s="595" t="n"/>
      <c r="H296" s="594" t="n"/>
      <c r="I296" s="595" t="n"/>
      <c r="K296" s="594" t="n"/>
      <c r="L296" s="595" t="n"/>
      <c r="N296" s="594" t="n"/>
      <c r="O296" s="595" t="n"/>
      <c r="Q296" s="594" t="n"/>
      <c r="R296" s="595" t="n"/>
      <c r="T296" s="594" t="n"/>
      <c r="U296" s="595" t="n"/>
      <c r="W296" s="594" t="n"/>
      <c r="X296" s="595" t="n"/>
      <c r="Z296" s="594" t="n"/>
      <c r="AA296" s="595" t="n"/>
      <c r="AC296" s="594" t="n"/>
      <c r="AD296" s="595" t="n"/>
      <c r="AF296" s="594" t="n"/>
      <c r="AG296" s="595" t="n"/>
      <c r="AI296" s="594" t="n"/>
      <c r="AJ296" s="595" t="n"/>
      <c r="AL296" s="594" t="n"/>
      <c r="AM296" s="595" t="n"/>
      <c r="AO296" s="594" t="n"/>
      <c r="AP296" s="595" t="n"/>
      <c r="AR296" s="594" t="n"/>
      <c r="AS296" s="595" t="n"/>
    </row>
    <row r="297" ht="15.75" customHeight="1" s="26">
      <c r="B297" s="593" t="n"/>
      <c r="E297" s="594" t="n"/>
      <c r="F297" s="595" t="n"/>
      <c r="H297" s="594" t="n"/>
      <c r="I297" s="595" t="n"/>
      <c r="K297" s="594" t="n"/>
      <c r="L297" s="595" t="n"/>
      <c r="N297" s="594" t="n"/>
      <c r="O297" s="595" t="n"/>
      <c r="Q297" s="594" t="n"/>
      <c r="R297" s="595" t="n"/>
      <c r="T297" s="594" t="n"/>
      <c r="U297" s="595" t="n"/>
      <c r="W297" s="594" t="n"/>
      <c r="X297" s="595" t="n"/>
      <c r="Z297" s="594" t="n"/>
      <c r="AA297" s="595" t="n"/>
      <c r="AC297" s="594" t="n"/>
      <c r="AD297" s="595" t="n"/>
      <c r="AF297" s="594" t="n"/>
      <c r="AG297" s="595" t="n"/>
      <c r="AI297" s="594" t="n"/>
      <c r="AJ297" s="595" t="n"/>
      <c r="AL297" s="594" t="n"/>
      <c r="AM297" s="595" t="n"/>
      <c r="AO297" s="594" t="n"/>
      <c r="AP297" s="595" t="n"/>
      <c r="AR297" s="594" t="n"/>
      <c r="AS297" s="595" t="n"/>
    </row>
    <row r="298" ht="15.75" customHeight="1" s="26">
      <c r="B298" s="593" t="n"/>
      <c r="E298" s="594" t="n"/>
      <c r="F298" s="595" t="n"/>
      <c r="H298" s="594" t="n"/>
      <c r="I298" s="595" t="n"/>
      <c r="K298" s="594" t="n"/>
      <c r="L298" s="595" t="n"/>
      <c r="N298" s="594" t="n"/>
      <c r="O298" s="595" t="n"/>
      <c r="Q298" s="594" t="n"/>
      <c r="R298" s="595" t="n"/>
      <c r="T298" s="594" t="n"/>
      <c r="U298" s="595" t="n"/>
      <c r="W298" s="594" t="n"/>
      <c r="X298" s="595" t="n"/>
      <c r="Z298" s="594" t="n"/>
      <c r="AA298" s="595" t="n"/>
      <c r="AC298" s="594" t="n"/>
      <c r="AD298" s="595" t="n"/>
      <c r="AF298" s="594" t="n"/>
      <c r="AG298" s="595" t="n"/>
      <c r="AI298" s="594" t="n"/>
      <c r="AJ298" s="595" t="n"/>
      <c r="AL298" s="594" t="n"/>
      <c r="AM298" s="595" t="n"/>
      <c r="AO298" s="594" t="n"/>
      <c r="AP298" s="595" t="n"/>
      <c r="AR298" s="594" t="n"/>
      <c r="AS298" s="595" t="n"/>
    </row>
    <row r="299" ht="15.75" customHeight="1" s="26">
      <c r="B299" s="593" t="n"/>
      <c r="E299" s="594" t="n"/>
      <c r="F299" s="595" t="n"/>
      <c r="H299" s="594" t="n"/>
      <c r="I299" s="595" t="n"/>
      <c r="K299" s="594" t="n"/>
      <c r="L299" s="595" t="n"/>
      <c r="N299" s="594" t="n"/>
      <c r="O299" s="595" t="n"/>
      <c r="Q299" s="594" t="n"/>
      <c r="R299" s="595" t="n"/>
      <c r="T299" s="594" t="n"/>
      <c r="U299" s="595" t="n"/>
      <c r="W299" s="594" t="n"/>
      <c r="X299" s="595" t="n"/>
      <c r="Z299" s="594" t="n"/>
      <c r="AA299" s="595" t="n"/>
      <c r="AC299" s="594" t="n"/>
      <c r="AD299" s="595" t="n"/>
      <c r="AF299" s="594" t="n"/>
      <c r="AG299" s="595" t="n"/>
      <c r="AI299" s="594" t="n"/>
      <c r="AJ299" s="595" t="n"/>
      <c r="AL299" s="594" t="n"/>
      <c r="AM299" s="595" t="n"/>
      <c r="AO299" s="594" t="n"/>
      <c r="AP299" s="595" t="n"/>
      <c r="AR299" s="594" t="n"/>
      <c r="AS299" s="595" t="n"/>
    </row>
    <row r="300" ht="15.75" customHeight="1" s="26">
      <c r="B300" s="593" t="n"/>
      <c r="E300" s="594" t="n"/>
      <c r="F300" s="595" t="n"/>
      <c r="H300" s="594" t="n"/>
      <c r="I300" s="595" t="n"/>
      <c r="K300" s="594" t="n"/>
      <c r="L300" s="595" t="n"/>
      <c r="N300" s="594" t="n"/>
      <c r="O300" s="595" t="n"/>
      <c r="Q300" s="594" t="n"/>
      <c r="R300" s="595" t="n"/>
      <c r="T300" s="594" t="n"/>
      <c r="U300" s="595" t="n"/>
      <c r="W300" s="594" t="n"/>
      <c r="X300" s="595" t="n"/>
      <c r="Z300" s="594" t="n"/>
      <c r="AA300" s="595" t="n"/>
      <c r="AC300" s="594" t="n"/>
      <c r="AD300" s="595" t="n"/>
      <c r="AF300" s="594" t="n"/>
      <c r="AG300" s="595" t="n"/>
      <c r="AI300" s="594" t="n"/>
      <c r="AJ300" s="595" t="n"/>
      <c r="AL300" s="594" t="n"/>
      <c r="AM300" s="595" t="n"/>
      <c r="AO300" s="594" t="n"/>
      <c r="AP300" s="595" t="n"/>
      <c r="AR300" s="594" t="n"/>
      <c r="AS300" s="595" t="n"/>
    </row>
    <row r="301" ht="15.75" customHeight="1" s="26">
      <c r="B301" s="593" t="n"/>
      <c r="E301" s="594" t="n"/>
      <c r="F301" s="595" t="n"/>
      <c r="H301" s="594" t="n"/>
      <c r="I301" s="595" t="n"/>
      <c r="K301" s="594" t="n"/>
      <c r="L301" s="595" t="n"/>
      <c r="N301" s="594" t="n"/>
      <c r="O301" s="595" t="n"/>
      <c r="Q301" s="594" t="n"/>
      <c r="R301" s="595" t="n"/>
      <c r="T301" s="594" t="n"/>
      <c r="U301" s="595" t="n"/>
      <c r="W301" s="594" t="n"/>
      <c r="X301" s="595" t="n"/>
      <c r="Z301" s="594" t="n"/>
      <c r="AA301" s="595" t="n"/>
      <c r="AC301" s="594" t="n"/>
      <c r="AD301" s="595" t="n"/>
      <c r="AF301" s="594" t="n"/>
      <c r="AG301" s="595" t="n"/>
      <c r="AI301" s="594" t="n"/>
      <c r="AJ301" s="595" t="n"/>
      <c r="AL301" s="594" t="n"/>
      <c r="AM301" s="595" t="n"/>
      <c r="AO301" s="594" t="n"/>
      <c r="AP301" s="595" t="n"/>
      <c r="AR301" s="594" t="n"/>
      <c r="AS301" s="595" t="n"/>
    </row>
    <row r="302" ht="15.75" customHeight="1" s="26">
      <c r="B302" s="593" t="n"/>
      <c r="E302" s="594" t="n"/>
      <c r="F302" s="595" t="n"/>
      <c r="H302" s="594" t="n"/>
      <c r="I302" s="595" t="n"/>
      <c r="K302" s="594" t="n"/>
      <c r="L302" s="595" t="n"/>
      <c r="N302" s="594" t="n"/>
      <c r="O302" s="595" t="n"/>
      <c r="Q302" s="594" t="n"/>
      <c r="R302" s="595" t="n"/>
      <c r="T302" s="594" t="n"/>
      <c r="U302" s="595" t="n"/>
      <c r="W302" s="594" t="n"/>
      <c r="X302" s="595" t="n"/>
      <c r="Z302" s="594" t="n"/>
      <c r="AA302" s="595" t="n"/>
      <c r="AC302" s="594" t="n"/>
      <c r="AD302" s="595" t="n"/>
      <c r="AF302" s="594" t="n"/>
      <c r="AG302" s="595" t="n"/>
      <c r="AI302" s="594" t="n"/>
      <c r="AJ302" s="595" t="n"/>
      <c r="AL302" s="594" t="n"/>
      <c r="AM302" s="595" t="n"/>
      <c r="AO302" s="594" t="n"/>
      <c r="AP302" s="595" t="n"/>
      <c r="AR302" s="594" t="n"/>
      <c r="AS302" s="595" t="n"/>
    </row>
    <row r="303" ht="15.75" customHeight="1" s="26">
      <c r="B303" s="593" t="n"/>
      <c r="E303" s="594" t="n"/>
      <c r="F303" s="595" t="n"/>
      <c r="H303" s="594" t="n"/>
      <c r="I303" s="595" t="n"/>
      <c r="K303" s="594" t="n"/>
      <c r="L303" s="595" t="n"/>
      <c r="N303" s="594" t="n"/>
      <c r="O303" s="595" t="n"/>
      <c r="Q303" s="594" t="n"/>
      <c r="R303" s="595" t="n"/>
      <c r="T303" s="594" t="n"/>
      <c r="U303" s="595" t="n"/>
      <c r="W303" s="594" t="n"/>
      <c r="X303" s="595" t="n"/>
      <c r="Z303" s="594" t="n"/>
      <c r="AA303" s="595" t="n"/>
      <c r="AC303" s="594" t="n"/>
      <c r="AD303" s="595" t="n"/>
      <c r="AF303" s="594" t="n"/>
      <c r="AG303" s="595" t="n"/>
      <c r="AI303" s="594" t="n"/>
      <c r="AJ303" s="595" t="n"/>
      <c r="AL303" s="594" t="n"/>
      <c r="AM303" s="595" t="n"/>
      <c r="AO303" s="594" t="n"/>
      <c r="AP303" s="595" t="n"/>
      <c r="AR303" s="594" t="n"/>
      <c r="AS303" s="595" t="n"/>
    </row>
    <row r="304" ht="15.75" customHeight="1" s="26">
      <c r="B304" s="593" t="n"/>
      <c r="E304" s="594" t="n"/>
      <c r="F304" s="595" t="n"/>
      <c r="H304" s="594" t="n"/>
      <c r="I304" s="595" t="n"/>
      <c r="K304" s="594" t="n"/>
      <c r="L304" s="595" t="n"/>
      <c r="N304" s="594" t="n"/>
      <c r="O304" s="595" t="n"/>
      <c r="Q304" s="594" t="n"/>
      <c r="R304" s="595" t="n"/>
      <c r="T304" s="594" t="n"/>
      <c r="U304" s="595" t="n"/>
      <c r="W304" s="594" t="n"/>
      <c r="X304" s="595" t="n"/>
      <c r="Z304" s="594" t="n"/>
      <c r="AA304" s="595" t="n"/>
      <c r="AC304" s="594" t="n"/>
      <c r="AD304" s="595" t="n"/>
      <c r="AF304" s="594" t="n"/>
      <c r="AG304" s="595" t="n"/>
      <c r="AI304" s="594" t="n"/>
      <c r="AJ304" s="595" t="n"/>
      <c r="AL304" s="594" t="n"/>
      <c r="AM304" s="595" t="n"/>
      <c r="AO304" s="594" t="n"/>
      <c r="AP304" s="595" t="n"/>
      <c r="AR304" s="594" t="n"/>
      <c r="AS304" s="595" t="n"/>
    </row>
    <row r="305" ht="15.75" customHeight="1" s="26">
      <c r="B305" s="593" t="n"/>
      <c r="E305" s="594" t="n"/>
      <c r="F305" s="595" t="n"/>
      <c r="H305" s="594" t="n"/>
      <c r="I305" s="595" t="n"/>
      <c r="K305" s="594" t="n"/>
      <c r="L305" s="595" t="n"/>
      <c r="N305" s="594" t="n"/>
      <c r="O305" s="595" t="n"/>
      <c r="Q305" s="594" t="n"/>
      <c r="R305" s="595" t="n"/>
      <c r="T305" s="594" t="n"/>
      <c r="U305" s="595" t="n"/>
      <c r="W305" s="594" t="n"/>
      <c r="X305" s="595" t="n"/>
      <c r="Z305" s="594" t="n"/>
      <c r="AA305" s="595" t="n"/>
      <c r="AC305" s="594" t="n"/>
      <c r="AD305" s="595" t="n"/>
      <c r="AF305" s="594" t="n"/>
      <c r="AG305" s="595" t="n"/>
      <c r="AI305" s="594" t="n"/>
      <c r="AJ305" s="595" t="n"/>
      <c r="AL305" s="594" t="n"/>
      <c r="AM305" s="595" t="n"/>
      <c r="AO305" s="594" t="n"/>
      <c r="AP305" s="595" t="n"/>
      <c r="AR305" s="594" t="n"/>
      <c r="AS305" s="595" t="n"/>
    </row>
    <row r="306" ht="15.75" customHeight="1" s="26">
      <c r="B306" s="593" t="n"/>
      <c r="E306" s="594" t="n"/>
      <c r="F306" s="595" t="n"/>
      <c r="H306" s="594" t="n"/>
      <c r="I306" s="595" t="n"/>
      <c r="K306" s="594" t="n"/>
      <c r="L306" s="595" t="n"/>
      <c r="N306" s="594" t="n"/>
      <c r="O306" s="595" t="n"/>
      <c r="Q306" s="594" t="n"/>
      <c r="R306" s="595" t="n"/>
      <c r="T306" s="594" t="n"/>
      <c r="U306" s="595" t="n"/>
      <c r="W306" s="594" t="n"/>
      <c r="X306" s="595" t="n"/>
      <c r="Z306" s="594" t="n"/>
      <c r="AA306" s="595" t="n"/>
      <c r="AC306" s="594" t="n"/>
      <c r="AD306" s="595" t="n"/>
      <c r="AF306" s="594" t="n"/>
      <c r="AG306" s="595" t="n"/>
      <c r="AI306" s="594" t="n"/>
      <c r="AJ306" s="595" t="n"/>
      <c r="AL306" s="594" t="n"/>
      <c r="AM306" s="595" t="n"/>
      <c r="AO306" s="594" t="n"/>
      <c r="AP306" s="595" t="n"/>
      <c r="AR306" s="594" t="n"/>
      <c r="AS306" s="595" t="n"/>
    </row>
    <row r="307" ht="15.75" customHeight="1" s="26">
      <c r="B307" s="593" t="n"/>
      <c r="E307" s="594" t="n"/>
      <c r="F307" s="595" t="n"/>
      <c r="H307" s="594" t="n"/>
      <c r="I307" s="595" t="n"/>
      <c r="K307" s="594" t="n"/>
      <c r="L307" s="595" t="n"/>
      <c r="N307" s="594" t="n"/>
      <c r="O307" s="595" t="n"/>
      <c r="Q307" s="594" t="n"/>
      <c r="R307" s="595" t="n"/>
      <c r="T307" s="594" t="n"/>
      <c r="U307" s="595" t="n"/>
      <c r="W307" s="594" t="n"/>
      <c r="X307" s="595" t="n"/>
      <c r="Z307" s="594" t="n"/>
      <c r="AA307" s="595" t="n"/>
      <c r="AC307" s="594" t="n"/>
      <c r="AD307" s="595" t="n"/>
      <c r="AF307" s="594" t="n"/>
      <c r="AG307" s="595" t="n"/>
      <c r="AI307" s="594" t="n"/>
      <c r="AJ307" s="595" t="n"/>
      <c r="AL307" s="594" t="n"/>
      <c r="AM307" s="595" t="n"/>
      <c r="AO307" s="594" t="n"/>
      <c r="AP307" s="595" t="n"/>
      <c r="AR307" s="594" t="n"/>
      <c r="AS307" s="595" t="n"/>
    </row>
    <row r="308" ht="15.75" customHeight="1" s="26">
      <c r="B308" s="593" t="n"/>
      <c r="E308" s="594" t="n"/>
      <c r="F308" s="595" t="n"/>
      <c r="H308" s="594" t="n"/>
      <c r="I308" s="595" t="n"/>
      <c r="K308" s="594" t="n"/>
      <c r="L308" s="595" t="n"/>
      <c r="N308" s="594" t="n"/>
      <c r="O308" s="595" t="n"/>
      <c r="Q308" s="594" t="n"/>
      <c r="R308" s="595" t="n"/>
      <c r="T308" s="594" t="n"/>
      <c r="U308" s="595" t="n"/>
      <c r="W308" s="594" t="n"/>
      <c r="X308" s="595" t="n"/>
      <c r="Z308" s="594" t="n"/>
      <c r="AA308" s="595" t="n"/>
      <c r="AC308" s="594" t="n"/>
      <c r="AD308" s="595" t="n"/>
      <c r="AF308" s="594" t="n"/>
      <c r="AG308" s="595" t="n"/>
      <c r="AI308" s="594" t="n"/>
      <c r="AJ308" s="595" t="n"/>
      <c r="AL308" s="594" t="n"/>
      <c r="AM308" s="595" t="n"/>
      <c r="AO308" s="594" t="n"/>
      <c r="AP308" s="595" t="n"/>
      <c r="AR308" s="594" t="n"/>
      <c r="AS308" s="595" t="n"/>
    </row>
    <row r="309" ht="15.75" customHeight="1" s="26">
      <c r="B309" s="593" t="n"/>
      <c r="E309" s="594" t="n"/>
      <c r="F309" s="595" t="n"/>
      <c r="H309" s="594" t="n"/>
      <c r="I309" s="595" t="n"/>
      <c r="K309" s="594" t="n"/>
      <c r="L309" s="595" t="n"/>
      <c r="N309" s="594" t="n"/>
      <c r="O309" s="595" t="n"/>
      <c r="Q309" s="594" t="n"/>
      <c r="R309" s="595" t="n"/>
      <c r="T309" s="594" t="n"/>
      <c r="U309" s="595" t="n"/>
      <c r="W309" s="594" t="n"/>
      <c r="X309" s="595" t="n"/>
      <c r="Z309" s="594" t="n"/>
      <c r="AA309" s="595" t="n"/>
      <c r="AC309" s="594" t="n"/>
      <c r="AD309" s="595" t="n"/>
      <c r="AF309" s="594" t="n"/>
      <c r="AG309" s="595" t="n"/>
      <c r="AI309" s="594" t="n"/>
      <c r="AJ309" s="595" t="n"/>
      <c r="AL309" s="594" t="n"/>
      <c r="AM309" s="595" t="n"/>
      <c r="AO309" s="594" t="n"/>
      <c r="AP309" s="595" t="n"/>
      <c r="AR309" s="594" t="n"/>
      <c r="AS309" s="595" t="n"/>
    </row>
    <row r="310" ht="15.75" customHeight="1" s="26">
      <c r="B310" s="593" t="n"/>
      <c r="E310" s="594" t="n"/>
      <c r="F310" s="595" t="n"/>
      <c r="H310" s="594" t="n"/>
      <c r="I310" s="595" t="n"/>
      <c r="K310" s="594" t="n"/>
      <c r="L310" s="595" t="n"/>
      <c r="N310" s="594" t="n"/>
      <c r="O310" s="595" t="n"/>
      <c r="Q310" s="594" t="n"/>
      <c r="R310" s="595" t="n"/>
      <c r="T310" s="594" t="n"/>
      <c r="U310" s="595" t="n"/>
      <c r="W310" s="594" t="n"/>
      <c r="X310" s="595" t="n"/>
      <c r="Z310" s="594" t="n"/>
      <c r="AA310" s="595" t="n"/>
      <c r="AC310" s="594" t="n"/>
      <c r="AD310" s="595" t="n"/>
      <c r="AF310" s="594" t="n"/>
      <c r="AG310" s="595" t="n"/>
      <c r="AI310" s="594" t="n"/>
      <c r="AJ310" s="595" t="n"/>
      <c r="AL310" s="594" t="n"/>
      <c r="AM310" s="595" t="n"/>
      <c r="AO310" s="594" t="n"/>
      <c r="AP310" s="595" t="n"/>
      <c r="AR310" s="594" t="n"/>
      <c r="AS310" s="595" t="n"/>
    </row>
    <row r="311" ht="15.75" customHeight="1" s="26">
      <c r="B311" s="593" t="n"/>
      <c r="E311" s="594" t="n"/>
      <c r="F311" s="595" t="n"/>
      <c r="H311" s="594" t="n"/>
      <c r="I311" s="595" t="n"/>
      <c r="K311" s="594" t="n"/>
      <c r="L311" s="595" t="n"/>
      <c r="N311" s="594" t="n"/>
      <c r="O311" s="595" t="n"/>
      <c r="Q311" s="594" t="n"/>
      <c r="R311" s="595" t="n"/>
      <c r="T311" s="594" t="n"/>
      <c r="U311" s="595" t="n"/>
      <c r="W311" s="594" t="n"/>
      <c r="X311" s="595" t="n"/>
      <c r="Z311" s="594" t="n"/>
      <c r="AA311" s="595" t="n"/>
      <c r="AC311" s="594" t="n"/>
      <c r="AD311" s="595" t="n"/>
      <c r="AF311" s="594" t="n"/>
      <c r="AG311" s="595" t="n"/>
      <c r="AI311" s="594" t="n"/>
      <c r="AJ311" s="595" t="n"/>
      <c r="AL311" s="594" t="n"/>
      <c r="AM311" s="595" t="n"/>
      <c r="AO311" s="594" t="n"/>
      <c r="AP311" s="595" t="n"/>
      <c r="AR311" s="594" t="n"/>
      <c r="AS311" s="595" t="n"/>
    </row>
    <row r="312" ht="15.75" customHeight="1" s="26">
      <c r="B312" s="593" t="n"/>
      <c r="E312" s="594" t="n"/>
      <c r="F312" s="595" t="n"/>
      <c r="H312" s="594" t="n"/>
      <c r="I312" s="595" t="n"/>
      <c r="K312" s="594" t="n"/>
      <c r="L312" s="595" t="n"/>
      <c r="N312" s="594" t="n"/>
      <c r="O312" s="595" t="n"/>
      <c r="Q312" s="594" t="n"/>
      <c r="R312" s="595" t="n"/>
      <c r="T312" s="594" t="n"/>
      <c r="U312" s="595" t="n"/>
      <c r="W312" s="594" t="n"/>
      <c r="X312" s="595" t="n"/>
      <c r="Z312" s="594" t="n"/>
      <c r="AA312" s="595" t="n"/>
      <c r="AC312" s="594" t="n"/>
      <c r="AD312" s="595" t="n"/>
      <c r="AF312" s="594" t="n"/>
      <c r="AG312" s="595" t="n"/>
      <c r="AI312" s="594" t="n"/>
      <c r="AJ312" s="595" t="n"/>
      <c r="AL312" s="594" t="n"/>
      <c r="AM312" s="595" t="n"/>
      <c r="AO312" s="594" t="n"/>
      <c r="AP312" s="595" t="n"/>
      <c r="AR312" s="594" t="n"/>
      <c r="AS312" s="595" t="n"/>
    </row>
    <row r="313" ht="15.75" customHeight="1" s="26">
      <c r="B313" s="593" t="n"/>
      <c r="E313" s="594" t="n"/>
      <c r="F313" s="595" t="n"/>
      <c r="H313" s="594" t="n"/>
      <c r="I313" s="595" t="n"/>
      <c r="K313" s="594" t="n"/>
      <c r="L313" s="595" t="n"/>
      <c r="N313" s="594" t="n"/>
      <c r="O313" s="595" t="n"/>
      <c r="Q313" s="594" t="n"/>
      <c r="R313" s="595" t="n"/>
      <c r="T313" s="594" t="n"/>
      <c r="U313" s="595" t="n"/>
      <c r="W313" s="594" t="n"/>
      <c r="X313" s="595" t="n"/>
      <c r="Z313" s="594" t="n"/>
      <c r="AA313" s="595" t="n"/>
      <c r="AC313" s="594" t="n"/>
      <c r="AD313" s="595" t="n"/>
      <c r="AF313" s="594" t="n"/>
      <c r="AG313" s="595" t="n"/>
      <c r="AI313" s="594" t="n"/>
      <c r="AJ313" s="595" t="n"/>
      <c r="AL313" s="594" t="n"/>
      <c r="AM313" s="595" t="n"/>
      <c r="AO313" s="594" t="n"/>
      <c r="AP313" s="595" t="n"/>
      <c r="AR313" s="594" t="n"/>
      <c r="AS313" s="595" t="n"/>
    </row>
    <row r="314" ht="15.75" customHeight="1" s="26">
      <c r="B314" s="593" t="n"/>
      <c r="E314" s="594" t="n"/>
      <c r="F314" s="595" t="n"/>
      <c r="H314" s="594" t="n"/>
      <c r="I314" s="595" t="n"/>
      <c r="K314" s="594" t="n"/>
      <c r="L314" s="595" t="n"/>
      <c r="N314" s="594" t="n"/>
      <c r="O314" s="595" t="n"/>
      <c r="Q314" s="594" t="n"/>
      <c r="R314" s="595" t="n"/>
      <c r="T314" s="594" t="n"/>
      <c r="U314" s="595" t="n"/>
      <c r="W314" s="594" t="n"/>
      <c r="X314" s="595" t="n"/>
      <c r="Z314" s="594" t="n"/>
      <c r="AA314" s="595" t="n"/>
      <c r="AC314" s="594" t="n"/>
      <c r="AD314" s="595" t="n"/>
      <c r="AF314" s="594" t="n"/>
      <c r="AG314" s="595" t="n"/>
      <c r="AI314" s="594" t="n"/>
      <c r="AJ314" s="595" t="n"/>
      <c r="AL314" s="594" t="n"/>
      <c r="AM314" s="595" t="n"/>
      <c r="AO314" s="594" t="n"/>
      <c r="AP314" s="595" t="n"/>
      <c r="AR314" s="594" t="n"/>
      <c r="AS314" s="595" t="n"/>
    </row>
    <row r="315" ht="15.75" customHeight="1" s="26">
      <c r="B315" s="593" t="n"/>
      <c r="E315" s="594" t="n"/>
      <c r="F315" s="595" t="n"/>
      <c r="H315" s="594" t="n"/>
      <c r="I315" s="595" t="n"/>
      <c r="K315" s="594" t="n"/>
      <c r="L315" s="595" t="n"/>
      <c r="N315" s="594" t="n"/>
      <c r="O315" s="595" t="n"/>
      <c r="Q315" s="594" t="n"/>
      <c r="R315" s="595" t="n"/>
      <c r="T315" s="594" t="n"/>
      <c r="U315" s="595" t="n"/>
      <c r="W315" s="594" t="n"/>
      <c r="X315" s="595" t="n"/>
      <c r="Z315" s="594" t="n"/>
      <c r="AA315" s="595" t="n"/>
      <c r="AC315" s="594" t="n"/>
      <c r="AD315" s="595" t="n"/>
      <c r="AF315" s="594" t="n"/>
      <c r="AG315" s="595" t="n"/>
      <c r="AI315" s="594" t="n"/>
      <c r="AJ315" s="595" t="n"/>
      <c r="AL315" s="594" t="n"/>
      <c r="AM315" s="595" t="n"/>
      <c r="AO315" s="594" t="n"/>
      <c r="AP315" s="595" t="n"/>
      <c r="AR315" s="594" t="n"/>
      <c r="AS315" s="595" t="n"/>
    </row>
    <row r="316" ht="15.75" customHeight="1" s="26">
      <c r="B316" s="593" t="n"/>
      <c r="E316" s="594" t="n"/>
      <c r="F316" s="595" t="n"/>
      <c r="H316" s="594" t="n"/>
      <c r="I316" s="595" t="n"/>
      <c r="K316" s="594" t="n"/>
      <c r="L316" s="595" t="n"/>
      <c r="N316" s="594" t="n"/>
      <c r="O316" s="595" t="n"/>
      <c r="Q316" s="594" t="n"/>
      <c r="R316" s="595" t="n"/>
      <c r="T316" s="594" t="n"/>
      <c r="U316" s="595" t="n"/>
      <c r="W316" s="594" t="n"/>
      <c r="X316" s="595" t="n"/>
      <c r="Z316" s="594" t="n"/>
      <c r="AA316" s="595" t="n"/>
      <c r="AC316" s="594" t="n"/>
      <c r="AD316" s="595" t="n"/>
      <c r="AF316" s="594" t="n"/>
      <c r="AG316" s="595" t="n"/>
      <c r="AI316" s="594" t="n"/>
      <c r="AJ316" s="595" t="n"/>
      <c r="AL316" s="594" t="n"/>
      <c r="AM316" s="595" t="n"/>
      <c r="AO316" s="594" t="n"/>
      <c r="AP316" s="595" t="n"/>
      <c r="AR316" s="594" t="n"/>
      <c r="AS316" s="595" t="n"/>
    </row>
    <row r="317" ht="15.75" customHeight="1" s="26">
      <c r="B317" s="593" t="n"/>
      <c r="E317" s="594" t="n"/>
      <c r="F317" s="595" t="n"/>
      <c r="H317" s="594" t="n"/>
      <c r="I317" s="595" t="n"/>
      <c r="K317" s="594" t="n"/>
      <c r="L317" s="595" t="n"/>
      <c r="N317" s="594" t="n"/>
      <c r="O317" s="595" t="n"/>
      <c r="Q317" s="594" t="n"/>
      <c r="R317" s="595" t="n"/>
      <c r="T317" s="594" t="n"/>
      <c r="U317" s="595" t="n"/>
      <c r="W317" s="594" t="n"/>
      <c r="X317" s="595" t="n"/>
      <c r="Z317" s="594" t="n"/>
      <c r="AA317" s="595" t="n"/>
      <c r="AC317" s="594" t="n"/>
      <c r="AD317" s="595" t="n"/>
      <c r="AF317" s="594" t="n"/>
      <c r="AG317" s="595" t="n"/>
      <c r="AI317" s="594" t="n"/>
      <c r="AJ317" s="595" t="n"/>
      <c r="AL317" s="594" t="n"/>
      <c r="AM317" s="595" t="n"/>
      <c r="AO317" s="594" t="n"/>
      <c r="AP317" s="595" t="n"/>
      <c r="AR317" s="594" t="n"/>
      <c r="AS317" s="595" t="n"/>
    </row>
    <row r="318" ht="15.75" customHeight="1" s="26">
      <c r="B318" s="593" t="n"/>
      <c r="E318" s="594" t="n"/>
      <c r="F318" s="595" t="n"/>
      <c r="H318" s="594" t="n"/>
      <c r="I318" s="595" t="n"/>
      <c r="K318" s="594" t="n"/>
      <c r="L318" s="595" t="n"/>
      <c r="N318" s="594" t="n"/>
      <c r="O318" s="595" t="n"/>
      <c r="Q318" s="594" t="n"/>
      <c r="R318" s="595" t="n"/>
      <c r="T318" s="594" t="n"/>
      <c r="U318" s="595" t="n"/>
      <c r="W318" s="594" t="n"/>
      <c r="X318" s="595" t="n"/>
      <c r="Z318" s="594" t="n"/>
      <c r="AA318" s="595" t="n"/>
      <c r="AC318" s="594" t="n"/>
      <c r="AD318" s="595" t="n"/>
      <c r="AF318" s="594" t="n"/>
      <c r="AG318" s="595" t="n"/>
      <c r="AI318" s="594" t="n"/>
      <c r="AJ318" s="595" t="n"/>
      <c r="AL318" s="594" t="n"/>
      <c r="AM318" s="595" t="n"/>
      <c r="AO318" s="594" t="n"/>
      <c r="AP318" s="595" t="n"/>
      <c r="AR318" s="594" t="n"/>
      <c r="AS318" s="595" t="n"/>
    </row>
    <row r="319" ht="15.75" customHeight="1" s="26">
      <c r="B319" s="593" t="n"/>
      <c r="E319" s="594" t="n"/>
      <c r="F319" s="595" t="n"/>
      <c r="H319" s="594" t="n"/>
      <c r="I319" s="595" t="n"/>
      <c r="K319" s="594" t="n"/>
      <c r="L319" s="595" t="n"/>
      <c r="N319" s="594" t="n"/>
      <c r="O319" s="595" t="n"/>
      <c r="Q319" s="594" t="n"/>
      <c r="R319" s="595" t="n"/>
      <c r="T319" s="594" t="n"/>
      <c r="U319" s="595" t="n"/>
      <c r="W319" s="594" t="n"/>
      <c r="X319" s="595" t="n"/>
      <c r="Z319" s="594" t="n"/>
      <c r="AA319" s="595" t="n"/>
      <c r="AC319" s="594" t="n"/>
      <c r="AD319" s="595" t="n"/>
      <c r="AF319" s="594" t="n"/>
      <c r="AG319" s="595" t="n"/>
      <c r="AI319" s="594" t="n"/>
      <c r="AJ319" s="595" t="n"/>
      <c r="AL319" s="594" t="n"/>
      <c r="AM319" s="595" t="n"/>
      <c r="AO319" s="594" t="n"/>
      <c r="AP319" s="595" t="n"/>
      <c r="AR319" s="594" t="n"/>
      <c r="AS319" s="595" t="n"/>
    </row>
    <row r="320" ht="15.75" customHeight="1" s="26">
      <c r="B320" s="593" t="n"/>
      <c r="E320" s="594" t="n"/>
      <c r="F320" s="595" t="n"/>
      <c r="H320" s="594" t="n"/>
      <c r="I320" s="595" t="n"/>
      <c r="K320" s="594" t="n"/>
      <c r="L320" s="595" t="n"/>
      <c r="N320" s="594" t="n"/>
      <c r="O320" s="595" t="n"/>
      <c r="Q320" s="594" t="n"/>
      <c r="R320" s="595" t="n"/>
      <c r="T320" s="594" t="n"/>
      <c r="U320" s="595" t="n"/>
      <c r="W320" s="594" t="n"/>
      <c r="X320" s="595" t="n"/>
      <c r="Z320" s="594" t="n"/>
      <c r="AA320" s="595" t="n"/>
      <c r="AC320" s="594" t="n"/>
      <c r="AD320" s="595" t="n"/>
      <c r="AF320" s="594" t="n"/>
      <c r="AG320" s="595" t="n"/>
      <c r="AI320" s="594" t="n"/>
      <c r="AJ320" s="595" t="n"/>
      <c r="AL320" s="594" t="n"/>
      <c r="AM320" s="595" t="n"/>
      <c r="AO320" s="594" t="n"/>
      <c r="AP320" s="595" t="n"/>
      <c r="AR320" s="594" t="n"/>
      <c r="AS320" s="595" t="n"/>
    </row>
    <row r="321" ht="15.75" customHeight="1" s="26">
      <c r="B321" s="593" t="n"/>
      <c r="E321" s="594" t="n"/>
      <c r="F321" s="595" t="n"/>
      <c r="H321" s="594" t="n"/>
      <c r="I321" s="595" t="n"/>
      <c r="K321" s="594" t="n"/>
      <c r="L321" s="595" t="n"/>
      <c r="N321" s="594" t="n"/>
      <c r="O321" s="595" t="n"/>
      <c r="Q321" s="594" t="n"/>
      <c r="R321" s="595" t="n"/>
      <c r="T321" s="594" t="n"/>
      <c r="U321" s="595" t="n"/>
      <c r="W321" s="594" t="n"/>
      <c r="X321" s="595" t="n"/>
      <c r="Z321" s="594" t="n"/>
      <c r="AA321" s="595" t="n"/>
      <c r="AC321" s="594" t="n"/>
      <c r="AD321" s="595" t="n"/>
      <c r="AF321" s="594" t="n"/>
      <c r="AG321" s="595" t="n"/>
      <c r="AI321" s="594" t="n"/>
      <c r="AJ321" s="595" t="n"/>
      <c r="AL321" s="594" t="n"/>
      <c r="AM321" s="595" t="n"/>
      <c r="AO321" s="594" t="n"/>
      <c r="AP321" s="595" t="n"/>
      <c r="AR321" s="594" t="n"/>
      <c r="AS321" s="595" t="n"/>
    </row>
    <row r="322" ht="15.75" customHeight="1" s="26">
      <c r="B322" s="593" t="n"/>
      <c r="E322" s="594" t="n"/>
      <c r="F322" s="595" t="n"/>
      <c r="H322" s="594" t="n"/>
      <c r="I322" s="595" t="n"/>
      <c r="K322" s="594" t="n"/>
      <c r="L322" s="595" t="n"/>
      <c r="N322" s="594" t="n"/>
      <c r="O322" s="595" t="n"/>
      <c r="Q322" s="594" t="n"/>
      <c r="R322" s="595" t="n"/>
      <c r="T322" s="594" t="n"/>
      <c r="U322" s="595" t="n"/>
      <c r="W322" s="594" t="n"/>
      <c r="X322" s="595" t="n"/>
      <c r="Z322" s="594" t="n"/>
      <c r="AA322" s="595" t="n"/>
      <c r="AC322" s="594" t="n"/>
      <c r="AD322" s="595" t="n"/>
      <c r="AF322" s="594" t="n"/>
      <c r="AG322" s="595" t="n"/>
      <c r="AI322" s="594" t="n"/>
      <c r="AJ322" s="595" t="n"/>
      <c r="AL322" s="594" t="n"/>
      <c r="AM322" s="595" t="n"/>
      <c r="AO322" s="594" t="n"/>
      <c r="AP322" s="595" t="n"/>
      <c r="AR322" s="594" t="n"/>
      <c r="AS322" s="595" t="n"/>
    </row>
    <row r="323" ht="15.75" customHeight="1" s="26">
      <c r="B323" s="593" t="n"/>
      <c r="E323" s="594" t="n"/>
      <c r="F323" s="595" t="n"/>
      <c r="H323" s="594" t="n"/>
      <c r="I323" s="595" t="n"/>
      <c r="K323" s="594" t="n"/>
      <c r="L323" s="595" t="n"/>
      <c r="N323" s="594" t="n"/>
      <c r="O323" s="595" t="n"/>
      <c r="Q323" s="594" t="n"/>
      <c r="R323" s="595" t="n"/>
      <c r="T323" s="594" t="n"/>
      <c r="U323" s="595" t="n"/>
      <c r="W323" s="594" t="n"/>
      <c r="X323" s="595" t="n"/>
      <c r="Z323" s="594" t="n"/>
      <c r="AA323" s="595" t="n"/>
      <c r="AC323" s="594" t="n"/>
      <c r="AD323" s="595" t="n"/>
      <c r="AF323" s="594" t="n"/>
      <c r="AG323" s="595" t="n"/>
      <c r="AI323" s="594" t="n"/>
      <c r="AJ323" s="595" t="n"/>
      <c r="AL323" s="594" t="n"/>
      <c r="AM323" s="595" t="n"/>
      <c r="AO323" s="594" t="n"/>
      <c r="AP323" s="595" t="n"/>
      <c r="AR323" s="594" t="n"/>
      <c r="AS323" s="595" t="n"/>
    </row>
    <row r="324" ht="15.75" customHeight="1" s="26">
      <c r="B324" s="593" t="n"/>
      <c r="E324" s="594" t="n"/>
      <c r="F324" s="595" t="n"/>
      <c r="H324" s="594" t="n"/>
      <c r="I324" s="595" t="n"/>
      <c r="K324" s="594" t="n"/>
      <c r="L324" s="595" t="n"/>
      <c r="N324" s="594" t="n"/>
      <c r="O324" s="595" t="n"/>
      <c r="Q324" s="594" t="n"/>
      <c r="R324" s="595" t="n"/>
      <c r="T324" s="594" t="n"/>
      <c r="U324" s="595" t="n"/>
      <c r="W324" s="594" t="n"/>
      <c r="X324" s="595" t="n"/>
      <c r="Z324" s="594" t="n"/>
      <c r="AA324" s="595" t="n"/>
      <c r="AC324" s="594" t="n"/>
      <c r="AD324" s="595" t="n"/>
      <c r="AF324" s="594" t="n"/>
      <c r="AG324" s="595" t="n"/>
      <c r="AI324" s="594" t="n"/>
      <c r="AJ324" s="595" t="n"/>
      <c r="AL324" s="594" t="n"/>
      <c r="AM324" s="595" t="n"/>
      <c r="AO324" s="594" t="n"/>
      <c r="AP324" s="595" t="n"/>
      <c r="AR324" s="594" t="n"/>
      <c r="AS324" s="595" t="n"/>
    </row>
    <row r="325" ht="15.75" customHeight="1" s="26">
      <c r="B325" s="593" t="n"/>
      <c r="E325" s="594" t="n"/>
      <c r="F325" s="595" t="n"/>
      <c r="H325" s="594" t="n"/>
      <c r="I325" s="595" t="n"/>
      <c r="K325" s="594" t="n"/>
      <c r="L325" s="595" t="n"/>
      <c r="N325" s="594" t="n"/>
      <c r="O325" s="595" t="n"/>
      <c r="Q325" s="594" t="n"/>
      <c r="R325" s="595" t="n"/>
      <c r="T325" s="594" t="n"/>
      <c r="U325" s="595" t="n"/>
      <c r="W325" s="594" t="n"/>
      <c r="X325" s="595" t="n"/>
      <c r="Z325" s="594" t="n"/>
      <c r="AA325" s="595" t="n"/>
      <c r="AC325" s="594" t="n"/>
      <c r="AD325" s="595" t="n"/>
      <c r="AF325" s="594" t="n"/>
      <c r="AG325" s="595" t="n"/>
      <c r="AI325" s="594" t="n"/>
      <c r="AJ325" s="595" t="n"/>
      <c r="AL325" s="594" t="n"/>
      <c r="AM325" s="595" t="n"/>
      <c r="AO325" s="594" t="n"/>
      <c r="AP325" s="595" t="n"/>
      <c r="AR325" s="594" t="n"/>
      <c r="AS325" s="595" t="n"/>
    </row>
    <row r="326" ht="15.75" customHeight="1" s="26">
      <c r="B326" s="593" t="n"/>
      <c r="E326" s="594" t="n"/>
      <c r="F326" s="595" t="n"/>
      <c r="H326" s="594" t="n"/>
      <c r="I326" s="595" t="n"/>
      <c r="K326" s="594" t="n"/>
      <c r="L326" s="595" t="n"/>
      <c r="N326" s="594" t="n"/>
      <c r="O326" s="595" t="n"/>
      <c r="Q326" s="594" t="n"/>
      <c r="R326" s="595" t="n"/>
      <c r="T326" s="594" t="n"/>
      <c r="U326" s="595" t="n"/>
      <c r="W326" s="594" t="n"/>
      <c r="X326" s="595" t="n"/>
      <c r="Z326" s="594" t="n"/>
      <c r="AA326" s="595" t="n"/>
      <c r="AC326" s="594" t="n"/>
      <c r="AD326" s="595" t="n"/>
      <c r="AF326" s="594" t="n"/>
      <c r="AG326" s="595" t="n"/>
      <c r="AI326" s="594" t="n"/>
      <c r="AJ326" s="595" t="n"/>
      <c r="AL326" s="594" t="n"/>
      <c r="AM326" s="595" t="n"/>
      <c r="AO326" s="594" t="n"/>
      <c r="AP326" s="595" t="n"/>
      <c r="AR326" s="594" t="n"/>
      <c r="AS326" s="595" t="n"/>
    </row>
    <row r="327" ht="15.75" customHeight="1" s="26">
      <c r="B327" s="593" t="n"/>
      <c r="E327" s="594" t="n"/>
      <c r="F327" s="595" t="n"/>
      <c r="H327" s="594" t="n"/>
      <c r="I327" s="595" t="n"/>
      <c r="K327" s="594" t="n"/>
      <c r="L327" s="595" t="n"/>
      <c r="N327" s="594" t="n"/>
      <c r="O327" s="595" t="n"/>
      <c r="Q327" s="594" t="n"/>
      <c r="R327" s="595" t="n"/>
      <c r="T327" s="594" t="n"/>
      <c r="U327" s="595" t="n"/>
      <c r="W327" s="594" t="n"/>
      <c r="X327" s="595" t="n"/>
      <c r="Z327" s="594" t="n"/>
      <c r="AA327" s="595" t="n"/>
      <c r="AC327" s="594" t="n"/>
      <c r="AD327" s="595" t="n"/>
      <c r="AF327" s="594" t="n"/>
      <c r="AG327" s="595" t="n"/>
      <c r="AI327" s="594" t="n"/>
      <c r="AJ327" s="595" t="n"/>
      <c r="AL327" s="594" t="n"/>
      <c r="AM327" s="595" t="n"/>
      <c r="AO327" s="594" t="n"/>
      <c r="AP327" s="595" t="n"/>
      <c r="AR327" s="594" t="n"/>
      <c r="AS327" s="595" t="n"/>
    </row>
    <row r="328" ht="15.75" customHeight="1" s="26">
      <c r="B328" s="593" t="n"/>
      <c r="E328" s="594" t="n"/>
      <c r="F328" s="595" t="n"/>
      <c r="H328" s="594" t="n"/>
      <c r="I328" s="595" t="n"/>
      <c r="K328" s="594" t="n"/>
      <c r="L328" s="595" t="n"/>
      <c r="N328" s="594" t="n"/>
      <c r="O328" s="595" t="n"/>
      <c r="Q328" s="594" t="n"/>
      <c r="R328" s="595" t="n"/>
      <c r="T328" s="594" t="n"/>
      <c r="U328" s="595" t="n"/>
      <c r="W328" s="594" t="n"/>
      <c r="X328" s="595" t="n"/>
      <c r="Z328" s="594" t="n"/>
      <c r="AA328" s="595" t="n"/>
      <c r="AC328" s="594" t="n"/>
      <c r="AD328" s="595" t="n"/>
      <c r="AF328" s="594" t="n"/>
      <c r="AG328" s="595" t="n"/>
      <c r="AI328" s="594" t="n"/>
      <c r="AJ328" s="595" t="n"/>
      <c r="AL328" s="594" t="n"/>
      <c r="AM328" s="595" t="n"/>
      <c r="AO328" s="594" t="n"/>
      <c r="AP328" s="595" t="n"/>
      <c r="AR328" s="594" t="n"/>
      <c r="AS328" s="595" t="n"/>
    </row>
    <row r="329" ht="15.75" customHeight="1" s="26">
      <c r="B329" s="593" t="n"/>
      <c r="E329" s="594" t="n"/>
      <c r="F329" s="595" t="n"/>
      <c r="H329" s="594" t="n"/>
      <c r="I329" s="595" t="n"/>
      <c r="K329" s="594" t="n"/>
      <c r="L329" s="595" t="n"/>
      <c r="N329" s="594" t="n"/>
      <c r="O329" s="595" t="n"/>
      <c r="Q329" s="594" t="n"/>
      <c r="R329" s="595" t="n"/>
      <c r="T329" s="594" t="n"/>
      <c r="U329" s="595" t="n"/>
      <c r="W329" s="594" t="n"/>
      <c r="X329" s="595" t="n"/>
      <c r="Z329" s="594" t="n"/>
      <c r="AA329" s="595" t="n"/>
      <c r="AC329" s="594" t="n"/>
      <c r="AD329" s="595" t="n"/>
      <c r="AF329" s="594" t="n"/>
      <c r="AG329" s="595" t="n"/>
      <c r="AI329" s="594" t="n"/>
      <c r="AJ329" s="595" t="n"/>
      <c r="AL329" s="594" t="n"/>
      <c r="AM329" s="595" t="n"/>
      <c r="AO329" s="594" t="n"/>
      <c r="AP329" s="595" t="n"/>
      <c r="AR329" s="594" t="n"/>
      <c r="AS329" s="595" t="n"/>
    </row>
    <row r="330" ht="15.75" customHeight="1" s="26">
      <c r="B330" s="593" t="n"/>
      <c r="E330" s="594" t="n"/>
      <c r="F330" s="595" t="n"/>
      <c r="H330" s="594" t="n"/>
      <c r="I330" s="595" t="n"/>
      <c r="K330" s="594" t="n"/>
      <c r="L330" s="595" t="n"/>
      <c r="N330" s="594" t="n"/>
      <c r="O330" s="595" t="n"/>
      <c r="Q330" s="594" t="n"/>
      <c r="R330" s="595" t="n"/>
      <c r="T330" s="594" t="n"/>
      <c r="U330" s="595" t="n"/>
      <c r="W330" s="594" t="n"/>
      <c r="X330" s="595" t="n"/>
      <c r="Z330" s="594" t="n"/>
      <c r="AA330" s="595" t="n"/>
      <c r="AC330" s="594" t="n"/>
      <c r="AD330" s="595" t="n"/>
      <c r="AF330" s="594" t="n"/>
      <c r="AG330" s="595" t="n"/>
      <c r="AI330" s="594" t="n"/>
      <c r="AJ330" s="595" t="n"/>
      <c r="AL330" s="594" t="n"/>
      <c r="AM330" s="595" t="n"/>
      <c r="AO330" s="594" t="n"/>
      <c r="AP330" s="595" t="n"/>
      <c r="AR330" s="594" t="n"/>
      <c r="AS330" s="595" t="n"/>
    </row>
    <row r="331" ht="15.75" customHeight="1" s="26">
      <c r="B331" s="593" t="n"/>
      <c r="E331" s="594" t="n"/>
      <c r="F331" s="595" t="n"/>
      <c r="H331" s="594" t="n"/>
      <c r="I331" s="595" t="n"/>
      <c r="K331" s="594" t="n"/>
      <c r="L331" s="595" t="n"/>
      <c r="N331" s="594" t="n"/>
      <c r="O331" s="595" t="n"/>
      <c r="Q331" s="594" t="n"/>
      <c r="R331" s="595" t="n"/>
      <c r="T331" s="594" t="n"/>
      <c r="U331" s="595" t="n"/>
      <c r="W331" s="594" t="n"/>
      <c r="X331" s="595" t="n"/>
      <c r="Z331" s="594" t="n"/>
      <c r="AA331" s="595" t="n"/>
      <c r="AC331" s="594" t="n"/>
      <c r="AD331" s="595" t="n"/>
      <c r="AF331" s="594" t="n"/>
      <c r="AG331" s="595" t="n"/>
      <c r="AI331" s="594" t="n"/>
      <c r="AJ331" s="595" t="n"/>
      <c r="AL331" s="594" t="n"/>
      <c r="AM331" s="595" t="n"/>
      <c r="AO331" s="594" t="n"/>
      <c r="AP331" s="595" t="n"/>
      <c r="AR331" s="594" t="n"/>
      <c r="AS331" s="595" t="n"/>
    </row>
    <row r="332" ht="15.75" customHeight="1" s="26">
      <c r="B332" s="593" t="n"/>
      <c r="E332" s="594" t="n"/>
      <c r="F332" s="595" t="n"/>
      <c r="H332" s="594" t="n"/>
      <c r="I332" s="595" t="n"/>
      <c r="K332" s="594" t="n"/>
      <c r="L332" s="595" t="n"/>
      <c r="N332" s="594" t="n"/>
      <c r="O332" s="595" t="n"/>
      <c r="Q332" s="594" t="n"/>
      <c r="R332" s="595" t="n"/>
      <c r="T332" s="594" t="n"/>
      <c r="U332" s="595" t="n"/>
      <c r="W332" s="594" t="n"/>
      <c r="X332" s="595" t="n"/>
      <c r="Z332" s="594" t="n"/>
      <c r="AA332" s="595" t="n"/>
      <c r="AC332" s="594" t="n"/>
      <c r="AD332" s="595" t="n"/>
      <c r="AF332" s="594" t="n"/>
      <c r="AG332" s="595" t="n"/>
      <c r="AI332" s="594" t="n"/>
      <c r="AJ332" s="595" t="n"/>
      <c r="AL332" s="594" t="n"/>
      <c r="AM332" s="595" t="n"/>
      <c r="AO332" s="594" t="n"/>
      <c r="AP332" s="595" t="n"/>
      <c r="AR332" s="594" t="n"/>
      <c r="AS332" s="595" t="n"/>
    </row>
    <row r="333" ht="15.75" customHeight="1" s="26">
      <c r="B333" s="593" t="n"/>
      <c r="E333" s="594" t="n"/>
      <c r="F333" s="595" t="n"/>
      <c r="H333" s="594" t="n"/>
      <c r="I333" s="595" t="n"/>
      <c r="K333" s="594" t="n"/>
      <c r="L333" s="595" t="n"/>
      <c r="N333" s="594" t="n"/>
      <c r="O333" s="595" t="n"/>
      <c r="Q333" s="594" t="n"/>
      <c r="R333" s="595" t="n"/>
      <c r="T333" s="594" t="n"/>
      <c r="U333" s="595" t="n"/>
      <c r="W333" s="594" t="n"/>
      <c r="X333" s="595" t="n"/>
      <c r="Z333" s="594" t="n"/>
      <c r="AA333" s="595" t="n"/>
      <c r="AC333" s="594" t="n"/>
      <c r="AD333" s="595" t="n"/>
      <c r="AF333" s="594" t="n"/>
      <c r="AG333" s="595" t="n"/>
      <c r="AI333" s="594" t="n"/>
      <c r="AJ333" s="595" t="n"/>
      <c r="AL333" s="594" t="n"/>
      <c r="AM333" s="595" t="n"/>
      <c r="AO333" s="594" t="n"/>
      <c r="AP333" s="595" t="n"/>
      <c r="AR333" s="594" t="n"/>
      <c r="AS333" s="595" t="n"/>
    </row>
    <row r="334" ht="15.75" customHeight="1" s="26">
      <c r="B334" s="593" t="n"/>
      <c r="E334" s="594" t="n"/>
      <c r="F334" s="595" t="n"/>
      <c r="H334" s="594" t="n"/>
      <c r="I334" s="595" t="n"/>
      <c r="K334" s="594" t="n"/>
      <c r="L334" s="595" t="n"/>
      <c r="N334" s="594" t="n"/>
      <c r="O334" s="595" t="n"/>
      <c r="Q334" s="594" t="n"/>
      <c r="R334" s="595" t="n"/>
      <c r="T334" s="594" t="n"/>
      <c r="U334" s="595" t="n"/>
      <c r="W334" s="594" t="n"/>
      <c r="X334" s="595" t="n"/>
      <c r="Z334" s="594" t="n"/>
      <c r="AA334" s="595" t="n"/>
      <c r="AC334" s="594" t="n"/>
      <c r="AD334" s="595" t="n"/>
      <c r="AF334" s="594" t="n"/>
      <c r="AG334" s="595" t="n"/>
      <c r="AI334" s="594" t="n"/>
      <c r="AJ334" s="595" t="n"/>
      <c r="AL334" s="594" t="n"/>
      <c r="AM334" s="595" t="n"/>
      <c r="AO334" s="594" t="n"/>
      <c r="AP334" s="595" t="n"/>
      <c r="AR334" s="594" t="n"/>
      <c r="AS334" s="595" t="n"/>
    </row>
    <row r="335" ht="15.75" customHeight="1" s="26">
      <c r="B335" s="593" t="n"/>
      <c r="E335" s="594" t="n"/>
      <c r="F335" s="595" t="n"/>
      <c r="H335" s="594" t="n"/>
      <c r="I335" s="595" t="n"/>
      <c r="K335" s="594" t="n"/>
      <c r="L335" s="595" t="n"/>
      <c r="N335" s="594" t="n"/>
      <c r="O335" s="595" t="n"/>
      <c r="Q335" s="594" t="n"/>
      <c r="R335" s="595" t="n"/>
      <c r="T335" s="594" t="n"/>
      <c r="U335" s="595" t="n"/>
      <c r="W335" s="594" t="n"/>
      <c r="X335" s="595" t="n"/>
      <c r="Z335" s="594" t="n"/>
      <c r="AA335" s="595" t="n"/>
      <c r="AC335" s="594" t="n"/>
      <c r="AD335" s="595" t="n"/>
      <c r="AF335" s="594" t="n"/>
      <c r="AG335" s="595" t="n"/>
      <c r="AI335" s="594" t="n"/>
      <c r="AJ335" s="595" t="n"/>
      <c r="AL335" s="594" t="n"/>
      <c r="AM335" s="595" t="n"/>
      <c r="AO335" s="594" t="n"/>
      <c r="AP335" s="595" t="n"/>
      <c r="AR335" s="594" t="n"/>
      <c r="AS335" s="595" t="n"/>
    </row>
    <row r="336" ht="15.75" customHeight="1" s="26">
      <c r="B336" s="593" t="n"/>
      <c r="E336" s="594" t="n"/>
      <c r="F336" s="595" t="n"/>
      <c r="H336" s="594" t="n"/>
      <c r="I336" s="595" t="n"/>
      <c r="K336" s="594" t="n"/>
      <c r="L336" s="595" t="n"/>
      <c r="N336" s="594" t="n"/>
      <c r="O336" s="595" t="n"/>
      <c r="Q336" s="594" t="n"/>
      <c r="R336" s="595" t="n"/>
      <c r="T336" s="594" t="n"/>
      <c r="U336" s="595" t="n"/>
      <c r="W336" s="594" t="n"/>
      <c r="X336" s="595" t="n"/>
      <c r="Z336" s="594" t="n"/>
      <c r="AA336" s="595" t="n"/>
      <c r="AC336" s="594" t="n"/>
      <c r="AD336" s="595" t="n"/>
      <c r="AF336" s="594" t="n"/>
      <c r="AG336" s="595" t="n"/>
      <c r="AI336" s="594" t="n"/>
      <c r="AJ336" s="595" t="n"/>
      <c r="AL336" s="594" t="n"/>
      <c r="AM336" s="595" t="n"/>
      <c r="AO336" s="594" t="n"/>
      <c r="AP336" s="595" t="n"/>
      <c r="AR336" s="594" t="n"/>
      <c r="AS336" s="595" t="n"/>
    </row>
    <row r="337" ht="15.75" customHeight="1" s="26">
      <c r="B337" s="593" t="n"/>
      <c r="E337" s="594" t="n"/>
      <c r="F337" s="595" t="n"/>
      <c r="H337" s="594" t="n"/>
      <c r="I337" s="595" t="n"/>
      <c r="K337" s="594" t="n"/>
      <c r="L337" s="595" t="n"/>
      <c r="N337" s="594" t="n"/>
      <c r="O337" s="595" t="n"/>
      <c r="Q337" s="594" t="n"/>
      <c r="R337" s="595" t="n"/>
      <c r="T337" s="594" t="n"/>
      <c r="U337" s="595" t="n"/>
      <c r="W337" s="594" t="n"/>
      <c r="X337" s="595" t="n"/>
      <c r="Z337" s="594" t="n"/>
      <c r="AA337" s="595" t="n"/>
      <c r="AC337" s="594" t="n"/>
      <c r="AD337" s="595" t="n"/>
      <c r="AF337" s="594" t="n"/>
      <c r="AG337" s="595" t="n"/>
      <c r="AI337" s="594" t="n"/>
      <c r="AJ337" s="595" t="n"/>
      <c r="AL337" s="594" t="n"/>
      <c r="AM337" s="595" t="n"/>
      <c r="AO337" s="594" t="n"/>
      <c r="AP337" s="595" t="n"/>
      <c r="AR337" s="594" t="n"/>
      <c r="AS337" s="595" t="n"/>
    </row>
    <row r="338" ht="15.75" customHeight="1" s="26">
      <c r="B338" s="593" t="n"/>
      <c r="E338" s="594" t="n"/>
      <c r="F338" s="595" t="n"/>
      <c r="H338" s="594" t="n"/>
      <c r="I338" s="595" t="n"/>
      <c r="K338" s="594" t="n"/>
      <c r="L338" s="595" t="n"/>
      <c r="N338" s="594" t="n"/>
      <c r="O338" s="595" t="n"/>
      <c r="Q338" s="594" t="n"/>
      <c r="R338" s="595" t="n"/>
      <c r="T338" s="594" t="n"/>
      <c r="U338" s="595" t="n"/>
      <c r="W338" s="594" t="n"/>
      <c r="X338" s="595" t="n"/>
      <c r="Z338" s="594" t="n"/>
      <c r="AA338" s="595" t="n"/>
      <c r="AC338" s="594" t="n"/>
      <c r="AD338" s="595" t="n"/>
      <c r="AF338" s="594" t="n"/>
      <c r="AG338" s="595" t="n"/>
      <c r="AI338" s="594" t="n"/>
      <c r="AJ338" s="595" t="n"/>
      <c r="AL338" s="594" t="n"/>
      <c r="AM338" s="595" t="n"/>
      <c r="AO338" s="594" t="n"/>
      <c r="AP338" s="595" t="n"/>
      <c r="AR338" s="594" t="n"/>
      <c r="AS338" s="595" t="n"/>
    </row>
    <row r="339" ht="15.75" customHeight="1" s="26">
      <c r="B339" s="593" t="n"/>
      <c r="E339" s="594" t="n"/>
      <c r="F339" s="595" t="n"/>
      <c r="H339" s="594" t="n"/>
      <c r="I339" s="595" t="n"/>
      <c r="K339" s="594" t="n"/>
      <c r="L339" s="595" t="n"/>
      <c r="N339" s="594" t="n"/>
      <c r="O339" s="595" t="n"/>
      <c r="Q339" s="594" t="n"/>
      <c r="R339" s="595" t="n"/>
      <c r="T339" s="594" t="n"/>
      <c r="U339" s="595" t="n"/>
      <c r="W339" s="594" t="n"/>
      <c r="X339" s="595" t="n"/>
      <c r="Z339" s="594" t="n"/>
      <c r="AA339" s="595" t="n"/>
      <c r="AC339" s="594" t="n"/>
      <c r="AD339" s="595" t="n"/>
      <c r="AF339" s="594" t="n"/>
      <c r="AG339" s="595" t="n"/>
      <c r="AI339" s="594" t="n"/>
      <c r="AJ339" s="595" t="n"/>
      <c r="AL339" s="594" t="n"/>
      <c r="AM339" s="595" t="n"/>
      <c r="AO339" s="594" t="n"/>
      <c r="AP339" s="595" t="n"/>
      <c r="AR339" s="594" t="n"/>
      <c r="AS339" s="595" t="n"/>
    </row>
    <row r="340" ht="15.75" customHeight="1" s="26">
      <c r="B340" s="593" t="n"/>
      <c r="E340" s="594" t="n"/>
      <c r="F340" s="595" t="n"/>
      <c r="H340" s="594" t="n"/>
      <c r="I340" s="595" t="n"/>
      <c r="K340" s="594" t="n"/>
      <c r="L340" s="595" t="n"/>
      <c r="N340" s="594" t="n"/>
      <c r="O340" s="595" t="n"/>
      <c r="Q340" s="594" t="n"/>
      <c r="R340" s="595" t="n"/>
      <c r="T340" s="594" t="n"/>
      <c r="U340" s="595" t="n"/>
      <c r="W340" s="594" t="n"/>
      <c r="X340" s="595" t="n"/>
      <c r="Z340" s="594" t="n"/>
      <c r="AA340" s="595" t="n"/>
      <c r="AC340" s="594" t="n"/>
      <c r="AD340" s="595" t="n"/>
      <c r="AF340" s="594" t="n"/>
      <c r="AG340" s="595" t="n"/>
      <c r="AI340" s="594" t="n"/>
      <c r="AJ340" s="595" t="n"/>
      <c r="AL340" s="594" t="n"/>
      <c r="AM340" s="595" t="n"/>
      <c r="AO340" s="594" t="n"/>
      <c r="AP340" s="595" t="n"/>
      <c r="AR340" s="594" t="n"/>
      <c r="AS340" s="595" t="n"/>
    </row>
    <row r="341" ht="15.75" customHeight="1" s="26">
      <c r="B341" s="593" t="n"/>
      <c r="E341" s="594" t="n"/>
      <c r="F341" s="595" t="n"/>
      <c r="H341" s="594" t="n"/>
      <c r="I341" s="595" t="n"/>
      <c r="K341" s="594" t="n"/>
      <c r="L341" s="595" t="n"/>
      <c r="N341" s="594" t="n"/>
      <c r="O341" s="595" t="n"/>
      <c r="Q341" s="594" t="n"/>
      <c r="R341" s="595" t="n"/>
      <c r="T341" s="594" t="n"/>
      <c r="U341" s="595" t="n"/>
      <c r="W341" s="594" t="n"/>
      <c r="X341" s="595" t="n"/>
      <c r="Z341" s="594" t="n"/>
      <c r="AA341" s="595" t="n"/>
      <c r="AC341" s="594" t="n"/>
      <c r="AD341" s="595" t="n"/>
      <c r="AF341" s="594" t="n"/>
      <c r="AG341" s="595" t="n"/>
      <c r="AI341" s="594" t="n"/>
      <c r="AJ341" s="595" t="n"/>
      <c r="AL341" s="594" t="n"/>
      <c r="AM341" s="595" t="n"/>
      <c r="AO341" s="594" t="n"/>
      <c r="AP341" s="595" t="n"/>
      <c r="AR341" s="594" t="n"/>
      <c r="AS341" s="595" t="n"/>
    </row>
    <row r="342" ht="15.75" customHeight="1" s="26">
      <c r="B342" s="593" t="n"/>
      <c r="E342" s="594" t="n"/>
      <c r="F342" s="595" t="n"/>
      <c r="H342" s="594" t="n"/>
      <c r="I342" s="595" t="n"/>
      <c r="K342" s="594" t="n"/>
      <c r="L342" s="595" t="n"/>
      <c r="N342" s="594" t="n"/>
      <c r="O342" s="595" t="n"/>
      <c r="Q342" s="594" t="n"/>
      <c r="R342" s="595" t="n"/>
      <c r="T342" s="594" t="n"/>
      <c r="U342" s="595" t="n"/>
      <c r="W342" s="594" t="n"/>
      <c r="X342" s="595" t="n"/>
      <c r="Z342" s="594" t="n"/>
      <c r="AA342" s="595" t="n"/>
      <c r="AC342" s="594" t="n"/>
      <c r="AD342" s="595" t="n"/>
      <c r="AF342" s="594" t="n"/>
      <c r="AG342" s="595" t="n"/>
      <c r="AI342" s="594" t="n"/>
      <c r="AJ342" s="595" t="n"/>
      <c r="AL342" s="594" t="n"/>
      <c r="AM342" s="595" t="n"/>
      <c r="AO342" s="594" t="n"/>
      <c r="AP342" s="595" t="n"/>
      <c r="AR342" s="594" t="n"/>
      <c r="AS342" s="595" t="n"/>
    </row>
    <row r="343" ht="15.75" customHeight="1" s="26">
      <c r="B343" s="593" t="n"/>
      <c r="E343" s="594" t="n"/>
      <c r="F343" s="595" t="n"/>
      <c r="H343" s="594" t="n"/>
      <c r="I343" s="595" t="n"/>
      <c r="K343" s="594" t="n"/>
      <c r="L343" s="595" t="n"/>
      <c r="N343" s="594" t="n"/>
      <c r="O343" s="595" t="n"/>
      <c r="Q343" s="594" t="n"/>
      <c r="R343" s="595" t="n"/>
      <c r="T343" s="594" t="n"/>
      <c r="U343" s="595" t="n"/>
      <c r="W343" s="594" t="n"/>
      <c r="X343" s="595" t="n"/>
      <c r="Z343" s="594" t="n"/>
      <c r="AA343" s="595" t="n"/>
      <c r="AC343" s="594" t="n"/>
      <c r="AD343" s="595" t="n"/>
      <c r="AF343" s="594" t="n"/>
      <c r="AG343" s="595" t="n"/>
      <c r="AI343" s="594" t="n"/>
      <c r="AJ343" s="595" t="n"/>
      <c r="AL343" s="594" t="n"/>
      <c r="AM343" s="595" t="n"/>
      <c r="AO343" s="594" t="n"/>
      <c r="AP343" s="595" t="n"/>
      <c r="AR343" s="594" t="n"/>
      <c r="AS343" s="595" t="n"/>
    </row>
    <row r="344" ht="15.75" customHeight="1" s="26">
      <c r="B344" s="593" t="n"/>
      <c r="E344" s="594" t="n"/>
      <c r="F344" s="595" t="n"/>
      <c r="H344" s="594" t="n"/>
      <c r="I344" s="595" t="n"/>
      <c r="K344" s="594" t="n"/>
      <c r="L344" s="595" t="n"/>
      <c r="N344" s="594" t="n"/>
      <c r="O344" s="595" t="n"/>
      <c r="Q344" s="594" t="n"/>
      <c r="R344" s="595" t="n"/>
      <c r="T344" s="594" t="n"/>
      <c r="U344" s="595" t="n"/>
      <c r="W344" s="594" t="n"/>
      <c r="X344" s="595" t="n"/>
      <c r="Z344" s="594" t="n"/>
      <c r="AA344" s="595" t="n"/>
      <c r="AC344" s="594" t="n"/>
      <c r="AD344" s="595" t="n"/>
      <c r="AF344" s="594" t="n"/>
      <c r="AG344" s="595" t="n"/>
      <c r="AI344" s="594" t="n"/>
      <c r="AJ344" s="595" t="n"/>
      <c r="AL344" s="594" t="n"/>
      <c r="AM344" s="595" t="n"/>
      <c r="AO344" s="594" t="n"/>
      <c r="AP344" s="595" t="n"/>
      <c r="AR344" s="594" t="n"/>
      <c r="AS344" s="595" t="n"/>
    </row>
    <row r="345" ht="15.75" customHeight="1" s="26">
      <c r="B345" s="593" t="n"/>
      <c r="E345" s="594" t="n"/>
      <c r="F345" s="595" t="n"/>
      <c r="H345" s="594" t="n"/>
      <c r="I345" s="595" t="n"/>
      <c r="K345" s="594" t="n"/>
      <c r="L345" s="595" t="n"/>
      <c r="N345" s="594" t="n"/>
      <c r="O345" s="595" t="n"/>
      <c r="Q345" s="594" t="n"/>
      <c r="R345" s="595" t="n"/>
      <c r="T345" s="594" t="n"/>
      <c r="U345" s="595" t="n"/>
      <c r="W345" s="594" t="n"/>
      <c r="X345" s="595" t="n"/>
      <c r="Z345" s="594" t="n"/>
      <c r="AA345" s="595" t="n"/>
      <c r="AC345" s="594" t="n"/>
      <c r="AD345" s="595" t="n"/>
      <c r="AF345" s="594" t="n"/>
      <c r="AG345" s="595" t="n"/>
      <c r="AI345" s="594" t="n"/>
      <c r="AJ345" s="595" t="n"/>
      <c r="AL345" s="594" t="n"/>
      <c r="AM345" s="595" t="n"/>
      <c r="AO345" s="594" t="n"/>
      <c r="AP345" s="595" t="n"/>
      <c r="AR345" s="594" t="n"/>
      <c r="AS345" s="595" t="n"/>
    </row>
    <row r="346" ht="15.75" customHeight="1" s="26">
      <c r="B346" s="593" t="n"/>
      <c r="E346" s="594" t="n"/>
      <c r="F346" s="595" t="n"/>
      <c r="H346" s="594" t="n"/>
      <c r="I346" s="595" t="n"/>
      <c r="K346" s="594" t="n"/>
      <c r="L346" s="595" t="n"/>
      <c r="N346" s="594" t="n"/>
      <c r="O346" s="595" t="n"/>
      <c r="Q346" s="594" t="n"/>
      <c r="R346" s="595" t="n"/>
      <c r="T346" s="594" t="n"/>
      <c r="U346" s="595" t="n"/>
      <c r="W346" s="594" t="n"/>
      <c r="X346" s="595" t="n"/>
      <c r="Z346" s="594" t="n"/>
      <c r="AA346" s="595" t="n"/>
      <c r="AC346" s="594" t="n"/>
      <c r="AD346" s="595" t="n"/>
      <c r="AF346" s="594" t="n"/>
      <c r="AG346" s="595" t="n"/>
      <c r="AI346" s="594" t="n"/>
      <c r="AJ346" s="595" t="n"/>
      <c r="AL346" s="594" t="n"/>
      <c r="AM346" s="595" t="n"/>
      <c r="AO346" s="594" t="n"/>
      <c r="AP346" s="595" t="n"/>
      <c r="AR346" s="594" t="n"/>
      <c r="AS346" s="595" t="n"/>
    </row>
    <row r="347" ht="15.75" customHeight="1" s="26">
      <c r="B347" s="593" t="n"/>
      <c r="E347" s="594" t="n"/>
      <c r="F347" s="595" t="n"/>
      <c r="H347" s="594" t="n"/>
      <c r="I347" s="595" t="n"/>
      <c r="K347" s="594" t="n"/>
      <c r="L347" s="595" t="n"/>
      <c r="N347" s="594" t="n"/>
      <c r="O347" s="595" t="n"/>
      <c r="Q347" s="594" t="n"/>
      <c r="R347" s="595" t="n"/>
      <c r="T347" s="594" t="n"/>
      <c r="U347" s="595" t="n"/>
      <c r="W347" s="594" t="n"/>
      <c r="X347" s="595" t="n"/>
      <c r="Z347" s="594" t="n"/>
      <c r="AA347" s="595" t="n"/>
      <c r="AC347" s="594" t="n"/>
      <c r="AD347" s="595" t="n"/>
      <c r="AF347" s="594" t="n"/>
      <c r="AG347" s="595" t="n"/>
      <c r="AI347" s="594" t="n"/>
      <c r="AJ347" s="595" t="n"/>
      <c r="AL347" s="594" t="n"/>
      <c r="AM347" s="595" t="n"/>
      <c r="AO347" s="594" t="n"/>
      <c r="AP347" s="595" t="n"/>
      <c r="AR347" s="594" t="n"/>
      <c r="AS347" s="595" t="n"/>
    </row>
    <row r="348" ht="15.75" customHeight="1" s="26">
      <c r="B348" s="593" t="n"/>
      <c r="E348" s="594" t="n"/>
      <c r="F348" s="595" t="n"/>
      <c r="H348" s="594" t="n"/>
      <c r="I348" s="595" t="n"/>
      <c r="K348" s="594" t="n"/>
      <c r="L348" s="595" t="n"/>
      <c r="N348" s="594" t="n"/>
      <c r="O348" s="595" t="n"/>
      <c r="Q348" s="594" t="n"/>
      <c r="R348" s="595" t="n"/>
      <c r="T348" s="594" t="n"/>
      <c r="U348" s="595" t="n"/>
      <c r="W348" s="594" t="n"/>
      <c r="X348" s="595" t="n"/>
      <c r="Z348" s="594" t="n"/>
      <c r="AA348" s="595" t="n"/>
      <c r="AC348" s="594" t="n"/>
      <c r="AD348" s="595" t="n"/>
      <c r="AF348" s="594" t="n"/>
      <c r="AG348" s="595" t="n"/>
      <c r="AI348" s="594" t="n"/>
      <c r="AJ348" s="595" t="n"/>
      <c r="AL348" s="594" t="n"/>
      <c r="AM348" s="595" t="n"/>
      <c r="AO348" s="594" t="n"/>
      <c r="AP348" s="595" t="n"/>
      <c r="AR348" s="594" t="n"/>
      <c r="AS348" s="595" t="n"/>
    </row>
    <row r="349" ht="15.75" customHeight="1" s="26">
      <c r="B349" s="593" t="n"/>
      <c r="E349" s="594" t="n"/>
      <c r="F349" s="595" t="n"/>
      <c r="H349" s="594" t="n"/>
      <c r="I349" s="595" t="n"/>
      <c r="K349" s="594" t="n"/>
      <c r="L349" s="595" t="n"/>
      <c r="N349" s="594" t="n"/>
      <c r="O349" s="595" t="n"/>
      <c r="Q349" s="594" t="n"/>
      <c r="R349" s="595" t="n"/>
      <c r="T349" s="594" t="n"/>
      <c r="U349" s="595" t="n"/>
      <c r="W349" s="594" t="n"/>
      <c r="X349" s="595" t="n"/>
      <c r="Z349" s="594" t="n"/>
      <c r="AA349" s="595" t="n"/>
      <c r="AC349" s="594" t="n"/>
      <c r="AD349" s="595" t="n"/>
      <c r="AF349" s="594" t="n"/>
      <c r="AG349" s="595" t="n"/>
      <c r="AI349" s="594" t="n"/>
      <c r="AJ349" s="595" t="n"/>
      <c r="AL349" s="594" t="n"/>
      <c r="AM349" s="595" t="n"/>
      <c r="AO349" s="594" t="n"/>
      <c r="AP349" s="595" t="n"/>
      <c r="AR349" s="594" t="n"/>
      <c r="AS349" s="595" t="n"/>
    </row>
    <row r="350" ht="15.75" customHeight="1" s="26">
      <c r="B350" s="593" t="n"/>
      <c r="E350" s="594" t="n"/>
      <c r="F350" s="595" t="n"/>
      <c r="H350" s="594" t="n"/>
      <c r="I350" s="595" t="n"/>
      <c r="K350" s="594" t="n"/>
      <c r="L350" s="595" t="n"/>
      <c r="N350" s="594" t="n"/>
      <c r="O350" s="595" t="n"/>
      <c r="Q350" s="594" t="n"/>
      <c r="R350" s="595" t="n"/>
      <c r="T350" s="594" t="n"/>
      <c r="U350" s="595" t="n"/>
      <c r="W350" s="594" t="n"/>
      <c r="X350" s="595" t="n"/>
      <c r="Z350" s="594" t="n"/>
      <c r="AA350" s="595" t="n"/>
      <c r="AC350" s="594" t="n"/>
      <c r="AD350" s="595" t="n"/>
      <c r="AF350" s="594" t="n"/>
      <c r="AG350" s="595" t="n"/>
      <c r="AI350" s="594" t="n"/>
      <c r="AJ350" s="595" t="n"/>
      <c r="AL350" s="594" t="n"/>
      <c r="AM350" s="595" t="n"/>
      <c r="AO350" s="594" t="n"/>
      <c r="AP350" s="595" t="n"/>
      <c r="AR350" s="594" t="n"/>
      <c r="AS350" s="595" t="n"/>
    </row>
    <row r="351" ht="15.75" customHeight="1" s="26">
      <c r="B351" s="593" t="n"/>
      <c r="E351" s="594" t="n"/>
      <c r="F351" s="595" t="n"/>
      <c r="H351" s="594" t="n"/>
      <c r="I351" s="595" t="n"/>
      <c r="K351" s="594" t="n"/>
      <c r="L351" s="595" t="n"/>
      <c r="N351" s="594" t="n"/>
      <c r="O351" s="595" t="n"/>
      <c r="Q351" s="594" t="n"/>
      <c r="R351" s="595" t="n"/>
      <c r="T351" s="594" t="n"/>
      <c r="U351" s="595" t="n"/>
      <c r="W351" s="594" t="n"/>
      <c r="X351" s="595" t="n"/>
      <c r="Z351" s="594" t="n"/>
      <c r="AA351" s="595" t="n"/>
      <c r="AC351" s="594" t="n"/>
      <c r="AD351" s="595" t="n"/>
      <c r="AF351" s="594" t="n"/>
      <c r="AG351" s="595" t="n"/>
      <c r="AI351" s="594" t="n"/>
      <c r="AJ351" s="595" t="n"/>
      <c r="AL351" s="594" t="n"/>
      <c r="AM351" s="595" t="n"/>
      <c r="AO351" s="594" t="n"/>
      <c r="AP351" s="595" t="n"/>
      <c r="AR351" s="594" t="n"/>
      <c r="AS351" s="595" t="n"/>
    </row>
    <row r="352" ht="15.75" customHeight="1" s="26">
      <c r="B352" s="593" t="n"/>
      <c r="E352" s="594" t="n"/>
      <c r="F352" s="595" t="n"/>
      <c r="H352" s="594" t="n"/>
      <c r="I352" s="595" t="n"/>
      <c r="K352" s="594" t="n"/>
      <c r="L352" s="595" t="n"/>
      <c r="N352" s="594" t="n"/>
      <c r="O352" s="595" t="n"/>
      <c r="Q352" s="594" t="n"/>
      <c r="R352" s="595" t="n"/>
      <c r="T352" s="594" t="n"/>
      <c r="U352" s="595" t="n"/>
      <c r="W352" s="594" t="n"/>
      <c r="X352" s="595" t="n"/>
      <c r="Z352" s="594" t="n"/>
      <c r="AA352" s="595" t="n"/>
      <c r="AC352" s="594" t="n"/>
      <c r="AD352" s="595" t="n"/>
      <c r="AF352" s="594" t="n"/>
      <c r="AG352" s="595" t="n"/>
      <c r="AI352" s="594" t="n"/>
      <c r="AJ352" s="595" t="n"/>
      <c r="AL352" s="594" t="n"/>
      <c r="AM352" s="595" t="n"/>
      <c r="AO352" s="594" t="n"/>
      <c r="AP352" s="595" t="n"/>
      <c r="AR352" s="594" t="n"/>
      <c r="AS352" s="595" t="n"/>
    </row>
    <row r="353" ht="15.75" customHeight="1" s="26">
      <c r="B353" s="593" t="n"/>
      <c r="E353" s="594" t="n"/>
      <c r="F353" s="595" t="n"/>
      <c r="H353" s="594" t="n"/>
      <c r="I353" s="595" t="n"/>
      <c r="K353" s="594" t="n"/>
      <c r="L353" s="595" t="n"/>
      <c r="N353" s="594" t="n"/>
      <c r="O353" s="595" t="n"/>
      <c r="Q353" s="594" t="n"/>
      <c r="R353" s="595" t="n"/>
      <c r="T353" s="594" t="n"/>
      <c r="U353" s="595" t="n"/>
      <c r="W353" s="594" t="n"/>
      <c r="X353" s="595" t="n"/>
      <c r="Z353" s="594" t="n"/>
      <c r="AA353" s="595" t="n"/>
      <c r="AC353" s="594" t="n"/>
      <c r="AD353" s="595" t="n"/>
      <c r="AF353" s="594" t="n"/>
      <c r="AG353" s="595" t="n"/>
      <c r="AI353" s="594" t="n"/>
      <c r="AJ353" s="595" t="n"/>
      <c r="AL353" s="594" t="n"/>
      <c r="AM353" s="595" t="n"/>
      <c r="AO353" s="594" t="n"/>
      <c r="AP353" s="595" t="n"/>
      <c r="AR353" s="594" t="n"/>
      <c r="AS353" s="595" t="n"/>
    </row>
    <row r="354" ht="15.75" customHeight="1" s="26">
      <c r="B354" s="593" t="n"/>
      <c r="E354" s="594" t="n"/>
      <c r="F354" s="595" t="n"/>
      <c r="H354" s="594" t="n"/>
      <c r="I354" s="595" t="n"/>
      <c r="K354" s="594" t="n"/>
      <c r="L354" s="595" t="n"/>
      <c r="N354" s="594" t="n"/>
      <c r="O354" s="595" t="n"/>
      <c r="Q354" s="594" t="n"/>
      <c r="R354" s="595" t="n"/>
      <c r="T354" s="594" t="n"/>
      <c r="U354" s="595" t="n"/>
      <c r="W354" s="594" t="n"/>
      <c r="X354" s="595" t="n"/>
      <c r="Z354" s="594" t="n"/>
      <c r="AA354" s="595" t="n"/>
      <c r="AC354" s="594" t="n"/>
      <c r="AD354" s="595" t="n"/>
      <c r="AF354" s="594" t="n"/>
      <c r="AG354" s="595" t="n"/>
      <c r="AI354" s="594" t="n"/>
      <c r="AJ354" s="595" t="n"/>
      <c r="AL354" s="594" t="n"/>
      <c r="AM354" s="595" t="n"/>
      <c r="AO354" s="594" t="n"/>
      <c r="AP354" s="595" t="n"/>
      <c r="AR354" s="594" t="n"/>
      <c r="AS354" s="595" t="n"/>
    </row>
    <row r="355" ht="15.75" customHeight="1" s="26">
      <c r="B355" s="593" t="n"/>
      <c r="E355" s="594" t="n"/>
      <c r="F355" s="595" t="n"/>
      <c r="H355" s="594" t="n"/>
      <c r="I355" s="595" t="n"/>
      <c r="K355" s="594" t="n"/>
      <c r="L355" s="595" t="n"/>
      <c r="N355" s="594" t="n"/>
      <c r="O355" s="595" t="n"/>
      <c r="Q355" s="594" t="n"/>
      <c r="R355" s="595" t="n"/>
      <c r="T355" s="594" t="n"/>
      <c r="U355" s="595" t="n"/>
      <c r="W355" s="594" t="n"/>
      <c r="X355" s="595" t="n"/>
      <c r="Z355" s="594" t="n"/>
      <c r="AA355" s="595" t="n"/>
      <c r="AC355" s="594" t="n"/>
      <c r="AD355" s="595" t="n"/>
      <c r="AF355" s="594" t="n"/>
      <c r="AG355" s="595" t="n"/>
      <c r="AI355" s="594" t="n"/>
      <c r="AJ355" s="595" t="n"/>
      <c r="AL355" s="594" t="n"/>
      <c r="AM355" s="595" t="n"/>
      <c r="AO355" s="594" t="n"/>
      <c r="AP355" s="595" t="n"/>
      <c r="AR355" s="594" t="n"/>
      <c r="AS355" s="595" t="n"/>
    </row>
    <row r="356" ht="15.75" customHeight="1" s="26">
      <c r="B356" s="593" t="n"/>
      <c r="E356" s="594" t="n"/>
      <c r="F356" s="595" t="n"/>
      <c r="H356" s="594" t="n"/>
      <c r="I356" s="595" t="n"/>
      <c r="K356" s="594" t="n"/>
      <c r="L356" s="595" t="n"/>
      <c r="N356" s="594" t="n"/>
      <c r="O356" s="595" t="n"/>
      <c r="Q356" s="594" t="n"/>
      <c r="R356" s="595" t="n"/>
      <c r="T356" s="594" t="n"/>
      <c r="U356" s="595" t="n"/>
      <c r="W356" s="594" t="n"/>
      <c r="X356" s="595" t="n"/>
      <c r="Z356" s="594" t="n"/>
      <c r="AA356" s="595" t="n"/>
      <c r="AC356" s="594" t="n"/>
      <c r="AD356" s="595" t="n"/>
      <c r="AF356" s="594" t="n"/>
      <c r="AG356" s="595" t="n"/>
      <c r="AI356" s="594" t="n"/>
      <c r="AJ356" s="595" t="n"/>
      <c r="AL356" s="594" t="n"/>
      <c r="AM356" s="595" t="n"/>
      <c r="AO356" s="594" t="n"/>
      <c r="AP356" s="595" t="n"/>
      <c r="AR356" s="594" t="n"/>
      <c r="AS356" s="595" t="n"/>
    </row>
    <row r="357" ht="15.75" customHeight="1" s="26">
      <c r="B357" s="593" t="n"/>
      <c r="E357" s="594" t="n"/>
      <c r="F357" s="595" t="n"/>
      <c r="H357" s="594" t="n"/>
      <c r="I357" s="595" t="n"/>
      <c r="K357" s="594" t="n"/>
      <c r="L357" s="595" t="n"/>
      <c r="N357" s="594" t="n"/>
      <c r="O357" s="595" t="n"/>
      <c r="Q357" s="594" t="n"/>
      <c r="R357" s="595" t="n"/>
      <c r="T357" s="594" t="n"/>
      <c r="U357" s="595" t="n"/>
      <c r="W357" s="594" t="n"/>
      <c r="X357" s="595" t="n"/>
      <c r="Z357" s="594" t="n"/>
      <c r="AA357" s="595" t="n"/>
      <c r="AC357" s="594" t="n"/>
      <c r="AD357" s="595" t="n"/>
      <c r="AF357" s="594" t="n"/>
      <c r="AG357" s="595" t="n"/>
      <c r="AI357" s="594" t="n"/>
      <c r="AJ357" s="595" t="n"/>
      <c r="AL357" s="594" t="n"/>
      <c r="AM357" s="595" t="n"/>
      <c r="AO357" s="594" t="n"/>
      <c r="AP357" s="595" t="n"/>
      <c r="AR357" s="594" t="n"/>
      <c r="AS357" s="595" t="n"/>
    </row>
    <row r="358" ht="15.75" customHeight="1" s="26">
      <c r="B358" s="593" t="n"/>
      <c r="E358" s="594" t="n"/>
      <c r="F358" s="595" t="n"/>
      <c r="H358" s="594" t="n"/>
      <c r="I358" s="595" t="n"/>
      <c r="K358" s="594" t="n"/>
      <c r="L358" s="595" t="n"/>
      <c r="N358" s="594" t="n"/>
      <c r="O358" s="595" t="n"/>
      <c r="Q358" s="594" t="n"/>
      <c r="R358" s="595" t="n"/>
      <c r="T358" s="594" t="n"/>
      <c r="U358" s="595" t="n"/>
      <c r="W358" s="594" t="n"/>
      <c r="X358" s="595" t="n"/>
      <c r="Z358" s="594" t="n"/>
      <c r="AA358" s="595" t="n"/>
      <c r="AC358" s="594" t="n"/>
      <c r="AD358" s="595" t="n"/>
      <c r="AF358" s="594" t="n"/>
      <c r="AG358" s="595" t="n"/>
      <c r="AI358" s="594" t="n"/>
      <c r="AJ358" s="595" t="n"/>
      <c r="AL358" s="594" t="n"/>
      <c r="AM358" s="595" t="n"/>
      <c r="AO358" s="594" t="n"/>
      <c r="AP358" s="595" t="n"/>
      <c r="AR358" s="594" t="n"/>
      <c r="AS358" s="595" t="n"/>
    </row>
    <row r="359" ht="15.75" customHeight="1" s="26">
      <c r="B359" s="593" t="n"/>
      <c r="E359" s="594" t="n"/>
      <c r="F359" s="595" t="n"/>
      <c r="H359" s="594" t="n"/>
      <c r="I359" s="595" t="n"/>
      <c r="K359" s="594" t="n"/>
      <c r="L359" s="595" t="n"/>
      <c r="N359" s="594" t="n"/>
      <c r="O359" s="595" t="n"/>
      <c r="Q359" s="594" t="n"/>
      <c r="R359" s="595" t="n"/>
      <c r="T359" s="594" t="n"/>
      <c r="U359" s="595" t="n"/>
      <c r="W359" s="594" t="n"/>
      <c r="X359" s="595" t="n"/>
      <c r="Z359" s="594" t="n"/>
      <c r="AA359" s="595" t="n"/>
      <c r="AC359" s="594" t="n"/>
      <c r="AD359" s="595" t="n"/>
      <c r="AF359" s="594" t="n"/>
      <c r="AG359" s="595" t="n"/>
      <c r="AI359" s="594" t="n"/>
      <c r="AJ359" s="595" t="n"/>
      <c r="AL359" s="594" t="n"/>
      <c r="AM359" s="595" t="n"/>
      <c r="AO359" s="594" t="n"/>
      <c r="AP359" s="595" t="n"/>
      <c r="AR359" s="594" t="n"/>
      <c r="AS359" s="595" t="n"/>
    </row>
    <row r="360" ht="15.75" customHeight="1" s="26">
      <c r="B360" s="593" t="n"/>
      <c r="E360" s="594" t="n"/>
      <c r="F360" s="595" t="n"/>
      <c r="H360" s="594" t="n"/>
      <c r="I360" s="595" t="n"/>
      <c r="K360" s="594" t="n"/>
      <c r="L360" s="595" t="n"/>
      <c r="N360" s="594" t="n"/>
      <c r="O360" s="595" t="n"/>
      <c r="Q360" s="594" t="n"/>
      <c r="R360" s="595" t="n"/>
      <c r="T360" s="594" t="n"/>
      <c r="U360" s="595" t="n"/>
      <c r="W360" s="594" t="n"/>
      <c r="X360" s="595" t="n"/>
      <c r="Z360" s="594" t="n"/>
      <c r="AA360" s="595" t="n"/>
      <c r="AC360" s="594" t="n"/>
      <c r="AD360" s="595" t="n"/>
      <c r="AF360" s="594" t="n"/>
      <c r="AG360" s="595" t="n"/>
      <c r="AI360" s="594" t="n"/>
      <c r="AJ360" s="595" t="n"/>
      <c r="AL360" s="594" t="n"/>
      <c r="AM360" s="595" t="n"/>
      <c r="AO360" s="594" t="n"/>
      <c r="AP360" s="595" t="n"/>
      <c r="AR360" s="594" t="n"/>
      <c r="AS360" s="595" t="n"/>
    </row>
    <row r="361" ht="15.75" customHeight="1" s="26">
      <c r="B361" s="593" t="n"/>
      <c r="E361" s="594" t="n"/>
      <c r="F361" s="595" t="n"/>
      <c r="H361" s="594" t="n"/>
      <c r="I361" s="595" t="n"/>
      <c r="K361" s="594" t="n"/>
      <c r="L361" s="595" t="n"/>
      <c r="N361" s="594" t="n"/>
      <c r="O361" s="595" t="n"/>
      <c r="Q361" s="594" t="n"/>
      <c r="R361" s="595" t="n"/>
      <c r="T361" s="594" t="n"/>
      <c r="U361" s="595" t="n"/>
      <c r="W361" s="594" t="n"/>
      <c r="X361" s="595" t="n"/>
      <c r="Z361" s="594" t="n"/>
      <c r="AA361" s="595" t="n"/>
      <c r="AC361" s="594" t="n"/>
      <c r="AD361" s="595" t="n"/>
      <c r="AF361" s="594" t="n"/>
      <c r="AG361" s="595" t="n"/>
      <c r="AI361" s="594" t="n"/>
      <c r="AJ361" s="595" t="n"/>
      <c r="AL361" s="594" t="n"/>
      <c r="AM361" s="595" t="n"/>
      <c r="AO361" s="594" t="n"/>
      <c r="AP361" s="595" t="n"/>
      <c r="AR361" s="594" t="n"/>
      <c r="AS361" s="595" t="n"/>
    </row>
    <row r="362" ht="15.75" customHeight="1" s="26">
      <c r="B362" s="593" t="n"/>
      <c r="E362" s="594" t="n"/>
      <c r="F362" s="595" t="n"/>
      <c r="H362" s="594" t="n"/>
      <c r="I362" s="595" t="n"/>
      <c r="K362" s="594" t="n"/>
      <c r="L362" s="595" t="n"/>
      <c r="N362" s="594" t="n"/>
      <c r="O362" s="595" t="n"/>
      <c r="Q362" s="594" t="n"/>
      <c r="R362" s="595" t="n"/>
      <c r="T362" s="594" t="n"/>
      <c r="U362" s="595" t="n"/>
      <c r="W362" s="594" t="n"/>
      <c r="X362" s="595" t="n"/>
      <c r="Z362" s="594" t="n"/>
      <c r="AA362" s="595" t="n"/>
      <c r="AC362" s="594" t="n"/>
      <c r="AD362" s="595" t="n"/>
      <c r="AF362" s="594" t="n"/>
      <c r="AG362" s="595" t="n"/>
      <c r="AI362" s="594" t="n"/>
      <c r="AJ362" s="595" t="n"/>
      <c r="AL362" s="594" t="n"/>
      <c r="AM362" s="595" t="n"/>
      <c r="AO362" s="594" t="n"/>
      <c r="AP362" s="595" t="n"/>
      <c r="AR362" s="594" t="n"/>
      <c r="AS362" s="595" t="n"/>
    </row>
    <row r="363" ht="15.75" customHeight="1" s="26">
      <c r="B363" s="593" t="n"/>
      <c r="E363" s="594" t="n"/>
      <c r="F363" s="595" t="n"/>
      <c r="H363" s="594" t="n"/>
      <c r="I363" s="595" t="n"/>
      <c r="K363" s="594" t="n"/>
      <c r="L363" s="595" t="n"/>
      <c r="N363" s="594" t="n"/>
      <c r="O363" s="595" t="n"/>
      <c r="Q363" s="594" t="n"/>
      <c r="R363" s="595" t="n"/>
      <c r="T363" s="594" t="n"/>
      <c r="U363" s="595" t="n"/>
      <c r="W363" s="594" t="n"/>
      <c r="X363" s="595" t="n"/>
      <c r="Z363" s="594" t="n"/>
      <c r="AA363" s="595" t="n"/>
      <c r="AC363" s="594" t="n"/>
      <c r="AD363" s="595" t="n"/>
      <c r="AF363" s="594" t="n"/>
      <c r="AG363" s="595" t="n"/>
      <c r="AI363" s="594" t="n"/>
      <c r="AJ363" s="595" t="n"/>
      <c r="AL363" s="594" t="n"/>
      <c r="AM363" s="595" t="n"/>
      <c r="AO363" s="594" t="n"/>
      <c r="AP363" s="595" t="n"/>
      <c r="AR363" s="594" t="n"/>
      <c r="AS363" s="595" t="n"/>
    </row>
    <row r="364" ht="15.75" customHeight="1" s="26">
      <c r="B364" s="593" t="n"/>
      <c r="E364" s="594" t="n"/>
      <c r="F364" s="595" t="n"/>
      <c r="H364" s="594" t="n"/>
      <c r="I364" s="595" t="n"/>
      <c r="K364" s="594" t="n"/>
      <c r="L364" s="595" t="n"/>
      <c r="N364" s="594" t="n"/>
      <c r="O364" s="595" t="n"/>
      <c r="Q364" s="594" t="n"/>
      <c r="R364" s="595" t="n"/>
      <c r="T364" s="594" t="n"/>
      <c r="U364" s="595" t="n"/>
      <c r="W364" s="594" t="n"/>
      <c r="X364" s="595" t="n"/>
      <c r="Z364" s="594" t="n"/>
      <c r="AA364" s="595" t="n"/>
      <c r="AC364" s="594" t="n"/>
      <c r="AD364" s="595" t="n"/>
      <c r="AF364" s="594" t="n"/>
      <c r="AG364" s="595" t="n"/>
      <c r="AI364" s="594" t="n"/>
      <c r="AJ364" s="595" t="n"/>
      <c r="AL364" s="594" t="n"/>
      <c r="AM364" s="595" t="n"/>
      <c r="AO364" s="594" t="n"/>
      <c r="AP364" s="595" t="n"/>
      <c r="AR364" s="594" t="n"/>
      <c r="AS364" s="595" t="n"/>
    </row>
    <row r="365" ht="15.75" customHeight="1" s="26">
      <c r="B365" s="593" t="n"/>
      <c r="E365" s="594" t="n"/>
      <c r="F365" s="595" t="n"/>
      <c r="H365" s="594" t="n"/>
      <c r="I365" s="595" t="n"/>
      <c r="K365" s="594" t="n"/>
      <c r="L365" s="595" t="n"/>
      <c r="N365" s="594" t="n"/>
      <c r="O365" s="595" t="n"/>
      <c r="Q365" s="594" t="n"/>
      <c r="R365" s="595" t="n"/>
      <c r="T365" s="594" t="n"/>
      <c r="U365" s="595" t="n"/>
      <c r="W365" s="594" t="n"/>
      <c r="X365" s="595" t="n"/>
      <c r="Z365" s="594" t="n"/>
      <c r="AA365" s="595" t="n"/>
      <c r="AC365" s="594" t="n"/>
      <c r="AD365" s="595" t="n"/>
      <c r="AF365" s="594" t="n"/>
      <c r="AG365" s="595" t="n"/>
      <c r="AI365" s="594" t="n"/>
      <c r="AJ365" s="595" t="n"/>
      <c r="AL365" s="594" t="n"/>
      <c r="AM365" s="595" t="n"/>
      <c r="AO365" s="594" t="n"/>
      <c r="AP365" s="595" t="n"/>
      <c r="AR365" s="594" t="n"/>
      <c r="AS365" s="595" t="n"/>
    </row>
    <row r="366" ht="15.75" customHeight="1" s="26">
      <c r="B366" s="593" t="n"/>
      <c r="E366" s="594" t="n"/>
      <c r="F366" s="595" t="n"/>
      <c r="H366" s="594" t="n"/>
      <c r="I366" s="595" t="n"/>
      <c r="K366" s="594" t="n"/>
      <c r="L366" s="595" t="n"/>
      <c r="N366" s="594" t="n"/>
      <c r="O366" s="595" t="n"/>
      <c r="Q366" s="594" t="n"/>
      <c r="R366" s="595" t="n"/>
      <c r="T366" s="594" t="n"/>
      <c r="U366" s="595" t="n"/>
      <c r="W366" s="594" t="n"/>
      <c r="X366" s="595" t="n"/>
      <c r="Z366" s="594" t="n"/>
      <c r="AA366" s="595" t="n"/>
      <c r="AC366" s="594" t="n"/>
      <c r="AD366" s="595" t="n"/>
      <c r="AF366" s="594" t="n"/>
      <c r="AG366" s="595" t="n"/>
      <c r="AI366" s="594" t="n"/>
      <c r="AJ366" s="595" t="n"/>
      <c r="AL366" s="594" t="n"/>
      <c r="AM366" s="595" t="n"/>
      <c r="AO366" s="594" t="n"/>
      <c r="AP366" s="595" t="n"/>
      <c r="AR366" s="594" t="n"/>
      <c r="AS366" s="595" t="n"/>
    </row>
    <row r="367" ht="15.75" customHeight="1" s="26">
      <c r="B367" s="593" t="n"/>
      <c r="E367" s="594" t="n"/>
      <c r="F367" s="595" t="n"/>
      <c r="H367" s="594" t="n"/>
      <c r="I367" s="595" t="n"/>
      <c r="K367" s="594" t="n"/>
      <c r="L367" s="595" t="n"/>
      <c r="N367" s="594" t="n"/>
      <c r="O367" s="595" t="n"/>
      <c r="Q367" s="594" t="n"/>
      <c r="R367" s="595" t="n"/>
      <c r="T367" s="594" t="n"/>
      <c r="U367" s="595" t="n"/>
      <c r="W367" s="594" t="n"/>
      <c r="X367" s="595" t="n"/>
      <c r="Z367" s="594" t="n"/>
      <c r="AA367" s="595" t="n"/>
      <c r="AC367" s="594" t="n"/>
      <c r="AD367" s="595" t="n"/>
      <c r="AF367" s="594" t="n"/>
      <c r="AG367" s="595" t="n"/>
      <c r="AI367" s="594" t="n"/>
      <c r="AJ367" s="595" t="n"/>
      <c r="AL367" s="594" t="n"/>
      <c r="AM367" s="595" t="n"/>
      <c r="AO367" s="594" t="n"/>
      <c r="AP367" s="595" t="n"/>
      <c r="AR367" s="594" t="n"/>
      <c r="AS367" s="595" t="n"/>
    </row>
    <row r="368" ht="15.75" customHeight="1" s="26">
      <c r="B368" s="593" t="n"/>
      <c r="E368" s="594" t="n"/>
      <c r="F368" s="595" t="n"/>
      <c r="H368" s="594" t="n"/>
      <c r="I368" s="595" t="n"/>
      <c r="K368" s="594" t="n"/>
      <c r="L368" s="595" t="n"/>
      <c r="N368" s="594" t="n"/>
      <c r="O368" s="595" t="n"/>
      <c r="Q368" s="594" t="n"/>
      <c r="R368" s="595" t="n"/>
      <c r="T368" s="594" t="n"/>
      <c r="U368" s="595" t="n"/>
      <c r="W368" s="594" t="n"/>
      <c r="X368" s="595" t="n"/>
      <c r="Z368" s="594" t="n"/>
      <c r="AA368" s="595" t="n"/>
      <c r="AC368" s="594" t="n"/>
      <c r="AD368" s="595" t="n"/>
      <c r="AF368" s="594" t="n"/>
      <c r="AG368" s="595" t="n"/>
      <c r="AI368" s="594" t="n"/>
      <c r="AJ368" s="595" t="n"/>
      <c r="AL368" s="594" t="n"/>
      <c r="AM368" s="595" t="n"/>
      <c r="AO368" s="594" t="n"/>
      <c r="AP368" s="595" t="n"/>
      <c r="AR368" s="594" t="n"/>
      <c r="AS368" s="595" t="n"/>
    </row>
    <row r="369" ht="15.75" customHeight="1" s="26">
      <c r="B369" s="593" t="n"/>
      <c r="E369" s="594" t="n"/>
      <c r="F369" s="595" t="n"/>
      <c r="H369" s="594" t="n"/>
      <c r="I369" s="595" t="n"/>
      <c r="K369" s="594" t="n"/>
      <c r="L369" s="595" t="n"/>
      <c r="N369" s="594" t="n"/>
      <c r="O369" s="595" t="n"/>
      <c r="Q369" s="594" t="n"/>
      <c r="R369" s="595" t="n"/>
      <c r="T369" s="594" t="n"/>
      <c r="U369" s="595" t="n"/>
      <c r="W369" s="594" t="n"/>
      <c r="X369" s="595" t="n"/>
      <c r="Z369" s="594" t="n"/>
      <c r="AA369" s="595" t="n"/>
      <c r="AC369" s="594" t="n"/>
      <c r="AD369" s="595" t="n"/>
      <c r="AF369" s="594" t="n"/>
      <c r="AG369" s="595" t="n"/>
      <c r="AI369" s="594" t="n"/>
      <c r="AJ369" s="595" t="n"/>
      <c r="AL369" s="594" t="n"/>
      <c r="AM369" s="595" t="n"/>
      <c r="AO369" s="594" t="n"/>
      <c r="AP369" s="595" t="n"/>
      <c r="AR369" s="594" t="n"/>
      <c r="AS369" s="595" t="n"/>
    </row>
    <row r="370" ht="15.75" customHeight="1" s="26">
      <c r="B370" s="593" t="n"/>
      <c r="E370" s="594" t="n"/>
      <c r="F370" s="595" t="n"/>
      <c r="H370" s="594" t="n"/>
      <c r="I370" s="595" t="n"/>
      <c r="K370" s="594" t="n"/>
      <c r="L370" s="595" t="n"/>
      <c r="N370" s="594" t="n"/>
      <c r="O370" s="595" t="n"/>
      <c r="Q370" s="594" t="n"/>
      <c r="R370" s="595" t="n"/>
      <c r="T370" s="594" t="n"/>
      <c r="U370" s="595" t="n"/>
      <c r="W370" s="594" t="n"/>
      <c r="X370" s="595" t="n"/>
      <c r="Z370" s="594" t="n"/>
      <c r="AA370" s="595" t="n"/>
      <c r="AC370" s="594" t="n"/>
      <c r="AD370" s="595" t="n"/>
      <c r="AF370" s="594" t="n"/>
      <c r="AG370" s="595" t="n"/>
      <c r="AI370" s="594" t="n"/>
      <c r="AJ370" s="595" t="n"/>
      <c r="AL370" s="594" t="n"/>
      <c r="AM370" s="595" t="n"/>
      <c r="AO370" s="594" t="n"/>
      <c r="AP370" s="595" t="n"/>
      <c r="AR370" s="594" t="n"/>
      <c r="AS370" s="595" t="n"/>
    </row>
    <row r="371" ht="15.75" customHeight="1" s="26">
      <c r="B371" s="593" t="n"/>
      <c r="E371" s="594" t="n"/>
      <c r="F371" s="595" t="n"/>
      <c r="H371" s="594" t="n"/>
      <c r="I371" s="595" t="n"/>
      <c r="K371" s="594" t="n"/>
      <c r="L371" s="595" t="n"/>
      <c r="N371" s="594" t="n"/>
      <c r="O371" s="595" t="n"/>
      <c r="Q371" s="594" t="n"/>
      <c r="R371" s="595" t="n"/>
      <c r="T371" s="594" t="n"/>
      <c r="U371" s="595" t="n"/>
      <c r="W371" s="594" t="n"/>
      <c r="X371" s="595" t="n"/>
      <c r="Z371" s="594" t="n"/>
      <c r="AA371" s="595" t="n"/>
      <c r="AC371" s="594" t="n"/>
      <c r="AD371" s="595" t="n"/>
      <c r="AF371" s="594" t="n"/>
      <c r="AG371" s="595" t="n"/>
      <c r="AI371" s="594" t="n"/>
      <c r="AJ371" s="595" t="n"/>
      <c r="AL371" s="594" t="n"/>
      <c r="AM371" s="595" t="n"/>
      <c r="AO371" s="594" t="n"/>
      <c r="AP371" s="595" t="n"/>
      <c r="AR371" s="594" t="n"/>
      <c r="AS371" s="595" t="n"/>
    </row>
    <row r="372" ht="15.75" customHeight="1" s="26">
      <c r="B372" s="593" t="n"/>
      <c r="E372" s="594" t="n"/>
      <c r="F372" s="595" t="n"/>
      <c r="H372" s="594" t="n"/>
      <c r="I372" s="595" t="n"/>
      <c r="K372" s="594" t="n"/>
      <c r="L372" s="595" t="n"/>
      <c r="N372" s="594" t="n"/>
      <c r="O372" s="595" t="n"/>
      <c r="Q372" s="594" t="n"/>
      <c r="R372" s="595" t="n"/>
      <c r="T372" s="594" t="n"/>
      <c r="U372" s="595" t="n"/>
      <c r="W372" s="594" t="n"/>
      <c r="X372" s="595" t="n"/>
      <c r="Z372" s="594" t="n"/>
      <c r="AA372" s="595" t="n"/>
      <c r="AC372" s="594" t="n"/>
      <c r="AD372" s="595" t="n"/>
      <c r="AF372" s="594" t="n"/>
      <c r="AG372" s="595" t="n"/>
      <c r="AI372" s="594" t="n"/>
      <c r="AJ372" s="595" t="n"/>
      <c r="AL372" s="594" t="n"/>
      <c r="AM372" s="595" t="n"/>
      <c r="AO372" s="594" t="n"/>
      <c r="AP372" s="595" t="n"/>
      <c r="AR372" s="594" t="n"/>
      <c r="AS372" s="595" t="n"/>
    </row>
    <row r="373" ht="15.75" customHeight="1" s="26">
      <c r="B373" s="593" t="n"/>
      <c r="E373" s="594" t="n"/>
      <c r="F373" s="595" t="n"/>
      <c r="H373" s="594" t="n"/>
      <c r="I373" s="595" t="n"/>
      <c r="K373" s="594" t="n"/>
      <c r="L373" s="595" t="n"/>
      <c r="N373" s="594" t="n"/>
      <c r="O373" s="595" t="n"/>
      <c r="Q373" s="594" t="n"/>
      <c r="R373" s="595" t="n"/>
      <c r="T373" s="594" t="n"/>
      <c r="U373" s="595" t="n"/>
      <c r="W373" s="594" t="n"/>
      <c r="X373" s="595" t="n"/>
      <c r="Z373" s="594" t="n"/>
      <c r="AA373" s="595" t="n"/>
      <c r="AC373" s="594" t="n"/>
      <c r="AD373" s="595" t="n"/>
      <c r="AF373" s="594" t="n"/>
      <c r="AG373" s="595" t="n"/>
      <c r="AI373" s="594" t="n"/>
      <c r="AJ373" s="595" t="n"/>
      <c r="AL373" s="594" t="n"/>
      <c r="AM373" s="595" t="n"/>
      <c r="AO373" s="594" t="n"/>
      <c r="AP373" s="595" t="n"/>
      <c r="AR373" s="594" t="n"/>
      <c r="AS373" s="595" t="n"/>
    </row>
    <row r="374" ht="15.75" customHeight="1" s="26">
      <c r="B374" s="593" t="n"/>
      <c r="E374" s="594" t="n"/>
      <c r="F374" s="595" t="n"/>
      <c r="H374" s="594" t="n"/>
      <c r="I374" s="595" t="n"/>
      <c r="K374" s="594" t="n"/>
      <c r="L374" s="595" t="n"/>
      <c r="N374" s="594" t="n"/>
      <c r="O374" s="595" t="n"/>
      <c r="Q374" s="594" t="n"/>
      <c r="R374" s="595" t="n"/>
      <c r="T374" s="594" t="n"/>
      <c r="U374" s="595" t="n"/>
      <c r="W374" s="594" t="n"/>
      <c r="X374" s="595" t="n"/>
      <c r="Z374" s="594" t="n"/>
      <c r="AA374" s="595" t="n"/>
      <c r="AC374" s="594" t="n"/>
      <c r="AD374" s="595" t="n"/>
      <c r="AF374" s="594" t="n"/>
      <c r="AG374" s="595" t="n"/>
      <c r="AI374" s="594" t="n"/>
      <c r="AJ374" s="595" t="n"/>
      <c r="AL374" s="594" t="n"/>
      <c r="AM374" s="595" t="n"/>
      <c r="AO374" s="594" t="n"/>
      <c r="AP374" s="595" t="n"/>
      <c r="AR374" s="594" t="n"/>
      <c r="AS374" s="595" t="n"/>
    </row>
    <row r="375" ht="15.75" customHeight="1" s="26">
      <c r="B375" s="593" t="n"/>
      <c r="E375" s="594" t="n"/>
      <c r="F375" s="595" t="n"/>
      <c r="H375" s="594" t="n"/>
      <c r="I375" s="595" t="n"/>
      <c r="K375" s="594" t="n"/>
      <c r="L375" s="595" t="n"/>
      <c r="N375" s="594" t="n"/>
      <c r="O375" s="595" t="n"/>
      <c r="Q375" s="594" t="n"/>
      <c r="R375" s="595" t="n"/>
      <c r="T375" s="594" t="n"/>
      <c r="U375" s="595" t="n"/>
      <c r="W375" s="594" t="n"/>
      <c r="X375" s="595" t="n"/>
      <c r="Z375" s="594" t="n"/>
      <c r="AA375" s="595" t="n"/>
      <c r="AC375" s="594" t="n"/>
      <c r="AD375" s="595" t="n"/>
      <c r="AF375" s="594" t="n"/>
      <c r="AG375" s="595" t="n"/>
      <c r="AI375" s="594" t="n"/>
      <c r="AJ375" s="595" t="n"/>
      <c r="AL375" s="594" t="n"/>
      <c r="AM375" s="595" t="n"/>
      <c r="AO375" s="594" t="n"/>
      <c r="AP375" s="595" t="n"/>
      <c r="AR375" s="594" t="n"/>
      <c r="AS375" s="595" t="n"/>
    </row>
    <row r="376" ht="15.75" customHeight="1" s="26">
      <c r="B376" s="593" t="n"/>
      <c r="E376" s="594" t="n"/>
      <c r="F376" s="595" t="n"/>
      <c r="H376" s="594" t="n"/>
      <c r="I376" s="595" t="n"/>
      <c r="K376" s="594" t="n"/>
      <c r="L376" s="595" t="n"/>
      <c r="N376" s="594" t="n"/>
      <c r="O376" s="595" t="n"/>
      <c r="Q376" s="594" t="n"/>
      <c r="R376" s="595" t="n"/>
      <c r="T376" s="594" t="n"/>
      <c r="U376" s="595" t="n"/>
      <c r="W376" s="594" t="n"/>
      <c r="X376" s="595" t="n"/>
      <c r="Z376" s="594" t="n"/>
      <c r="AA376" s="595" t="n"/>
      <c r="AC376" s="594" t="n"/>
      <c r="AD376" s="595" t="n"/>
      <c r="AF376" s="594" t="n"/>
      <c r="AG376" s="595" t="n"/>
      <c r="AI376" s="594" t="n"/>
      <c r="AJ376" s="595" t="n"/>
      <c r="AL376" s="594" t="n"/>
      <c r="AM376" s="595" t="n"/>
      <c r="AO376" s="594" t="n"/>
      <c r="AP376" s="595" t="n"/>
      <c r="AR376" s="594" t="n"/>
      <c r="AS376" s="595" t="n"/>
    </row>
    <row r="377" ht="15.75" customHeight="1" s="26">
      <c r="B377" s="593" t="n"/>
      <c r="E377" s="594" t="n"/>
      <c r="F377" s="595" t="n"/>
      <c r="H377" s="594" t="n"/>
      <c r="I377" s="595" t="n"/>
      <c r="K377" s="594" t="n"/>
      <c r="L377" s="595" t="n"/>
      <c r="N377" s="594" t="n"/>
      <c r="O377" s="595" t="n"/>
      <c r="Q377" s="594" t="n"/>
      <c r="R377" s="595" t="n"/>
      <c r="T377" s="594" t="n"/>
      <c r="U377" s="595" t="n"/>
      <c r="W377" s="594" t="n"/>
      <c r="X377" s="595" t="n"/>
      <c r="Z377" s="594" t="n"/>
      <c r="AA377" s="595" t="n"/>
      <c r="AC377" s="594" t="n"/>
      <c r="AD377" s="595" t="n"/>
      <c r="AF377" s="594" t="n"/>
      <c r="AG377" s="595" t="n"/>
      <c r="AI377" s="594" t="n"/>
      <c r="AJ377" s="595" t="n"/>
      <c r="AL377" s="594" t="n"/>
      <c r="AM377" s="595" t="n"/>
      <c r="AO377" s="594" t="n"/>
      <c r="AP377" s="595" t="n"/>
      <c r="AR377" s="594" t="n"/>
      <c r="AS377" s="595" t="n"/>
    </row>
    <row r="378" ht="15.75" customHeight="1" s="26">
      <c r="B378" s="593" t="n"/>
      <c r="E378" s="594" t="n"/>
      <c r="F378" s="595" t="n"/>
      <c r="H378" s="594" t="n"/>
      <c r="I378" s="595" t="n"/>
      <c r="K378" s="594" t="n"/>
      <c r="L378" s="595" t="n"/>
      <c r="N378" s="594" t="n"/>
      <c r="O378" s="595" t="n"/>
      <c r="Q378" s="594" t="n"/>
      <c r="R378" s="595" t="n"/>
      <c r="T378" s="594" t="n"/>
      <c r="U378" s="595" t="n"/>
      <c r="W378" s="594" t="n"/>
      <c r="X378" s="595" t="n"/>
      <c r="Z378" s="594" t="n"/>
      <c r="AA378" s="595" t="n"/>
      <c r="AC378" s="594" t="n"/>
      <c r="AD378" s="595" t="n"/>
      <c r="AF378" s="594" t="n"/>
      <c r="AG378" s="595" t="n"/>
      <c r="AI378" s="594" t="n"/>
      <c r="AJ378" s="595" t="n"/>
      <c r="AL378" s="594" t="n"/>
      <c r="AM378" s="595" t="n"/>
      <c r="AO378" s="594" t="n"/>
      <c r="AP378" s="595" t="n"/>
      <c r="AR378" s="594" t="n"/>
      <c r="AS378" s="595" t="n"/>
    </row>
    <row r="379" ht="15.75" customHeight="1" s="26">
      <c r="B379" s="593" t="n"/>
      <c r="E379" s="594" t="n"/>
      <c r="F379" s="595" t="n"/>
      <c r="H379" s="594" t="n"/>
      <c r="I379" s="595" t="n"/>
      <c r="K379" s="594" t="n"/>
      <c r="L379" s="595" t="n"/>
      <c r="N379" s="594" t="n"/>
      <c r="O379" s="595" t="n"/>
      <c r="Q379" s="594" t="n"/>
      <c r="R379" s="595" t="n"/>
      <c r="T379" s="594" t="n"/>
      <c r="U379" s="595" t="n"/>
      <c r="W379" s="594" t="n"/>
      <c r="X379" s="595" t="n"/>
      <c r="Z379" s="594" t="n"/>
      <c r="AA379" s="595" t="n"/>
      <c r="AC379" s="594" t="n"/>
      <c r="AD379" s="595" t="n"/>
      <c r="AF379" s="594" t="n"/>
      <c r="AG379" s="595" t="n"/>
      <c r="AI379" s="594" t="n"/>
      <c r="AJ379" s="595" t="n"/>
      <c r="AL379" s="594" t="n"/>
      <c r="AM379" s="595" t="n"/>
      <c r="AO379" s="594" t="n"/>
      <c r="AP379" s="595" t="n"/>
      <c r="AR379" s="594" t="n"/>
      <c r="AS379" s="595" t="n"/>
    </row>
    <row r="380" ht="15.75" customHeight="1" s="26">
      <c r="B380" s="593" t="n"/>
      <c r="E380" s="594" t="n"/>
      <c r="F380" s="595" t="n"/>
      <c r="H380" s="594" t="n"/>
      <c r="I380" s="595" t="n"/>
      <c r="K380" s="594" t="n"/>
      <c r="L380" s="595" t="n"/>
      <c r="N380" s="594" t="n"/>
      <c r="O380" s="595" t="n"/>
      <c r="Q380" s="594" t="n"/>
      <c r="R380" s="595" t="n"/>
      <c r="T380" s="594" t="n"/>
      <c r="U380" s="595" t="n"/>
      <c r="W380" s="594" t="n"/>
      <c r="X380" s="595" t="n"/>
      <c r="Z380" s="594" t="n"/>
      <c r="AA380" s="595" t="n"/>
      <c r="AC380" s="594" t="n"/>
      <c r="AD380" s="595" t="n"/>
      <c r="AF380" s="594" t="n"/>
      <c r="AG380" s="595" t="n"/>
      <c r="AI380" s="594" t="n"/>
      <c r="AJ380" s="595" t="n"/>
      <c r="AL380" s="594" t="n"/>
      <c r="AM380" s="595" t="n"/>
      <c r="AO380" s="594" t="n"/>
      <c r="AP380" s="595" t="n"/>
      <c r="AR380" s="594" t="n"/>
      <c r="AS380" s="595" t="n"/>
    </row>
    <row r="381" ht="15.75" customHeight="1" s="26">
      <c r="B381" s="593" t="n"/>
      <c r="E381" s="594" t="n"/>
      <c r="F381" s="595" t="n"/>
      <c r="H381" s="594" t="n"/>
      <c r="I381" s="595" t="n"/>
      <c r="K381" s="594" t="n"/>
      <c r="L381" s="595" t="n"/>
      <c r="N381" s="594" t="n"/>
      <c r="O381" s="595" t="n"/>
      <c r="Q381" s="594" t="n"/>
      <c r="R381" s="595" t="n"/>
      <c r="T381" s="594" t="n"/>
      <c r="U381" s="595" t="n"/>
      <c r="W381" s="594" t="n"/>
      <c r="X381" s="595" t="n"/>
      <c r="Z381" s="594" t="n"/>
      <c r="AA381" s="595" t="n"/>
      <c r="AC381" s="594" t="n"/>
      <c r="AD381" s="595" t="n"/>
      <c r="AF381" s="594" t="n"/>
      <c r="AG381" s="595" t="n"/>
      <c r="AI381" s="594" t="n"/>
      <c r="AJ381" s="595" t="n"/>
      <c r="AL381" s="594" t="n"/>
      <c r="AM381" s="595" t="n"/>
      <c r="AO381" s="594" t="n"/>
      <c r="AP381" s="595" t="n"/>
      <c r="AR381" s="594" t="n"/>
      <c r="AS381" s="595" t="n"/>
    </row>
    <row r="382" ht="15.75" customHeight="1" s="26">
      <c r="B382" s="593" t="n"/>
      <c r="E382" s="594" t="n"/>
      <c r="F382" s="595" t="n"/>
      <c r="H382" s="594" t="n"/>
      <c r="I382" s="595" t="n"/>
      <c r="K382" s="594" t="n"/>
      <c r="L382" s="595" t="n"/>
      <c r="N382" s="594" t="n"/>
      <c r="O382" s="595" t="n"/>
      <c r="Q382" s="594" t="n"/>
      <c r="R382" s="595" t="n"/>
      <c r="T382" s="594" t="n"/>
      <c r="U382" s="595" t="n"/>
      <c r="W382" s="594" t="n"/>
      <c r="X382" s="595" t="n"/>
      <c r="Z382" s="594" t="n"/>
      <c r="AA382" s="595" t="n"/>
      <c r="AC382" s="594" t="n"/>
      <c r="AD382" s="595" t="n"/>
      <c r="AF382" s="594" t="n"/>
      <c r="AG382" s="595" t="n"/>
      <c r="AI382" s="594" t="n"/>
      <c r="AJ382" s="595" t="n"/>
      <c r="AL382" s="594" t="n"/>
      <c r="AM382" s="595" t="n"/>
      <c r="AO382" s="594" t="n"/>
      <c r="AP382" s="595" t="n"/>
      <c r="AR382" s="594" t="n"/>
      <c r="AS382" s="595" t="n"/>
    </row>
    <row r="383" ht="15.75" customHeight="1" s="26">
      <c r="B383" s="593" t="n"/>
      <c r="E383" s="594" t="n"/>
      <c r="F383" s="595" t="n"/>
      <c r="H383" s="594" t="n"/>
      <c r="I383" s="595" t="n"/>
      <c r="K383" s="594" t="n"/>
      <c r="L383" s="595" t="n"/>
      <c r="N383" s="594" t="n"/>
      <c r="O383" s="595" t="n"/>
      <c r="Q383" s="594" t="n"/>
      <c r="R383" s="595" t="n"/>
      <c r="T383" s="594" t="n"/>
      <c r="U383" s="595" t="n"/>
      <c r="W383" s="594" t="n"/>
      <c r="X383" s="595" t="n"/>
      <c r="Z383" s="594" t="n"/>
      <c r="AA383" s="595" t="n"/>
      <c r="AC383" s="594" t="n"/>
      <c r="AD383" s="595" t="n"/>
      <c r="AF383" s="594" t="n"/>
      <c r="AG383" s="595" t="n"/>
      <c r="AI383" s="594" t="n"/>
      <c r="AJ383" s="595" t="n"/>
      <c r="AL383" s="594" t="n"/>
      <c r="AM383" s="595" t="n"/>
      <c r="AO383" s="594" t="n"/>
      <c r="AP383" s="595" t="n"/>
      <c r="AR383" s="594" t="n"/>
      <c r="AS383" s="595" t="n"/>
    </row>
    <row r="384" ht="15.75" customHeight="1" s="26">
      <c r="B384" s="593" t="n"/>
      <c r="E384" s="594" t="n"/>
      <c r="F384" s="595" t="n"/>
      <c r="H384" s="594" t="n"/>
      <c r="I384" s="595" t="n"/>
      <c r="K384" s="594" t="n"/>
      <c r="L384" s="595" t="n"/>
      <c r="N384" s="594" t="n"/>
      <c r="O384" s="595" t="n"/>
      <c r="Q384" s="594" t="n"/>
      <c r="R384" s="595" t="n"/>
      <c r="T384" s="594" t="n"/>
      <c r="U384" s="595" t="n"/>
      <c r="W384" s="594" t="n"/>
      <c r="X384" s="595" t="n"/>
      <c r="Z384" s="594" t="n"/>
      <c r="AA384" s="595" t="n"/>
      <c r="AC384" s="594" t="n"/>
      <c r="AD384" s="595" t="n"/>
      <c r="AF384" s="594" t="n"/>
      <c r="AG384" s="595" t="n"/>
      <c r="AI384" s="594" t="n"/>
      <c r="AJ384" s="595" t="n"/>
      <c r="AL384" s="594" t="n"/>
      <c r="AM384" s="595" t="n"/>
      <c r="AO384" s="594" t="n"/>
      <c r="AP384" s="595" t="n"/>
      <c r="AR384" s="594" t="n"/>
      <c r="AS384" s="595" t="n"/>
    </row>
    <row r="385" ht="15.75" customHeight="1" s="26">
      <c r="B385" s="593" t="n"/>
      <c r="E385" s="594" t="n"/>
      <c r="F385" s="595" t="n"/>
      <c r="H385" s="594" t="n"/>
      <c r="I385" s="595" t="n"/>
      <c r="K385" s="594" t="n"/>
      <c r="L385" s="595" t="n"/>
      <c r="N385" s="594" t="n"/>
      <c r="O385" s="595" t="n"/>
      <c r="Q385" s="594" t="n"/>
      <c r="R385" s="595" t="n"/>
      <c r="T385" s="594" t="n"/>
      <c r="U385" s="595" t="n"/>
      <c r="W385" s="594" t="n"/>
      <c r="X385" s="595" t="n"/>
      <c r="Z385" s="594" t="n"/>
      <c r="AA385" s="595" t="n"/>
      <c r="AC385" s="594" t="n"/>
      <c r="AD385" s="595" t="n"/>
      <c r="AF385" s="594" t="n"/>
      <c r="AG385" s="595" t="n"/>
      <c r="AI385" s="594" t="n"/>
      <c r="AJ385" s="595" t="n"/>
      <c r="AL385" s="594" t="n"/>
      <c r="AM385" s="595" t="n"/>
      <c r="AO385" s="594" t="n"/>
      <c r="AP385" s="595" t="n"/>
      <c r="AR385" s="594" t="n"/>
      <c r="AS385" s="595" t="n"/>
    </row>
    <row r="386" ht="15.75" customHeight="1" s="26">
      <c r="B386" s="593" t="n"/>
      <c r="E386" s="594" t="n"/>
      <c r="F386" s="595" t="n"/>
      <c r="H386" s="594" t="n"/>
      <c r="I386" s="595" t="n"/>
      <c r="K386" s="594" t="n"/>
      <c r="L386" s="595" t="n"/>
      <c r="N386" s="594" t="n"/>
      <c r="O386" s="595" t="n"/>
      <c r="Q386" s="594" t="n"/>
      <c r="R386" s="595" t="n"/>
      <c r="T386" s="594" t="n"/>
      <c r="U386" s="595" t="n"/>
      <c r="W386" s="594" t="n"/>
      <c r="X386" s="595" t="n"/>
      <c r="Z386" s="594" t="n"/>
      <c r="AA386" s="595" t="n"/>
      <c r="AC386" s="594" t="n"/>
      <c r="AD386" s="595" t="n"/>
      <c r="AF386" s="594" t="n"/>
      <c r="AG386" s="595" t="n"/>
      <c r="AI386" s="594" t="n"/>
      <c r="AJ386" s="595" t="n"/>
      <c r="AL386" s="594" t="n"/>
      <c r="AM386" s="595" t="n"/>
      <c r="AO386" s="594" t="n"/>
      <c r="AP386" s="595" t="n"/>
      <c r="AR386" s="594" t="n"/>
      <c r="AS386" s="595" t="n"/>
    </row>
    <row r="387" ht="15.75" customHeight="1" s="26">
      <c r="B387" s="593" t="n"/>
      <c r="E387" s="594" t="n"/>
      <c r="F387" s="595" t="n"/>
      <c r="H387" s="594" t="n"/>
      <c r="I387" s="595" t="n"/>
      <c r="K387" s="594" t="n"/>
      <c r="L387" s="595" t="n"/>
      <c r="N387" s="594" t="n"/>
      <c r="O387" s="595" t="n"/>
      <c r="Q387" s="594" t="n"/>
      <c r="R387" s="595" t="n"/>
      <c r="T387" s="594" t="n"/>
      <c r="U387" s="595" t="n"/>
      <c r="W387" s="594" t="n"/>
      <c r="X387" s="595" t="n"/>
      <c r="Z387" s="594" t="n"/>
      <c r="AA387" s="595" t="n"/>
      <c r="AC387" s="594" t="n"/>
      <c r="AD387" s="595" t="n"/>
      <c r="AF387" s="594" t="n"/>
      <c r="AG387" s="595" t="n"/>
      <c r="AI387" s="594" t="n"/>
      <c r="AJ387" s="595" t="n"/>
      <c r="AL387" s="594" t="n"/>
      <c r="AM387" s="595" t="n"/>
      <c r="AO387" s="594" t="n"/>
      <c r="AP387" s="595" t="n"/>
      <c r="AR387" s="594" t="n"/>
      <c r="AS387" s="595" t="n"/>
    </row>
    <row r="388" ht="15.75" customHeight="1" s="26">
      <c r="B388" s="593" t="n"/>
      <c r="E388" s="594" t="n"/>
      <c r="F388" s="595" t="n"/>
      <c r="H388" s="594" t="n"/>
      <c r="I388" s="595" t="n"/>
      <c r="K388" s="594" t="n"/>
      <c r="L388" s="595" t="n"/>
      <c r="N388" s="594" t="n"/>
      <c r="O388" s="595" t="n"/>
      <c r="Q388" s="594" t="n"/>
      <c r="R388" s="595" t="n"/>
      <c r="T388" s="594" t="n"/>
      <c r="U388" s="595" t="n"/>
      <c r="W388" s="594" t="n"/>
      <c r="X388" s="595" t="n"/>
      <c r="Z388" s="594" t="n"/>
      <c r="AA388" s="595" t="n"/>
      <c r="AC388" s="594" t="n"/>
      <c r="AD388" s="595" t="n"/>
      <c r="AF388" s="594" t="n"/>
      <c r="AG388" s="595" t="n"/>
      <c r="AI388" s="594" t="n"/>
      <c r="AJ388" s="595" t="n"/>
      <c r="AL388" s="594" t="n"/>
      <c r="AM388" s="595" t="n"/>
      <c r="AO388" s="594" t="n"/>
      <c r="AP388" s="595" t="n"/>
      <c r="AR388" s="594" t="n"/>
      <c r="AS388" s="595" t="n"/>
    </row>
    <row r="389" ht="15.75" customHeight="1" s="26">
      <c r="B389" s="593" t="n"/>
      <c r="E389" s="594" t="n"/>
      <c r="F389" s="595" t="n"/>
      <c r="H389" s="594" t="n"/>
      <c r="I389" s="595" t="n"/>
      <c r="K389" s="594" t="n"/>
      <c r="L389" s="595" t="n"/>
      <c r="N389" s="594" t="n"/>
      <c r="O389" s="595" t="n"/>
      <c r="Q389" s="594" t="n"/>
      <c r="R389" s="595" t="n"/>
      <c r="T389" s="594" t="n"/>
      <c r="U389" s="595" t="n"/>
      <c r="W389" s="594" t="n"/>
      <c r="X389" s="595" t="n"/>
      <c r="Z389" s="594" t="n"/>
      <c r="AA389" s="595" t="n"/>
      <c r="AC389" s="594" t="n"/>
      <c r="AD389" s="595" t="n"/>
      <c r="AF389" s="594" t="n"/>
      <c r="AG389" s="595" t="n"/>
      <c r="AI389" s="594" t="n"/>
      <c r="AJ389" s="595" t="n"/>
      <c r="AL389" s="594" t="n"/>
      <c r="AM389" s="595" t="n"/>
      <c r="AO389" s="594" t="n"/>
      <c r="AP389" s="595" t="n"/>
      <c r="AR389" s="594" t="n"/>
      <c r="AS389" s="595" t="n"/>
    </row>
    <row r="390" ht="15.75" customHeight="1" s="26">
      <c r="B390" s="593" t="n"/>
      <c r="E390" s="594" t="n"/>
      <c r="F390" s="595" t="n"/>
      <c r="H390" s="594" t="n"/>
      <c r="I390" s="595" t="n"/>
      <c r="K390" s="594" t="n"/>
      <c r="L390" s="595" t="n"/>
      <c r="N390" s="594" t="n"/>
      <c r="O390" s="595" t="n"/>
      <c r="Q390" s="594" t="n"/>
      <c r="R390" s="595" t="n"/>
      <c r="T390" s="594" t="n"/>
      <c r="U390" s="595" t="n"/>
      <c r="W390" s="594" t="n"/>
      <c r="X390" s="595" t="n"/>
      <c r="Z390" s="594" t="n"/>
      <c r="AA390" s="595" t="n"/>
      <c r="AC390" s="594" t="n"/>
      <c r="AD390" s="595" t="n"/>
      <c r="AF390" s="594" t="n"/>
      <c r="AG390" s="595" t="n"/>
      <c r="AI390" s="594" t="n"/>
      <c r="AJ390" s="595" t="n"/>
      <c r="AL390" s="594" t="n"/>
      <c r="AM390" s="595" t="n"/>
      <c r="AO390" s="594" t="n"/>
      <c r="AP390" s="595" t="n"/>
      <c r="AR390" s="594" t="n"/>
      <c r="AS390" s="595" t="n"/>
    </row>
    <row r="391" ht="15.75" customHeight="1" s="26">
      <c r="B391" s="593" t="n"/>
      <c r="E391" s="594" t="n"/>
      <c r="F391" s="595" t="n"/>
      <c r="H391" s="594" t="n"/>
      <c r="I391" s="595" t="n"/>
      <c r="K391" s="594" t="n"/>
      <c r="L391" s="595" t="n"/>
      <c r="N391" s="594" t="n"/>
      <c r="O391" s="595" t="n"/>
      <c r="Q391" s="594" t="n"/>
      <c r="R391" s="595" t="n"/>
      <c r="T391" s="594" t="n"/>
      <c r="U391" s="595" t="n"/>
      <c r="W391" s="594" t="n"/>
      <c r="X391" s="595" t="n"/>
      <c r="Z391" s="594" t="n"/>
      <c r="AA391" s="595" t="n"/>
      <c r="AC391" s="594" t="n"/>
      <c r="AD391" s="595" t="n"/>
      <c r="AF391" s="594" t="n"/>
      <c r="AG391" s="595" t="n"/>
      <c r="AI391" s="594" t="n"/>
      <c r="AJ391" s="595" t="n"/>
      <c r="AL391" s="594" t="n"/>
      <c r="AM391" s="595" t="n"/>
      <c r="AO391" s="594" t="n"/>
      <c r="AP391" s="595" t="n"/>
      <c r="AR391" s="594" t="n"/>
      <c r="AS391" s="595" t="n"/>
    </row>
    <row r="392" ht="15.75" customHeight="1" s="26">
      <c r="B392" s="593" t="n"/>
      <c r="E392" s="594" t="n"/>
      <c r="F392" s="595" t="n"/>
      <c r="H392" s="594" t="n"/>
      <c r="I392" s="595" t="n"/>
      <c r="K392" s="594" t="n"/>
      <c r="L392" s="595" t="n"/>
      <c r="N392" s="594" t="n"/>
      <c r="O392" s="595" t="n"/>
      <c r="Q392" s="594" t="n"/>
      <c r="R392" s="595" t="n"/>
      <c r="T392" s="594" t="n"/>
      <c r="U392" s="595" t="n"/>
      <c r="W392" s="594" t="n"/>
      <c r="X392" s="595" t="n"/>
      <c r="Z392" s="594" t="n"/>
      <c r="AA392" s="595" t="n"/>
      <c r="AC392" s="594" t="n"/>
      <c r="AD392" s="595" t="n"/>
      <c r="AF392" s="594" t="n"/>
      <c r="AG392" s="595" t="n"/>
      <c r="AI392" s="594" t="n"/>
      <c r="AJ392" s="595" t="n"/>
      <c r="AL392" s="594" t="n"/>
      <c r="AM392" s="595" t="n"/>
      <c r="AO392" s="594" t="n"/>
      <c r="AP392" s="595" t="n"/>
      <c r="AR392" s="594" t="n"/>
      <c r="AS392" s="595" t="n"/>
    </row>
    <row r="393" ht="15.75" customHeight="1" s="26">
      <c r="B393" s="593" t="n"/>
      <c r="E393" s="594" t="n"/>
      <c r="F393" s="595" t="n"/>
      <c r="H393" s="594" t="n"/>
      <c r="I393" s="595" t="n"/>
      <c r="K393" s="594" t="n"/>
      <c r="L393" s="595" t="n"/>
      <c r="N393" s="594" t="n"/>
      <c r="O393" s="595" t="n"/>
      <c r="Q393" s="594" t="n"/>
      <c r="R393" s="595" t="n"/>
      <c r="T393" s="594" t="n"/>
      <c r="U393" s="595" t="n"/>
      <c r="W393" s="594" t="n"/>
      <c r="X393" s="595" t="n"/>
      <c r="Z393" s="594" t="n"/>
      <c r="AA393" s="595" t="n"/>
      <c r="AC393" s="594" t="n"/>
      <c r="AD393" s="595" t="n"/>
      <c r="AF393" s="594" t="n"/>
      <c r="AG393" s="595" t="n"/>
      <c r="AI393" s="594" t="n"/>
      <c r="AJ393" s="595" t="n"/>
      <c r="AL393" s="594" t="n"/>
      <c r="AM393" s="595" t="n"/>
      <c r="AO393" s="594" t="n"/>
      <c r="AP393" s="595" t="n"/>
      <c r="AR393" s="594" t="n"/>
      <c r="AS393" s="595" t="n"/>
    </row>
    <row r="394" ht="15.75" customHeight="1" s="26">
      <c r="B394" s="593" t="n"/>
      <c r="E394" s="594" t="n"/>
      <c r="F394" s="595" t="n"/>
      <c r="H394" s="594" t="n"/>
      <c r="I394" s="595" t="n"/>
      <c r="K394" s="594" t="n"/>
      <c r="L394" s="595" t="n"/>
      <c r="N394" s="594" t="n"/>
      <c r="O394" s="595" t="n"/>
      <c r="Q394" s="594" t="n"/>
      <c r="R394" s="595" t="n"/>
      <c r="T394" s="594" t="n"/>
      <c r="U394" s="595" t="n"/>
      <c r="W394" s="594" t="n"/>
      <c r="X394" s="595" t="n"/>
      <c r="Z394" s="594" t="n"/>
      <c r="AA394" s="595" t="n"/>
      <c r="AC394" s="594" t="n"/>
      <c r="AD394" s="595" t="n"/>
      <c r="AF394" s="594" t="n"/>
      <c r="AG394" s="595" t="n"/>
      <c r="AI394" s="594" t="n"/>
      <c r="AJ394" s="595" t="n"/>
      <c r="AL394" s="594" t="n"/>
      <c r="AM394" s="595" t="n"/>
      <c r="AO394" s="594" t="n"/>
      <c r="AP394" s="595" t="n"/>
      <c r="AR394" s="594" t="n"/>
      <c r="AS394" s="595" t="n"/>
    </row>
    <row r="395" ht="15.75" customHeight="1" s="26">
      <c r="B395" s="593" t="n"/>
      <c r="E395" s="594" t="n"/>
      <c r="F395" s="595" t="n"/>
      <c r="H395" s="594" t="n"/>
      <c r="I395" s="595" t="n"/>
      <c r="K395" s="594" t="n"/>
      <c r="L395" s="595" t="n"/>
      <c r="N395" s="594" t="n"/>
      <c r="O395" s="595" t="n"/>
      <c r="Q395" s="594" t="n"/>
      <c r="R395" s="595" t="n"/>
      <c r="T395" s="594" t="n"/>
      <c r="U395" s="595" t="n"/>
      <c r="W395" s="594" t="n"/>
      <c r="X395" s="595" t="n"/>
      <c r="Z395" s="594" t="n"/>
      <c r="AA395" s="595" t="n"/>
      <c r="AC395" s="594" t="n"/>
      <c r="AD395" s="595" t="n"/>
      <c r="AF395" s="594" t="n"/>
      <c r="AG395" s="595" t="n"/>
      <c r="AI395" s="594" t="n"/>
      <c r="AJ395" s="595" t="n"/>
      <c r="AL395" s="594" t="n"/>
      <c r="AM395" s="595" t="n"/>
      <c r="AO395" s="594" t="n"/>
      <c r="AP395" s="595" t="n"/>
      <c r="AR395" s="594" t="n"/>
      <c r="AS395" s="595" t="n"/>
    </row>
    <row r="396" ht="15.75" customHeight="1" s="26">
      <c r="B396" s="593" t="n"/>
      <c r="E396" s="594" t="n"/>
      <c r="F396" s="595" t="n"/>
      <c r="H396" s="594" t="n"/>
      <c r="I396" s="595" t="n"/>
      <c r="K396" s="594" t="n"/>
      <c r="L396" s="595" t="n"/>
      <c r="N396" s="594" t="n"/>
      <c r="O396" s="595" t="n"/>
      <c r="Q396" s="594" t="n"/>
      <c r="R396" s="595" t="n"/>
      <c r="T396" s="594" t="n"/>
      <c r="U396" s="595" t="n"/>
      <c r="W396" s="594" t="n"/>
      <c r="X396" s="595" t="n"/>
      <c r="Z396" s="594" t="n"/>
      <c r="AA396" s="595" t="n"/>
      <c r="AC396" s="594" t="n"/>
      <c r="AD396" s="595" t="n"/>
      <c r="AF396" s="594" t="n"/>
      <c r="AG396" s="595" t="n"/>
      <c r="AI396" s="594" t="n"/>
      <c r="AJ396" s="595" t="n"/>
      <c r="AL396" s="594" t="n"/>
      <c r="AM396" s="595" t="n"/>
      <c r="AO396" s="594" t="n"/>
      <c r="AP396" s="595" t="n"/>
      <c r="AR396" s="594" t="n"/>
      <c r="AS396" s="595" t="n"/>
    </row>
    <row r="397" ht="15.75" customHeight="1" s="26">
      <c r="B397" s="593" t="n"/>
      <c r="E397" s="594" t="n"/>
      <c r="F397" s="595" t="n"/>
      <c r="H397" s="594" t="n"/>
      <c r="I397" s="595" t="n"/>
      <c r="K397" s="594" t="n"/>
      <c r="L397" s="595" t="n"/>
      <c r="N397" s="594" t="n"/>
      <c r="O397" s="595" t="n"/>
      <c r="Q397" s="594" t="n"/>
      <c r="R397" s="595" t="n"/>
      <c r="T397" s="594" t="n"/>
      <c r="U397" s="595" t="n"/>
      <c r="W397" s="594" t="n"/>
      <c r="X397" s="595" t="n"/>
      <c r="Z397" s="594" t="n"/>
      <c r="AA397" s="595" t="n"/>
      <c r="AC397" s="594" t="n"/>
      <c r="AD397" s="595" t="n"/>
      <c r="AF397" s="594" t="n"/>
      <c r="AG397" s="595" t="n"/>
      <c r="AI397" s="594" t="n"/>
      <c r="AJ397" s="595" t="n"/>
      <c r="AL397" s="594" t="n"/>
      <c r="AM397" s="595" t="n"/>
      <c r="AO397" s="594" t="n"/>
      <c r="AP397" s="595" t="n"/>
      <c r="AR397" s="594" t="n"/>
      <c r="AS397" s="595" t="n"/>
    </row>
    <row r="398" ht="15.75" customHeight="1" s="26">
      <c r="B398" s="593" t="n"/>
      <c r="E398" s="594" t="n"/>
      <c r="F398" s="595" t="n"/>
      <c r="H398" s="594" t="n"/>
      <c r="I398" s="595" t="n"/>
      <c r="K398" s="594" t="n"/>
      <c r="L398" s="595" t="n"/>
      <c r="N398" s="594" t="n"/>
      <c r="O398" s="595" t="n"/>
      <c r="Q398" s="594" t="n"/>
      <c r="R398" s="595" t="n"/>
      <c r="T398" s="594" t="n"/>
      <c r="U398" s="595" t="n"/>
      <c r="W398" s="594" t="n"/>
      <c r="X398" s="595" t="n"/>
      <c r="Z398" s="594" t="n"/>
      <c r="AA398" s="595" t="n"/>
      <c r="AC398" s="594" t="n"/>
      <c r="AD398" s="595" t="n"/>
      <c r="AF398" s="594" t="n"/>
      <c r="AG398" s="595" t="n"/>
      <c r="AI398" s="594" t="n"/>
      <c r="AJ398" s="595" t="n"/>
      <c r="AL398" s="594" t="n"/>
      <c r="AM398" s="595" t="n"/>
      <c r="AO398" s="594" t="n"/>
      <c r="AP398" s="595" t="n"/>
      <c r="AR398" s="594" t="n"/>
      <c r="AS398" s="595" t="n"/>
    </row>
    <row r="399" ht="15.75" customHeight="1" s="26">
      <c r="B399" s="593" t="n"/>
      <c r="E399" s="594" t="n"/>
      <c r="F399" s="595" t="n"/>
      <c r="H399" s="594" t="n"/>
      <c r="I399" s="595" t="n"/>
      <c r="K399" s="594" t="n"/>
      <c r="L399" s="595" t="n"/>
      <c r="N399" s="594" t="n"/>
      <c r="O399" s="595" t="n"/>
      <c r="Q399" s="594" t="n"/>
      <c r="R399" s="595" t="n"/>
      <c r="T399" s="594" t="n"/>
      <c r="U399" s="595" t="n"/>
      <c r="W399" s="594" t="n"/>
      <c r="X399" s="595" t="n"/>
      <c r="Z399" s="594" t="n"/>
      <c r="AA399" s="595" t="n"/>
      <c r="AC399" s="594" t="n"/>
      <c r="AD399" s="595" t="n"/>
      <c r="AF399" s="594" t="n"/>
      <c r="AG399" s="595" t="n"/>
      <c r="AI399" s="594" t="n"/>
      <c r="AJ399" s="595" t="n"/>
      <c r="AL399" s="594" t="n"/>
      <c r="AM399" s="595" t="n"/>
      <c r="AO399" s="594" t="n"/>
      <c r="AP399" s="595" t="n"/>
      <c r="AR399" s="594" t="n"/>
      <c r="AS399" s="595" t="n"/>
    </row>
    <row r="400" ht="15.75" customHeight="1" s="26">
      <c r="B400" s="593" t="n"/>
      <c r="E400" s="594" t="n"/>
      <c r="F400" s="595" t="n"/>
      <c r="H400" s="594" t="n"/>
      <c r="I400" s="595" t="n"/>
      <c r="K400" s="594" t="n"/>
      <c r="L400" s="595" t="n"/>
      <c r="N400" s="594" t="n"/>
      <c r="O400" s="595" t="n"/>
      <c r="Q400" s="594" t="n"/>
      <c r="R400" s="595" t="n"/>
      <c r="T400" s="594" t="n"/>
      <c r="U400" s="595" t="n"/>
      <c r="W400" s="594" t="n"/>
      <c r="X400" s="595" t="n"/>
      <c r="Z400" s="594" t="n"/>
      <c r="AA400" s="595" t="n"/>
      <c r="AC400" s="594" t="n"/>
      <c r="AD400" s="595" t="n"/>
      <c r="AF400" s="594" t="n"/>
      <c r="AG400" s="595" t="n"/>
      <c r="AI400" s="594" t="n"/>
      <c r="AJ400" s="595" t="n"/>
      <c r="AL400" s="594" t="n"/>
      <c r="AM400" s="595" t="n"/>
      <c r="AO400" s="594" t="n"/>
      <c r="AP400" s="595" t="n"/>
      <c r="AR400" s="594" t="n"/>
      <c r="AS400" s="595" t="n"/>
    </row>
    <row r="401" ht="15.75" customHeight="1" s="26">
      <c r="B401" s="593" t="n"/>
      <c r="E401" s="594" t="n"/>
      <c r="F401" s="595" t="n"/>
      <c r="H401" s="594" t="n"/>
      <c r="I401" s="595" t="n"/>
      <c r="K401" s="594" t="n"/>
      <c r="L401" s="595" t="n"/>
      <c r="N401" s="594" t="n"/>
      <c r="O401" s="595" t="n"/>
      <c r="Q401" s="594" t="n"/>
      <c r="R401" s="595" t="n"/>
      <c r="T401" s="594" t="n"/>
      <c r="U401" s="595" t="n"/>
      <c r="W401" s="594" t="n"/>
      <c r="X401" s="595" t="n"/>
      <c r="Z401" s="594" t="n"/>
      <c r="AA401" s="595" t="n"/>
      <c r="AC401" s="594" t="n"/>
      <c r="AD401" s="595" t="n"/>
      <c r="AF401" s="594" t="n"/>
      <c r="AG401" s="595" t="n"/>
      <c r="AI401" s="594" t="n"/>
      <c r="AJ401" s="595" t="n"/>
      <c r="AL401" s="594" t="n"/>
      <c r="AM401" s="595" t="n"/>
      <c r="AO401" s="594" t="n"/>
      <c r="AP401" s="595" t="n"/>
      <c r="AR401" s="594" t="n"/>
      <c r="AS401" s="595" t="n"/>
    </row>
    <row r="402" ht="15.75" customHeight="1" s="26">
      <c r="B402" s="593" t="n"/>
      <c r="E402" s="594" t="n"/>
      <c r="F402" s="595" t="n"/>
      <c r="H402" s="594" t="n"/>
      <c r="I402" s="595" t="n"/>
      <c r="K402" s="594" t="n"/>
      <c r="L402" s="595" t="n"/>
      <c r="N402" s="594" t="n"/>
      <c r="O402" s="595" t="n"/>
      <c r="Q402" s="594" t="n"/>
      <c r="R402" s="595" t="n"/>
      <c r="T402" s="594" t="n"/>
      <c r="U402" s="595" t="n"/>
      <c r="W402" s="594" t="n"/>
      <c r="X402" s="595" t="n"/>
      <c r="Z402" s="594" t="n"/>
      <c r="AA402" s="595" t="n"/>
      <c r="AC402" s="594" t="n"/>
      <c r="AD402" s="595" t="n"/>
      <c r="AF402" s="594" t="n"/>
      <c r="AG402" s="595" t="n"/>
      <c r="AI402" s="594" t="n"/>
      <c r="AJ402" s="595" t="n"/>
      <c r="AL402" s="594" t="n"/>
      <c r="AM402" s="595" t="n"/>
      <c r="AO402" s="594" t="n"/>
      <c r="AP402" s="595" t="n"/>
      <c r="AR402" s="594" t="n"/>
      <c r="AS402" s="595" t="n"/>
    </row>
    <row r="403" ht="15.75" customHeight="1" s="26">
      <c r="B403" s="593" t="n"/>
      <c r="E403" s="594" t="n"/>
      <c r="F403" s="595" t="n"/>
      <c r="H403" s="594" t="n"/>
      <c r="I403" s="595" t="n"/>
      <c r="K403" s="594" t="n"/>
      <c r="L403" s="595" t="n"/>
      <c r="N403" s="594" t="n"/>
      <c r="O403" s="595" t="n"/>
      <c r="Q403" s="594" t="n"/>
      <c r="R403" s="595" t="n"/>
      <c r="T403" s="594" t="n"/>
      <c r="U403" s="595" t="n"/>
      <c r="W403" s="594" t="n"/>
      <c r="X403" s="595" t="n"/>
      <c r="Z403" s="594" t="n"/>
      <c r="AA403" s="595" t="n"/>
      <c r="AC403" s="594" t="n"/>
      <c r="AD403" s="595" t="n"/>
      <c r="AF403" s="594" t="n"/>
      <c r="AG403" s="595" t="n"/>
      <c r="AI403" s="594" t="n"/>
      <c r="AJ403" s="595" t="n"/>
      <c r="AL403" s="594" t="n"/>
      <c r="AM403" s="595" t="n"/>
      <c r="AO403" s="594" t="n"/>
      <c r="AP403" s="595" t="n"/>
      <c r="AR403" s="594" t="n"/>
      <c r="AS403" s="595" t="n"/>
    </row>
    <row r="404" ht="15.75" customHeight="1" s="26">
      <c r="B404" s="593" t="n"/>
      <c r="E404" s="594" t="n"/>
      <c r="F404" s="595" t="n"/>
      <c r="H404" s="594" t="n"/>
      <c r="I404" s="595" t="n"/>
      <c r="K404" s="594" t="n"/>
      <c r="L404" s="595" t="n"/>
      <c r="N404" s="594" t="n"/>
      <c r="O404" s="595" t="n"/>
      <c r="Q404" s="594" t="n"/>
      <c r="R404" s="595" t="n"/>
      <c r="T404" s="594" t="n"/>
      <c r="U404" s="595" t="n"/>
      <c r="W404" s="594" t="n"/>
      <c r="X404" s="595" t="n"/>
      <c r="Z404" s="594" t="n"/>
      <c r="AA404" s="595" t="n"/>
      <c r="AC404" s="594" t="n"/>
      <c r="AD404" s="595" t="n"/>
      <c r="AF404" s="594" t="n"/>
      <c r="AG404" s="595" t="n"/>
      <c r="AI404" s="594" t="n"/>
      <c r="AJ404" s="595" t="n"/>
      <c r="AL404" s="594" t="n"/>
      <c r="AM404" s="595" t="n"/>
      <c r="AO404" s="594" t="n"/>
      <c r="AP404" s="595" t="n"/>
      <c r="AR404" s="594" t="n"/>
      <c r="AS404" s="595" t="n"/>
    </row>
    <row r="405" ht="15.75" customHeight="1" s="26">
      <c r="B405" s="593" t="n"/>
      <c r="E405" s="594" t="n"/>
      <c r="F405" s="595" t="n"/>
      <c r="H405" s="594" t="n"/>
      <c r="I405" s="595" t="n"/>
      <c r="K405" s="594" t="n"/>
      <c r="L405" s="595" t="n"/>
      <c r="N405" s="594" t="n"/>
      <c r="O405" s="595" t="n"/>
      <c r="Q405" s="594" t="n"/>
      <c r="R405" s="595" t="n"/>
      <c r="T405" s="594" t="n"/>
      <c r="U405" s="595" t="n"/>
      <c r="W405" s="594" t="n"/>
      <c r="X405" s="595" t="n"/>
      <c r="Z405" s="594" t="n"/>
      <c r="AA405" s="595" t="n"/>
      <c r="AC405" s="594" t="n"/>
      <c r="AD405" s="595" t="n"/>
      <c r="AF405" s="594" t="n"/>
      <c r="AG405" s="595" t="n"/>
      <c r="AI405" s="594" t="n"/>
      <c r="AJ405" s="595" t="n"/>
      <c r="AL405" s="594" t="n"/>
      <c r="AM405" s="595" t="n"/>
      <c r="AO405" s="594" t="n"/>
      <c r="AP405" s="595" t="n"/>
      <c r="AR405" s="594" t="n"/>
      <c r="AS405" s="595" t="n"/>
    </row>
    <row r="406" ht="15.75" customHeight="1" s="26">
      <c r="B406" s="593" t="n"/>
      <c r="E406" s="594" t="n"/>
      <c r="F406" s="595" t="n"/>
      <c r="H406" s="594" t="n"/>
      <c r="I406" s="595" t="n"/>
      <c r="K406" s="594" t="n"/>
      <c r="L406" s="595" t="n"/>
      <c r="N406" s="594" t="n"/>
      <c r="O406" s="595" t="n"/>
      <c r="Q406" s="594" t="n"/>
      <c r="R406" s="595" t="n"/>
      <c r="T406" s="594" t="n"/>
      <c r="U406" s="595" t="n"/>
      <c r="W406" s="594" t="n"/>
      <c r="X406" s="595" t="n"/>
      <c r="Z406" s="594" t="n"/>
      <c r="AA406" s="595" t="n"/>
      <c r="AC406" s="594" t="n"/>
      <c r="AD406" s="595" t="n"/>
      <c r="AF406" s="594" t="n"/>
      <c r="AG406" s="595" t="n"/>
      <c r="AI406" s="594" t="n"/>
      <c r="AJ406" s="595" t="n"/>
      <c r="AL406" s="594" t="n"/>
      <c r="AM406" s="595" t="n"/>
      <c r="AO406" s="594" t="n"/>
      <c r="AP406" s="595" t="n"/>
      <c r="AR406" s="594" t="n"/>
      <c r="AS406" s="595" t="n"/>
    </row>
    <row r="407" ht="15.75" customHeight="1" s="26">
      <c r="B407" s="593" t="n"/>
      <c r="E407" s="594" t="n"/>
      <c r="F407" s="595" t="n"/>
      <c r="H407" s="594" t="n"/>
      <c r="I407" s="595" t="n"/>
      <c r="K407" s="594" t="n"/>
      <c r="L407" s="595" t="n"/>
      <c r="N407" s="594" t="n"/>
      <c r="O407" s="595" t="n"/>
      <c r="Q407" s="594" t="n"/>
      <c r="R407" s="595" t="n"/>
      <c r="T407" s="594" t="n"/>
      <c r="U407" s="595" t="n"/>
      <c r="W407" s="594" t="n"/>
      <c r="X407" s="595" t="n"/>
      <c r="Z407" s="594" t="n"/>
      <c r="AA407" s="595" t="n"/>
      <c r="AC407" s="594" t="n"/>
      <c r="AD407" s="595" t="n"/>
      <c r="AF407" s="594" t="n"/>
      <c r="AG407" s="595" t="n"/>
      <c r="AI407" s="594" t="n"/>
      <c r="AJ407" s="595" t="n"/>
      <c r="AL407" s="594" t="n"/>
      <c r="AM407" s="595" t="n"/>
      <c r="AO407" s="594" t="n"/>
      <c r="AP407" s="595" t="n"/>
      <c r="AR407" s="594" t="n"/>
      <c r="AS407" s="595" t="n"/>
    </row>
    <row r="408" ht="15.75" customHeight="1" s="26">
      <c r="B408" s="593" t="n"/>
      <c r="E408" s="594" t="n"/>
      <c r="F408" s="595" t="n"/>
      <c r="H408" s="594" t="n"/>
      <c r="I408" s="595" t="n"/>
      <c r="K408" s="594" t="n"/>
      <c r="L408" s="595" t="n"/>
      <c r="N408" s="594" t="n"/>
      <c r="O408" s="595" t="n"/>
      <c r="Q408" s="594" t="n"/>
      <c r="R408" s="595" t="n"/>
      <c r="T408" s="594" t="n"/>
      <c r="U408" s="595" t="n"/>
      <c r="W408" s="594" t="n"/>
      <c r="X408" s="595" t="n"/>
      <c r="Z408" s="594" t="n"/>
      <c r="AA408" s="595" t="n"/>
      <c r="AC408" s="594" t="n"/>
      <c r="AD408" s="595" t="n"/>
      <c r="AF408" s="594" t="n"/>
      <c r="AG408" s="595" t="n"/>
      <c r="AI408" s="594" t="n"/>
      <c r="AJ408" s="595" t="n"/>
      <c r="AL408" s="594" t="n"/>
      <c r="AM408" s="595" t="n"/>
      <c r="AO408" s="594" t="n"/>
      <c r="AP408" s="595" t="n"/>
      <c r="AR408" s="594" t="n"/>
      <c r="AS408" s="595" t="n"/>
    </row>
    <row r="409" ht="15.75" customHeight="1" s="26">
      <c r="B409" s="593" t="n"/>
      <c r="E409" s="594" t="n"/>
      <c r="F409" s="595" t="n"/>
      <c r="H409" s="594" t="n"/>
      <c r="I409" s="595" t="n"/>
      <c r="K409" s="594" t="n"/>
      <c r="L409" s="595" t="n"/>
      <c r="N409" s="594" t="n"/>
      <c r="O409" s="595" t="n"/>
      <c r="Q409" s="594" t="n"/>
      <c r="R409" s="595" t="n"/>
      <c r="T409" s="594" t="n"/>
      <c r="U409" s="595" t="n"/>
      <c r="W409" s="594" t="n"/>
      <c r="X409" s="595" t="n"/>
      <c r="Z409" s="594" t="n"/>
      <c r="AA409" s="595" t="n"/>
      <c r="AC409" s="594" t="n"/>
      <c r="AD409" s="595" t="n"/>
      <c r="AF409" s="594" t="n"/>
      <c r="AG409" s="595" t="n"/>
      <c r="AI409" s="594" t="n"/>
      <c r="AJ409" s="595" t="n"/>
      <c r="AL409" s="594" t="n"/>
      <c r="AM409" s="595" t="n"/>
      <c r="AO409" s="594" t="n"/>
      <c r="AP409" s="595" t="n"/>
      <c r="AR409" s="594" t="n"/>
      <c r="AS409" s="595" t="n"/>
    </row>
    <row r="410" ht="15.75" customHeight="1" s="26">
      <c r="B410" s="593" t="n"/>
      <c r="E410" s="594" t="n"/>
      <c r="F410" s="595" t="n"/>
      <c r="H410" s="594" t="n"/>
      <c r="I410" s="595" t="n"/>
      <c r="K410" s="594" t="n"/>
      <c r="L410" s="595" t="n"/>
      <c r="N410" s="594" t="n"/>
      <c r="O410" s="595" t="n"/>
      <c r="Q410" s="594" t="n"/>
      <c r="R410" s="595" t="n"/>
      <c r="T410" s="594" t="n"/>
      <c r="U410" s="595" t="n"/>
      <c r="W410" s="594" t="n"/>
      <c r="X410" s="595" t="n"/>
      <c r="Z410" s="594" t="n"/>
      <c r="AA410" s="595" t="n"/>
      <c r="AC410" s="594" t="n"/>
      <c r="AD410" s="595" t="n"/>
      <c r="AF410" s="594" t="n"/>
      <c r="AG410" s="595" t="n"/>
      <c r="AI410" s="594" t="n"/>
      <c r="AJ410" s="595" t="n"/>
      <c r="AL410" s="594" t="n"/>
      <c r="AM410" s="595" t="n"/>
      <c r="AO410" s="594" t="n"/>
      <c r="AP410" s="595" t="n"/>
      <c r="AR410" s="594" t="n"/>
      <c r="AS410" s="595" t="n"/>
    </row>
    <row r="411" ht="15.75" customHeight="1" s="26">
      <c r="B411" s="593" t="n"/>
      <c r="E411" s="594" t="n"/>
      <c r="F411" s="595" t="n"/>
      <c r="H411" s="594" t="n"/>
      <c r="I411" s="595" t="n"/>
      <c r="K411" s="594" t="n"/>
      <c r="L411" s="595" t="n"/>
      <c r="N411" s="594" t="n"/>
      <c r="O411" s="595" t="n"/>
      <c r="Q411" s="594" t="n"/>
      <c r="R411" s="595" t="n"/>
      <c r="T411" s="594" t="n"/>
      <c r="U411" s="595" t="n"/>
      <c r="W411" s="594" t="n"/>
      <c r="X411" s="595" t="n"/>
      <c r="Z411" s="594" t="n"/>
      <c r="AA411" s="595" t="n"/>
      <c r="AC411" s="594" t="n"/>
      <c r="AD411" s="595" t="n"/>
      <c r="AF411" s="594" t="n"/>
      <c r="AG411" s="595" t="n"/>
      <c r="AI411" s="594" t="n"/>
      <c r="AJ411" s="595" t="n"/>
      <c r="AL411" s="594" t="n"/>
      <c r="AM411" s="595" t="n"/>
      <c r="AO411" s="594" t="n"/>
      <c r="AP411" s="595" t="n"/>
      <c r="AR411" s="594" t="n"/>
      <c r="AS411" s="595" t="n"/>
    </row>
    <row r="412" ht="15.75" customHeight="1" s="26">
      <c r="B412" s="593" t="n"/>
      <c r="E412" s="594" t="n"/>
      <c r="F412" s="595" t="n"/>
      <c r="H412" s="594" t="n"/>
      <c r="I412" s="595" t="n"/>
      <c r="K412" s="594" t="n"/>
      <c r="L412" s="595" t="n"/>
      <c r="N412" s="594" t="n"/>
      <c r="O412" s="595" t="n"/>
      <c r="Q412" s="594" t="n"/>
      <c r="R412" s="595" t="n"/>
      <c r="T412" s="594" t="n"/>
      <c r="U412" s="595" t="n"/>
      <c r="W412" s="594" t="n"/>
      <c r="X412" s="595" t="n"/>
      <c r="Z412" s="594" t="n"/>
      <c r="AA412" s="595" t="n"/>
      <c r="AC412" s="594" t="n"/>
      <c r="AD412" s="595" t="n"/>
      <c r="AF412" s="594" t="n"/>
      <c r="AG412" s="595" t="n"/>
      <c r="AI412" s="594" t="n"/>
      <c r="AJ412" s="595" t="n"/>
      <c r="AL412" s="594" t="n"/>
      <c r="AM412" s="595" t="n"/>
      <c r="AO412" s="594" t="n"/>
      <c r="AP412" s="595" t="n"/>
      <c r="AR412" s="594" t="n"/>
      <c r="AS412" s="595" t="n"/>
    </row>
    <row r="413" ht="15.75" customHeight="1" s="26">
      <c r="B413" s="593" t="n"/>
      <c r="E413" s="594" t="n"/>
      <c r="F413" s="595" t="n"/>
      <c r="H413" s="594" t="n"/>
      <c r="I413" s="595" t="n"/>
      <c r="K413" s="594" t="n"/>
      <c r="L413" s="595" t="n"/>
      <c r="N413" s="594" t="n"/>
      <c r="O413" s="595" t="n"/>
      <c r="Q413" s="594" t="n"/>
      <c r="R413" s="595" t="n"/>
      <c r="T413" s="594" t="n"/>
      <c r="U413" s="595" t="n"/>
      <c r="W413" s="594" t="n"/>
      <c r="X413" s="595" t="n"/>
      <c r="Z413" s="594" t="n"/>
      <c r="AA413" s="595" t="n"/>
      <c r="AC413" s="594" t="n"/>
      <c r="AD413" s="595" t="n"/>
      <c r="AF413" s="594" t="n"/>
      <c r="AG413" s="595" t="n"/>
      <c r="AI413" s="594" t="n"/>
      <c r="AJ413" s="595" t="n"/>
      <c r="AL413" s="594" t="n"/>
      <c r="AM413" s="595" t="n"/>
      <c r="AO413" s="594" t="n"/>
      <c r="AP413" s="595" t="n"/>
      <c r="AR413" s="594" t="n"/>
      <c r="AS413" s="595" t="n"/>
    </row>
    <row r="414" ht="15.75" customHeight="1" s="26">
      <c r="B414" s="593" t="n"/>
      <c r="E414" s="594" t="n"/>
      <c r="F414" s="595" t="n"/>
      <c r="H414" s="594" t="n"/>
      <c r="I414" s="595" t="n"/>
      <c r="K414" s="594" t="n"/>
      <c r="L414" s="595" t="n"/>
      <c r="N414" s="594" t="n"/>
      <c r="O414" s="595" t="n"/>
      <c r="Q414" s="594" t="n"/>
      <c r="R414" s="595" t="n"/>
      <c r="T414" s="594" t="n"/>
      <c r="U414" s="595" t="n"/>
      <c r="W414" s="594" t="n"/>
      <c r="X414" s="595" t="n"/>
      <c r="Z414" s="594" t="n"/>
      <c r="AA414" s="595" t="n"/>
      <c r="AC414" s="594" t="n"/>
      <c r="AD414" s="595" t="n"/>
      <c r="AF414" s="594" t="n"/>
      <c r="AG414" s="595" t="n"/>
      <c r="AI414" s="594" t="n"/>
      <c r="AJ414" s="595" t="n"/>
      <c r="AL414" s="594" t="n"/>
      <c r="AM414" s="595" t="n"/>
      <c r="AO414" s="594" t="n"/>
      <c r="AP414" s="595" t="n"/>
      <c r="AR414" s="594" t="n"/>
      <c r="AS414" s="595" t="n"/>
    </row>
    <row r="415" ht="15.75" customHeight="1" s="26">
      <c r="B415" s="593" t="n"/>
      <c r="E415" s="594" t="n"/>
      <c r="F415" s="595" t="n"/>
      <c r="H415" s="594" t="n"/>
      <c r="I415" s="595" t="n"/>
      <c r="K415" s="594" t="n"/>
      <c r="L415" s="595" t="n"/>
      <c r="N415" s="594" t="n"/>
      <c r="O415" s="595" t="n"/>
      <c r="Q415" s="594" t="n"/>
      <c r="R415" s="595" t="n"/>
      <c r="T415" s="594" t="n"/>
      <c r="U415" s="595" t="n"/>
      <c r="W415" s="594" t="n"/>
      <c r="X415" s="595" t="n"/>
      <c r="Z415" s="594" t="n"/>
      <c r="AA415" s="595" t="n"/>
      <c r="AC415" s="594" t="n"/>
      <c r="AD415" s="595" t="n"/>
      <c r="AF415" s="594" t="n"/>
      <c r="AG415" s="595" t="n"/>
      <c r="AI415" s="594" t="n"/>
      <c r="AJ415" s="595" t="n"/>
      <c r="AL415" s="594" t="n"/>
      <c r="AM415" s="595" t="n"/>
      <c r="AO415" s="594" t="n"/>
      <c r="AP415" s="595" t="n"/>
      <c r="AR415" s="594" t="n"/>
      <c r="AS415" s="595" t="n"/>
    </row>
    <row r="416" ht="15.75" customHeight="1" s="26">
      <c r="B416" s="593" t="n"/>
      <c r="E416" s="594" t="n"/>
      <c r="F416" s="595" t="n"/>
      <c r="H416" s="594" t="n"/>
      <c r="I416" s="595" t="n"/>
      <c r="K416" s="594" t="n"/>
      <c r="L416" s="595" t="n"/>
      <c r="N416" s="594" t="n"/>
      <c r="O416" s="595" t="n"/>
      <c r="Q416" s="594" t="n"/>
      <c r="R416" s="595" t="n"/>
      <c r="T416" s="594" t="n"/>
      <c r="U416" s="595" t="n"/>
      <c r="W416" s="594" t="n"/>
      <c r="X416" s="595" t="n"/>
      <c r="Z416" s="594" t="n"/>
      <c r="AA416" s="595" t="n"/>
      <c r="AC416" s="594" t="n"/>
      <c r="AD416" s="595" t="n"/>
      <c r="AF416" s="594" t="n"/>
      <c r="AG416" s="595" t="n"/>
      <c r="AI416" s="594" t="n"/>
      <c r="AJ416" s="595" t="n"/>
      <c r="AL416" s="594" t="n"/>
      <c r="AM416" s="595" t="n"/>
      <c r="AO416" s="594" t="n"/>
      <c r="AP416" s="595" t="n"/>
      <c r="AR416" s="594" t="n"/>
      <c r="AS416" s="595" t="n"/>
    </row>
    <row r="417" ht="15.75" customHeight="1" s="26">
      <c r="B417" s="593" t="n"/>
      <c r="E417" s="594" t="n"/>
      <c r="F417" s="595" t="n"/>
      <c r="H417" s="594" t="n"/>
      <c r="I417" s="595" t="n"/>
      <c r="K417" s="594" t="n"/>
      <c r="L417" s="595" t="n"/>
      <c r="N417" s="594" t="n"/>
      <c r="O417" s="595" t="n"/>
      <c r="Q417" s="594" t="n"/>
      <c r="R417" s="595" t="n"/>
      <c r="T417" s="594" t="n"/>
      <c r="U417" s="595" t="n"/>
      <c r="W417" s="594" t="n"/>
      <c r="X417" s="595" t="n"/>
      <c r="Z417" s="594" t="n"/>
      <c r="AA417" s="595" t="n"/>
      <c r="AC417" s="594" t="n"/>
      <c r="AD417" s="595" t="n"/>
      <c r="AF417" s="594" t="n"/>
      <c r="AG417" s="595" t="n"/>
      <c r="AI417" s="594" t="n"/>
      <c r="AJ417" s="595" t="n"/>
      <c r="AL417" s="594" t="n"/>
      <c r="AM417" s="595" t="n"/>
      <c r="AO417" s="594" t="n"/>
      <c r="AP417" s="595" t="n"/>
      <c r="AR417" s="594" t="n"/>
      <c r="AS417" s="595" t="n"/>
    </row>
    <row r="418" ht="15.75" customHeight="1" s="26">
      <c r="B418" s="593" t="n"/>
      <c r="E418" s="594" t="n"/>
      <c r="F418" s="595" t="n"/>
      <c r="H418" s="594" t="n"/>
      <c r="I418" s="595" t="n"/>
      <c r="K418" s="594" t="n"/>
      <c r="L418" s="595" t="n"/>
      <c r="N418" s="594" t="n"/>
      <c r="O418" s="595" t="n"/>
      <c r="Q418" s="594" t="n"/>
      <c r="R418" s="595" t="n"/>
      <c r="T418" s="594" t="n"/>
      <c r="U418" s="595" t="n"/>
      <c r="W418" s="594" t="n"/>
      <c r="X418" s="595" t="n"/>
      <c r="Z418" s="594" t="n"/>
      <c r="AA418" s="595" t="n"/>
      <c r="AC418" s="594" t="n"/>
      <c r="AD418" s="595" t="n"/>
      <c r="AF418" s="594" t="n"/>
      <c r="AG418" s="595" t="n"/>
      <c r="AI418" s="594" t="n"/>
      <c r="AJ418" s="595" t="n"/>
      <c r="AL418" s="594" t="n"/>
      <c r="AM418" s="595" t="n"/>
      <c r="AO418" s="594" t="n"/>
      <c r="AP418" s="595" t="n"/>
      <c r="AR418" s="594" t="n"/>
      <c r="AS418" s="595" t="n"/>
    </row>
    <row r="419" ht="15.75" customHeight="1" s="26">
      <c r="B419" s="593" t="n"/>
      <c r="E419" s="594" t="n"/>
      <c r="F419" s="595" t="n"/>
      <c r="H419" s="594" t="n"/>
      <c r="I419" s="595" t="n"/>
      <c r="K419" s="594" t="n"/>
      <c r="L419" s="595" t="n"/>
      <c r="N419" s="594" t="n"/>
      <c r="O419" s="595" t="n"/>
      <c r="Q419" s="594" t="n"/>
      <c r="R419" s="595" t="n"/>
      <c r="T419" s="594" t="n"/>
      <c r="U419" s="595" t="n"/>
      <c r="W419" s="594" t="n"/>
      <c r="X419" s="595" t="n"/>
      <c r="Z419" s="594" t="n"/>
      <c r="AA419" s="595" t="n"/>
      <c r="AC419" s="594" t="n"/>
      <c r="AD419" s="595" t="n"/>
      <c r="AF419" s="594" t="n"/>
      <c r="AG419" s="595" t="n"/>
      <c r="AI419" s="594" t="n"/>
      <c r="AJ419" s="595" t="n"/>
      <c r="AL419" s="594" t="n"/>
      <c r="AM419" s="595" t="n"/>
      <c r="AO419" s="594" t="n"/>
      <c r="AP419" s="595" t="n"/>
      <c r="AR419" s="594" t="n"/>
      <c r="AS419" s="595" t="n"/>
    </row>
    <row r="420" ht="15.75" customHeight="1" s="26">
      <c r="B420" s="593" t="n"/>
      <c r="E420" s="594" t="n"/>
      <c r="F420" s="595" t="n"/>
      <c r="H420" s="594" t="n"/>
      <c r="I420" s="595" t="n"/>
      <c r="K420" s="594" t="n"/>
      <c r="L420" s="595" t="n"/>
      <c r="N420" s="594" t="n"/>
      <c r="O420" s="595" t="n"/>
      <c r="Q420" s="594" t="n"/>
      <c r="R420" s="595" t="n"/>
      <c r="T420" s="594" t="n"/>
      <c r="U420" s="595" t="n"/>
      <c r="W420" s="594" t="n"/>
      <c r="X420" s="595" t="n"/>
      <c r="Z420" s="594" t="n"/>
      <c r="AA420" s="595" t="n"/>
      <c r="AC420" s="594" t="n"/>
      <c r="AD420" s="595" t="n"/>
      <c r="AF420" s="594" t="n"/>
      <c r="AG420" s="595" t="n"/>
      <c r="AI420" s="594" t="n"/>
      <c r="AJ420" s="595" t="n"/>
      <c r="AL420" s="594" t="n"/>
      <c r="AM420" s="595" t="n"/>
      <c r="AO420" s="594" t="n"/>
      <c r="AP420" s="595" t="n"/>
      <c r="AR420" s="594" t="n"/>
      <c r="AS420" s="595" t="n"/>
    </row>
    <row r="421" ht="15.75" customHeight="1" s="26">
      <c r="B421" s="593" t="n"/>
      <c r="E421" s="594" t="n"/>
      <c r="F421" s="595" t="n"/>
      <c r="H421" s="594" t="n"/>
      <c r="I421" s="595" t="n"/>
      <c r="K421" s="594" t="n"/>
      <c r="L421" s="595" t="n"/>
      <c r="N421" s="594" t="n"/>
      <c r="O421" s="595" t="n"/>
      <c r="Q421" s="594" t="n"/>
      <c r="R421" s="595" t="n"/>
      <c r="T421" s="594" t="n"/>
      <c r="U421" s="595" t="n"/>
      <c r="W421" s="594" t="n"/>
      <c r="X421" s="595" t="n"/>
      <c r="Z421" s="594" t="n"/>
      <c r="AA421" s="595" t="n"/>
      <c r="AC421" s="594" t="n"/>
      <c r="AD421" s="595" t="n"/>
      <c r="AF421" s="594" t="n"/>
      <c r="AG421" s="595" t="n"/>
      <c r="AI421" s="594" t="n"/>
      <c r="AJ421" s="595" t="n"/>
      <c r="AL421" s="594" t="n"/>
      <c r="AM421" s="595" t="n"/>
      <c r="AO421" s="594" t="n"/>
      <c r="AP421" s="595" t="n"/>
      <c r="AR421" s="594" t="n"/>
      <c r="AS421" s="595" t="n"/>
    </row>
    <row r="422" ht="15.75" customHeight="1" s="26">
      <c r="B422" s="593" t="n"/>
      <c r="E422" s="594" t="n"/>
      <c r="F422" s="595" t="n"/>
      <c r="H422" s="594" t="n"/>
      <c r="I422" s="595" t="n"/>
      <c r="K422" s="594" t="n"/>
      <c r="L422" s="595" t="n"/>
      <c r="N422" s="594" t="n"/>
      <c r="O422" s="595" t="n"/>
      <c r="Q422" s="594" t="n"/>
      <c r="R422" s="595" t="n"/>
      <c r="T422" s="594" t="n"/>
      <c r="U422" s="595" t="n"/>
      <c r="W422" s="594" t="n"/>
      <c r="X422" s="595" t="n"/>
      <c r="Z422" s="594" t="n"/>
      <c r="AA422" s="595" t="n"/>
      <c r="AC422" s="594" t="n"/>
      <c r="AD422" s="595" t="n"/>
      <c r="AF422" s="594" t="n"/>
      <c r="AG422" s="595" t="n"/>
      <c r="AI422" s="594" t="n"/>
      <c r="AJ422" s="595" t="n"/>
      <c r="AL422" s="594" t="n"/>
      <c r="AM422" s="595" t="n"/>
      <c r="AO422" s="594" t="n"/>
      <c r="AP422" s="595" t="n"/>
      <c r="AR422" s="594" t="n"/>
      <c r="AS422" s="595" t="n"/>
    </row>
    <row r="423" ht="15.75" customHeight="1" s="26">
      <c r="B423" s="593" t="n"/>
      <c r="E423" s="594" t="n"/>
      <c r="F423" s="595" t="n"/>
      <c r="H423" s="594" t="n"/>
      <c r="I423" s="595" t="n"/>
      <c r="K423" s="594" t="n"/>
      <c r="L423" s="595" t="n"/>
      <c r="N423" s="594" t="n"/>
      <c r="O423" s="595" t="n"/>
      <c r="Q423" s="594" t="n"/>
      <c r="R423" s="595" t="n"/>
      <c r="T423" s="594" t="n"/>
      <c r="U423" s="595" t="n"/>
      <c r="W423" s="594" t="n"/>
      <c r="X423" s="595" t="n"/>
      <c r="Z423" s="594" t="n"/>
      <c r="AA423" s="595" t="n"/>
      <c r="AC423" s="594" t="n"/>
      <c r="AD423" s="595" t="n"/>
      <c r="AF423" s="594" t="n"/>
      <c r="AG423" s="595" t="n"/>
      <c r="AI423" s="594" t="n"/>
      <c r="AJ423" s="595" t="n"/>
      <c r="AL423" s="594" t="n"/>
      <c r="AM423" s="595" t="n"/>
      <c r="AO423" s="594" t="n"/>
      <c r="AP423" s="595" t="n"/>
      <c r="AR423" s="594" t="n"/>
      <c r="AS423" s="595" t="n"/>
    </row>
    <row r="424" ht="15.75" customHeight="1" s="26">
      <c r="B424" s="593" t="n"/>
      <c r="E424" s="594" t="n"/>
      <c r="F424" s="595" t="n"/>
      <c r="H424" s="594" t="n"/>
      <c r="I424" s="595" t="n"/>
      <c r="K424" s="594" t="n"/>
      <c r="L424" s="595" t="n"/>
      <c r="N424" s="594" t="n"/>
      <c r="O424" s="595" t="n"/>
      <c r="Q424" s="594" t="n"/>
      <c r="R424" s="595" t="n"/>
      <c r="T424" s="594" t="n"/>
      <c r="U424" s="595" t="n"/>
      <c r="W424" s="594" t="n"/>
      <c r="X424" s="595" t="n"/>
      <c r="Z424" s="594" t="n"/>
      <c r="AA424" s="595" t="n"/>
      <c r="AC424" s="594" t="n"/>
      <c r="AD424" s="595" t="n"/>
      <c r="AF424" s="594" t="n"/>
      <c r="AG424" s="595" t="n"/>
      <c r="AI424" s="594" t="n"/>
      <c r="AJ424" s="595" t="n"/>
      <c r="AL424" s="594" t="n"/>
      <c r="AM424" s="595" t="n"/>
      <c r="AO424" s="594" t="n"/>
      <c r="AP424" s="595" t="n"/>
      <c r="AR424" s="594" t="n"/>
      <c r="AS424" s="595" t="n"/>
    </row>
    <row r="425" ht="15.75" customHeight="1" s="26">
      <c r="B425" s="593" t="n"/>
      <c r="E425" s="594" t="n"/>
      <c r="F425" s="595" t="n"/>
      <c r="H425" s="594" t="n"/>
      <c r="I425" s="595" t="n"/>
      <c r="K425" s="594" t="n"/>
      <c r="L425" s="595" t="n"/>
      <c r="N425" s="594" t="n"/>
      <c r="O425" s="595" t="n"/>
      <c r="Q425" s="594" t="n"/>
      <c r="R425" s="595" t="n"/>
      <c r="T425" s="594" t="n"/>
      <c r="U425" s="595" t="n"/>
      <c r="W425" s="594" t="n"/>
      <c r="X425" s="595" t="n"/>
      <c r="Z425" s="594" t="n"/>
      <c r="AA425" s="595" t="n"/>
      <c r="AC425" s="594" t="n"/>
      <c r="AD425" s="595" t="n"/>
      <c r="AF425" s="594" t="n"/>
      <c r="AG425" s="595" t="n"/>
      <c r="AI425" s="594" t="n"/>
      <c r="AJ425" s="595" t="n"/>
      <c r="AL425" s="594" t="n"/>
      <c r="AM425" s="595" t="n"/>
      <c r="AO425" s="594" t="n"/>
      <c r="AP425" s="595" t="n"/>
      <c r="AR425" s="594" t="n"/>
      <c r="AS425" s="595" t="n"/>
    </row>
    <row r="426" ht="15.75" customHeight="1" s="26">
      <c r="B426" s="593" t="n"/>
      <c r="E426" s="594" t="n"/>
      <c r="F426" s="595" t="n"/>
      <c r="H426" s="594" t="n"/>
      <c r="I426" s="595" t="n"/>
      <c r="K426" s="594" t="n"/>
      <c r="L426" s="595" t="n"/>
      <c r="N426" s="594" t="n"/>
      <c r="O426" s="595" t="n"/>
      <c r="Q426" s="594" t="n"/>
      <c r="R426" s="595" t="n"/>
      <c r="T426" s="594" t="n"/>
      <c r="U426" s="595" t="n"/>
      <c r="W426" s="594" t="n"/>
      <c r="X426" s="595" t="n"/>
      <c r="Z426" s="594" t="n"/>
      <c r="AA426" s="595" t="n"/>
      <c r="AC426" s="594" t="n"/>
      <c r="AD426" s="595" t="n"/>
      <c r="AF426" s="594" t="n"/>
      <c r="AG426" s="595" t="n"/>
      <c r="AI426" s="594" t="n"/>
      <c r="AJ426" s="595" t="n"/>
      <c r="AL426" s="594" t="n"/>
      <c r="AM426" s="595" t="n"/>
      <c r="AO426" s="594" t="n"/>
      <c r="AP426" s="595" t="n"/>
      <c r="AR426" s="594" t="n"/>
      <c r="AS426" s="595" t="n"/>
    </row>
    <row r="427" ht="15.75" customHeight="1" s="26">
      <c r="B427" s="593" t="n"/>
      <c r="E427" s="594" t="n"/>
      <c r="F427" s="595" t="n"/>
      <c r="H427" s="594" t="n"/>
      <c r="I427" s="595" t="n"/>
      <c r="K427" s="594" t="n"/>
      <c r="L427" s="595" t="n"/>
      <c r="N427" s="594" t="n"/>
      <c r="O427" s="595" t="n"/>
      <c r="Q427" s="594" t="n"/>
      <c r="R427" s="595" t="n"/>
      <c r="T427" s="594" t="n"/>
      <c r="U427" s="595" t="n"/>
      <c r="W427" s="594" t="n"/>
      <c r="X427" s="595" t="n"/>
      <c r="Z427" s="594" t="n"/>
      <c r="AA427" s="595" t="n"/>
      <c r="AC427" s="594" t="n"/>
      <c r="AD427" s="595" t="n"/>
      <c r="AF427" s="594" t="n"/>
      <c r="AG427" s="595" t="n"/>
      <c r="AI427" s="594" t="n"/>
      <c r="AJ427" s="595" t="n"/>
      <c r="AL427" s="594" t="n"/>
      <c r="AM427" s="595" t="n"/>
      <c r="AO427" s="594" t="n"/>
      <c r="AP427" s="595" t="n"/>
      <c r="AR427" s="594" t="n"/>
      <c r="AS427" s="595" t="n"/>
    </row>
    <row r="428" ht="15.75" customHeight="1" s="26">
      <c r="B428" s="593" t="n"/>
      <c r="E428" s="594" t="n"/>
      <c r="F428" s="595" t="n"/>
      <c r="H428" s="594" t="n"/>
      <c r="I428" s="595" t="n"/>
      <c r="K428" s="594" t="n"/>
      <c r="L428" s="595" t="n"/>
      <c r="N428" s="594" t="n"/>
      <c r="O428" s="595" t="n"/>
      <c r="Q428" s="594" t="n"/>
      <c r="R428" s="595" t="n"/>
      <c r="T428" s="594" t="n"/>
      <c r="U428" s="595" t="n"/>
      <c r="W428" s="594" t="n"/>
      <c r="X428" s="595" t="n"/>
      <c r="Z428" s="594" t="n"/>
      <c r="AA428" s="595" t="n"/>
      <c r="AC428" s="594" t="n"/>
      <c r="AD428" s="595" t="n"/>
      <c r="AF428" s="594" t="n"/>
      <c r="AG428" s="595" t="n"/>
      <c r="AI428" s="594" t="n"/>
      <c r="AJ428" s="595" t="n"/>
      <c r="AL428" s="594" t="n"/>
      <c r="AM428" s="595" t="n"/>
      <c r="AO428" s="594" t="n"/>
      <c r="AP428" s="595" t="n"/>
      <c r="AR428" s="594" t="n"/>
      <c r="AS428" s="595" t="n"/>
    </row>
    <row r="429" ht="15.75" customHeight="1" s="26">
      <c r="B429" s="593" t="n"/>
      <c r="E429" s="594" t="n"/>
      <c r="F429" s="595" t="n"/>
      <c r="H429" s="594" t="n"/>
      <c r="I429" s="595" t="n"/>
      <c r="K429" s="594" t="n"/>
      <c r="L429" s="595" t="n"/>
      <c r="N429" s="594" t="n"/>
      <c r="O429" s="595" t="n"/>
      <c r="Q429" s="594" t="n"/>
      <c r="R429" s="595" t="n"/>
      <c r="T429" s="594" t="n"/>
      <c r="U429" s="595" t="n"/>
      <c r="W429" s="594" t="n"/>
      <c r="X429" s="595" t="n"/>
      <c r="Z429" s="594" t="n"/>
      <c r="AA429" s="595" t="n"/>
      <c r="AC429" s="594" t="n"/>
      <c r="AD429" s="595" t="n"/>
      <c r="AF429" s="594" t="n"/>
      <c r="AG429" s="595" t="n"/>
      <c r="AI429" s="594" t="n"/>
      <c r="AJ429" s="595" t="n"/>
      <c r="AL429" s="594" t="n"/>
      <c r="AM429" s="595" t="n"/>
      <c r="AO429" s="594" t="n"/>
      <c r="AP429" s="595" t="n"/>
      <c r="AR429" s="594" t="n"/>
      <c r="AS429" s="595" t="n"/>
    </row>
    <row r="430" ht="15.75" customHeight="1" s="26">
      <c r="B430" s="593" t="n"/>
      <c r="E430" s="594" t="n"/>
      <c r="F430" s="595" t="n"/>
      <c r="H430" s="594" t="n"/>
      <c r="I430" s="595" t="n"/>
      <c r="K430" s="594" t="n"/>
      <c r="L430" s="595" t="n"/>
      <c r="N430" s="594" t="n"/>
      <c r="O430" s="595" t="n"/>
      <c r="Q430" s="594" t="n"/>
      <c r="R430" s="595" t="n"/>
      <c r="T430" s="594" t="n"/>
      <c r="U430" s="595" t="n"/>
      <c r="W430" s="594" t="n"/>
      <c r="X430" s="595" t="n"/>
      <c r="Z430" s="594" t="n"/>
      <c r="AA430" s="595" t="n"/>
      <c r="AC430" s="594" t="n"/>
      <c r="AD430" s="595" t="n"/>
      <c r="AF430" s="594" t="n"/>
      <c r="AG430" s="595" t="n"/>
      <c r="AI430" s="594" t="n"/>
      <c r="AJ430" s="595" t="n"/>
      <c r="AL430" s="594" t="n"/>
      <c r="AM430" s="595" t="n"/>
      <c r="AO430" s="594" t="n"/>
      <c r="AP430" s="595" t="n"/>
      <c r="AR430" s="594" t="n"/>
      <c r="AS430" s="595" t="n"/>
    </row>
    <row r="431" ht="15.75" customHeight="1" s="26">
      <c r="B431" s="593" t="n"/>
      <c r="E431" s="594" t="n"/>
      <c r="F431" s="595" t="n"/>
      <c r="H431" s="594" t="n"/>
      <c r="I431" s="595" t="n"/>
      <c r="K431" s="594" t="n"/>
      <c r="L431" s="595" t="n"/>
      <c r="N431" s="594" t="n"/>
      <c r="O431" s="595" t="n"/>
      <c r="Q431" s="594" t="n"/>
      <c r="R431" s="595" t="n"/>
      <c r="T431" s="594" t="n"/>
      <c r="U431" s="595" t="n"/>
      <c r="W431" s="594" t="n"/>
      <c r="X431" s="595" t="n"/>
      <c r="Z431" s="594" t="n"/>
      <c r="AA431" s="595" t="n"/>
      <c r="AC431" s="594" t="n"/>
      <c r="AD431" s="595" t="n"/>
      <c r="AF431" s="594" t="n"/>
      <c r="AG431" s="595" t="n"/>
      <c r="AI431" s="594" t="n"/>
      <c r="AJ431" s="595" t="n"/>
      <c r="AL431" s="594" t="n"/>
      <c r="AM431" s="595" t="n"/>
      <c r="AO431" s="594" t="n"/>
      <c r="AP431" s="595" t="n"/>
      <c r="AR431" s="594" t="n"/>
      <c r="AS431" s="595" t="n"/>
    </row>
    <row r="432" ht="15.75" customHeight="1" s="26">
      <c r="B432" s="593" t="n"/>
      <c r="E432" s="594" t="n"/>
      <c r="F432" s="595" t="n"/>
      <c r="H432" s="594" t="n"/>
      <c r="I432" s="595" t="n"/>
      <c r="K432" s="594" t="n"/>
      <c r="L432" s="595" t="n"/>
      <c r="N432" s="594" t="n"/>
      <c r="O432" s="595" t="n"/>
      <c r="Q432" s="594" t="n"/>
      <c r="R432" s="595" t="n"/>
      <c r="T432" s="594" t="n"/>
      <c r="U432" s="595" t="n"/>
      <c r="W432" s="594" t="n"/>
      <c r="X432" s="595" t="n"/>
      <c r="Z432" s="594" t="n"/>
      <c r="AA432" s="595" t="n"/>
      <c r="AC432" s="594" t="n"/>
      <c r="AD432" s="595" t="n"/>
      <c r="AF432" s="594" t="n"/>
      <c r="AG432" s="595" t="n"/>
      <c r="AI432" s="594" t="n"/>
      <c r="AJ432" s="595" t="n"/>
      <c r="AL432" s="594" t="n"/>
      <c r="AM432" s="595" t="n"/>
      <c r="AO432" s="594" t="n"/>
      <c r="AP432" s="595" t="n"/>
      <c r="AR432" s="594" t="n"/>
      <c r="AS432" s="595" t="n"/>
    </row>
    <row r="433" ht="15.75" customHeight="1" s="26">
      <c r="B433" s="593" t="n"/>
      <c r="E433" s="594" t="n"/>
      <c r="F433" s="595" t="n"/>
      <c r="H433" s="594" t="n"/>
      <c r="I433" s="595" t="n"/>
      <c r="K433" s="594" t="n"/>
      <c r="L433" s="595" t="n"/>
      <c r="N433" s="594" t="n"/>
      <c r="O433" s="595" t="n"/>
      <c r="Q433" s="594" t="n"/>
      <c r="R433" s="595" t="n"/>
      <c r="T433" s="594" t="n"/>
      <c r="U433" s="595" t="n"/>
      <c r="W433" s="594" t="n"/>
      <c r="X433" s="595" t="n"/>
      <c r="Z433" s="594" t="n"/>
      <c r="AA433" s="595" t="n"/>
      <c r="AC433" s="594" t="n"/>
      <c r="AD433" s="595" t="n"/>
      <c r="AF433" s="594" t="n"/>
      <c r="AG433" s="595" t="n"/>
      <c r="AI433" s="594" t="n"/>
      <c r="AJ433" s="595" t="n"/>
      <c r="AL433" s="594" t="n"/>
      <c r="AM433" s="595" t="n"/>
      <c r="AO433" s="594" t="n"/>
      <c r="AP433" s="595" t="n"/>
      <c r="AR433" s="594" t="n"/>
      <c r="AS433" s="595" t="n"/>
    </row>
    <row r="434" ht="15.75" customHeight="1" s="26">
      <c r="B434" s="593" t="n"/>
      <c r="E434" s="594" t="n"/>
      <c r="F434" s="595" t="n"/>
      <c r="H434" s="594" t="n"/>
      <c r="I434" s="595" t="n"/>
      <c r="K434" s="594" t="n"/>
      <c r="L434" s="595" t="n"/>
      <c r="N434" s="594" t="n"/>
      <c r="O434" s="595" t="n"/>
      <c r="Q434" s="594" t="n"/>
      <c r="R434" s="595" t="n"/>
      <c r="T434" s="594" t="n"/>
      <c r="U434" s="595" t="n"/>
      <c r="W434" s="594" t="n"/>
      <c r="X434" s="595" t="n"/>
      <c r="Z434" s="594" t="n"/>
      <c r="AA434" s="595" t="n"/>
      <c r="AC434" s="594" t="n"/>
      <c r="AD434" s="595" t="n"/>
      <c r="AF434" s="594" t="n"/>
      <c r="AG434" s="595" t="n"/>
      <c r="AI434" s="594" t="n"/>
      <c r="AJ434" s="595" t="n"/>
      <c r="AL434" s="594" t="n"/>
      <c r="AM434" s="595" t="n"/>
      <c r="AO434" s="594" t="n"/>
      <c r="AP434" s="595" t="n"/>
      <c r="AR434" s="594" t="n"/>
      <c r="AS434" s="595" t="n"/>
    </row>
    <row r="435" ht="15.75" customHeight="1" s="26">
      <c r="B435" s="593" t="n"/>
      <c r="E435" s="594" t="n"/>
      <c r="F435" s="595" t="n"/>
      <c r="H435" s="594" t="n"/>
      <c r="I435" s="595" t="n"/>
      <c r="K435" s="594" t="n"/>
      <c r="L435" s="595" t="n"/>
      <c r="N435" s="594" t="n"/>
      <c r="O435" s="595" t="n"/>
      <c r="Q435" s="594" t="n"/>
      <c r="R435" s="595" t="n"/>
      <c r="T435" s="594" t="n"/>
      <c r="U435" s="595" t="n"/>
      <c r="W435" s="594" t="n"/>
      <c r="X435" s="595" t="n"/>
      <c r="Z435" s="594" t="n"/>
      <c r="AA435" s="595" t="n"/>
      <c r="AC435" s="594" t="n"/>
      <c r="AD435" s="595" t="n"/>
      <c r="AF435" s="594" t="n"/>
      <c r="AG435" s="595" t="n"/>
      <c r="AI435" s="594" t="n"/>
      <c r="AJ435" s="595" t="n"/>
      <c r="AL435" s="594" t="n"/>
      <c r="AM435" s="595" t="n"/>
      <c r="AO435" s="594" t="n"/>
      <c r="AP435" s="595" t="n"/>
      <c r="AR435" s="594" t="n"/>
      <c r="AS435" s="595" t="n"/>
    </row>
    <row r="436" ht="15.75" customHeight="1" s="26">
      <c r="B436" s="593" t="n"/>
      <c r="E436" s="594" t="n"/>
      <c r="F436" s="595" t="n"/>
      <c r="H436" s="594" t="n"/>
      <c r="I436" s="595" t="n"/>
      <c r="K436" s="594" t="n"/>
      <c r="L436" s="595" t="n"/>
      <c r="N436" s="594" t="n"/>
      <c r="O436" s="595" t="n"/>
      <c r="Q436" s="594" t="n"/>
      <c r="R436" s="595" t="n"/>
      <c r="T436" s="594" t="n"/>
      <c r="U436" s="595" t="n"/>
      <c r="W436" s="594" t="n"/>
      <c r="X436" s="595" t="n"/>
      <c r="Z436" s="594" t="n"/>
      <c r="AA436" s="595" t="n"/>
      <c r="AC436" s="594" t="n"/>
      <c r="AD436" s="595" t="n"/>
      <c r="AF436" s="594" t="n"/>
      <c r="AG436" s="595" t="n"/>
      <c r="AI436" s="594" t="n"/>
      <c r="AJ436" s="595" t="n"/>
      <c r="AL436" s="594" t="n"/>
      <c r="AM436" s="595" t="n"/>
      <c r="AO436" s="594" t="n"/>
      <c r="AP436" s="595" t="n"/>
      <c r="AR436" s="594" t="n"/>
      <c r="AS436" s="595" t="n"/>
    </row>
    <row r="437" ht="15.75" customHeight="1" s="26">
      <c r="B437" s="593" t="n"/>
      <c r="E437" s="594" t="n"/>
      <c r="F437" s="595" t="n"/>
      <c r="H437" s="594" t="n"/>
      <c r="I437" s="595" t="n"/>
      <c r="K437" s="594" t="n"/>
      <c r="L437" s="595" t="n"/>
      <c r="N437" s="594" t="n"/>
      <c r="O437" s="595" t="n"/>
      <c r="Q437" s="594" t="n"/>
      <c r="R437" s="595" t="n"/>
      <c r="T437" s="594" t="n"/>
      <c r="U437" s="595" t="n"/>
      <c r="W437" s="594" t="n"/>
      <c r="X437" s="595" t="n"/>
      <c r="Z437" s="594" t="n"/>
      <c r="AA437" s="595" t="n"/>
      <c r="AC437" s="594" t="n"/>
      <c r="AD437" s="595" t="n"/>
      <c r="AF437" s="594" t="n"/>
      <c r="AG437" s="595" t="n"/>
      <c r="AI437" s="594" t="n"/>
      <c r="AJ437" s="595" t="n"/>
      <c r="AL437" s="594" t="n"/>
      <c r="AM437" s="595" t="n"/>
      <c r="AO437" s="594" t="n"/>
      <c r="AP437" s="595" t="n"/>
      <c r="AR437" s="594" t="n"/>
      <c r="AS437" s="595" t="n"/>
    </row>
    <row r="438" ht="15.75" customHeight="1" s="26">
      <c r="B438" s="593" t="n"/>
      <c r="E438" s="594" t="n"/>
      <c r="F438" s="595" t="n"/>
      <c r="H438" s="594" t="n"/>
      <c r="I438" s="595" t="n"/>
      <c r="K438" s="594" t="n"/>
      <c r="L438" s="595" t="n"/>
      <c r="N438" s="594" t="n"/>
      <c r="O438" s="595" t="n"/>
      <c r="Q438" s="594" t="n"/>
      <c r="R438" s="595" t="n"/>
      <c r="T438" s="594" t="n"/>
      <c r="U438" s="595" t="n"/>
      <c r="W438" s="594" t="n"/>
      <c r="X438" s="595" t="n"/>
      <c r="Z438" s="594" t="n"/>
      <c r="AA438" s="595" t="n"/>
      <c r="AC438" s="594" t="n"/>
      <c r="AD438" s="595" t="n"/>
      <c r="AF438" s="594" t="n"/>
      <c r="AG438" s="595" t="n"/>
      <c r="AI438" s="594" t="n"/>
      <c r="AJ438" s="595" t="n"/>
      <c r="AL438" s="594" t="n"/>
      <c r="AM438" s="595" t="n"/>
      <c r="AO438" s="594" t="n"/>
      <c r="AP438" s="595" t="n"/>
      <c r="AR438" s="594" t="n"/>
      <c r="AS438" s="595" t="n"/>
    </row>
    <row r="439" ht="15.75" customHeight="1" s="26">
      <c r="B439" s="593" t="n"/>
      <c r="E439" s="594" t="n"/>
      <c r="F439" s="595" t="n"/>
      <c r="H439" s="594" t="n"/>
      <c r="I439" s="595" t="n"/>
      <c r="K439" s="594" t="n"/>
      <c r="L439" s="595" t="n"/>
      <c r="N439" s="594" t="n"/>
      <c r="O439" s="595" t="n"/>
      <c r="Q439" s="594" t="n"/>
      <c r="R439" s="595" t="n"/>
      <c r="T439" s="594" t="n"/>
      <c r="U439" s="595" t="n"/>
      <c r="W439" s="594" t="n"/>
      <c r="X439" s="595" t="n"/>
      <c r="Z439" s="594" t="n"/>
      <c r="AA439" s="595" t="n"/>
      <c r="AC439" s="594" t="n"/>
      <c r="AD439" s="595" t="n"/>
      <c r="AF439" s="594" t="n"/>
      <c r="AG439" s="595" t="n"/>
      <c r="AI439" s="594" t="n"/>
      <c r="AJ439" s="595" t="n"/>
      <c r="AL439" s="594" t="n"/>
      <c r="AM439" s="595" t="n"/>
      <c r="AO439" s="594" t="n"/>
      <c r="AP439" s="595" t="n"/>
      <c r="AR439" s="594" t="n"/>
      <c r="AS439" s="595" t="n"/>
    </row>
    <row r="440" ht="15.75" customHeight="1" s="26">
      <c r="B440" s="593" t="n"/>
      <c r="E440" s="594" t="n"/>
      <c r="F440" s="595" t="n"/>
      <c r="H440" s="594" t="n"/>
      <c r="I440" s="595" t="n"/>
      <c r="K440" s="594" t="n"/>
      <c r="L440" s="595" t="n"/>
      <c r="N440" s="594" t="n"/>
      <c r="O440" s="595" t="n"/>
      <c r="Q440" s="594" t="n"/>
      <c r="R440" s="595" t="n"/>
      <c r="T440" s="594" t="n"/>
      <c r="U440" s="595" t="n"/>
      <c r="W440" s="594" t="n"/>
      <c r="X440" s="595" t="n"/>
      <c r="Z440" s="594" t="n"/>
      <c r="AA440" s="595" t="n"/>
      <c r="AC440" s="594" t="n"/>
      <c r="AD440" s="595" t="n"/>
      <c r="AF440" s="594" t="n"/>
      <c r="AG440" s="595" t="n"/>
      <c r="AI440" s="594" t="n"/>
      <c r="AJ440" s="595" t="n"/>
      <c r="AL440" s="594" t="n"/>
      <c r="AM440" s="595" t="n"/>
      <c r="AO440" s="594" t="n"/>
      <c r="AP440" s="595" t="n"/>
      <c r="AR440" s="594" t="n"/>
      <c r="AS440" s="595" t="n"/>
    </row>
    <row r="441" ht="15.75" customHeight="1" s="26">
      <c r="B441" s="593" t="n"/>
      <c r="E441" s="594" t="n"/>
      <c r="F441" s="595" t="n"/>
      <c r="H441" s="594" t="n"/>
      <c r="I441" s="595" t="n"/>
      <c r="K441" s="594" t="n"/>
      <c r="L441" s="595" t="n"/>
      <c r="N441" s="594" t="n"/>
      <c r="O441" s="595" t="n"/>
      <c r="Q441" s="594" t="n"/>
      <c r="R441" s="595" t="n"/>
      <c r="T441" s="594" t="n"/>
      <c r="U441" s="595" t="n"/>
      <c r="W441" s="594" t="n"/>
      <c r="X441" s="595" t="n"/>
      <c r="Z441" s="594" t="n"/>
      <c r="AA441" s="595" t="n"/>
      <c r="AC441" s="594" t="n"/>
      <c r="AD441" s="595" t="n"/>
      <c r="AF441" s="594" t="n"/>
      <c r="AG441" s="595" t="n"/>
      <c r="AI441" s="594" t="n"/>
      <c r="AJ441" s="595" t="n"/>
      <c r="AL441" s="594" t="n"/>
      <c r="AM441" s="595" t="n"/>
      <c r="AO441" s="594" t="n"/>
      <c r="AP441" s="595" t="n"/>
      <c r="AR441" s="594" t="n"/>
      <c r="AS441" s="595" t="n"/>
    </row>
    <row r="442" ht="15.75" customHeight="1" s="26">
      <c r="B442" s="593" t="n"/>
      <c r="E442" s="594" t="n"/>
      <c r="F442" s="595" t="n"/>
      <c r="H442" s="594" t="n"/>
      <c r="I442" s="595" t="n"/>
      <c r="K442" s="594" t="n"/>
      <c r="L442" s="595" t="n"/>
      <c r="N442" s="594" t="n"/>
      <c r="O442" s="595" t="n"/>
      <c r="Q442" s="594" t="n"/>
      <c r="R442" s="595" t="n"/>
      <c r="T442" s="594" t="n"/>
      <c r="U442" s="595" t="n"/>
      <c r="W442" s="594" t="n"/>
      <c r="X442" s="595" t="n"/>
      <c r="Z442" s="594" t="n"/>
      <c r="AA442" s="595" t="n"/>
      <c r="AC442" s="594" t="n"/>
      <c r="AD442" s="595" t="n"/>
      <c r="AF442" s="594" t="n"/>
      <c r="AG442" s="595" t="n"/>
      <c r="AI442" s="594" t="n"/>
      <c r="AJ442" s="595" t="n"/>
      <c r="AL442" s="594" t="n"/>
      <c r="AM442" s="595" t="n"/>
      <c r="AO442" s="594" t="n"/>
      <c r="AP442" s="595" t="n"/>
      <c r="AR442" s="594" t="n"/>
      <c r="AS442" s="595" t="n"/>
    </row>
    <row r="443" ht="15.75" customHeight="1" s="26">
      <c r="B443" s="593" t="n"/>
      <c r="E443" s="594" t="n"/>
      <c r="F443" s="595" t="n"/>
      <c r="H443" s="594" t="n"/>
      <c r="I443" s="595" t="n"/>
      <c r="K443" s="594" t="n"/>
      <c r="L443" s="595" t="n"/>
      <c r="N443" s="594" t="n"/>
      <c r="O443" s="595" t="n"/>
      <c r="Q443" s="594" t="n"/>
      <c r="R443" s="595" t="n"/>
      <c r="T443" s="594" t="n"/>
      <c r="U443" s="595" t="n"/>
      <c r="W443" s="594" t="n"/>
      <c r="X443" s="595" t="n"/>
      <c r="Z443" s="594" t="n"/>
      <c r="AA443" s="595" t="n"/>
      <c r="AC443" s="594" t="n"/>
      <c r="AD443" s="595" t="n"/>
      <c r="AF443" s="594" t="n"/>
      <c r="AG443" s="595" t="n"/>
      <c r="AI443" s="594" t="n"/>
      <c r="AJ443" s="595" t="n"/>
      <c r="AL443" s="594" t="n"/>
      <c r="AM443" s="595" t="n"/>
      <c r="AO443" s="594" t="n"/>
      <c r="AP443" s="595" t="n"/>
      <c r="AR443" s="594" t="n"/>
      <c r="AS443" s="595" t="n"/>
    </row>
    <row r="444" ht="15.75" customHeight="1" s="26">
      <c r="B444" s="593" t="n"/>
      <c r="E444" s="594" t="n"/>
      <c r="F444" s="595" t="n"/>
      <c r="H444" s="594" t="n"/>
      <c r="I444" s="595" t="n"/>
      <c r="K444" s="594" t="n"/>
      <c r="L444" s="595" t="n"/>
      <c r="N444" s="594" t="n"/>
      <c r="O444" s="595" t="n"/>
      <c r="Q444" s="594" t="n"/>
      <c r="R444" s="595" t="n"/>
      <c r="T444" s="594" t="n"/>
      <c r="U444" s="595" t="n"/>
      <c r="W444" s="594" t="n"/>
      <c r="X444" s="595" t="n"/>
      <c r="Z444" s="594" t="n"/>
      <c r="AA444" s="595" t="n"/>
      <c r="AC444" s="594" t="n"/>
      <c r="AD444" s="595" t="n"/>
      <c r="AF444" s="594" t="n"/>
      <c r="AG444" s="595" t="n"/>
      <c r="AI444" s="594" t="n"/>
      <c r="AJ444" s="595" t="n"/>
      <c r="AL444" s="594" t="n"/>
      <c r="AM444" s="595" t="n"/>
      <c r="AO444" s="594" t="n"/>
      <c r="AP444" s="595" t="n"/>
      <c r="AR444" s="594" t="n"/>
      <c r="AS444" s="595" t="n"/>
    </row>
    <row r="445" ht="15.75" customHeight="1" s="26">
      <c r="B445" s="593" t="n"/>
      <c r="E445" s="594" t="n"/>
      <c r="F445" s="595" t="n"/>
      <c r="H445" s="594" t="n"/>
      <c r="I445" s="595" t="n"/>
      <c r="K445" s="594" t="n"/>
      <c r="L445" s="595" t="n"/>
      <c r="N445" s="594" t="n"/>
      <c r="O445" s="595" t="n"/>
      <c r="Q445" s="594" t="n"/>
      <c r="R445" s="595" t="n"/>
      <c r="T445" s="594" t="n"/>
      <c r="U445" s="595" t="n"/>
      <c r="W445" s="594" t="n"/>
      <c r="X445" s="595" t="n"/>
      <c r="Z445" s="594" t="n"/>
      <c r="AA445" s="595" t="n"/>
      <c r="AC445" s="594" t="n"/>
      <c r="AD445" s="595" t="n"/>
      <c r="AF445" s="594" t="n"/>
      <c r="AG445" s="595" t="n"/>
      <c r="AI445" s="594" t="n"/>
      <c r="AJ445" s="595" t="n"/>
      <c r="AL445" s="594" t="n"/>
      <c r="AM445" s="595" t="n"/>
      <c r="AO445" s="594" t="n"/>
      <c r="AP445" s="595" t="n"/>
      <c r="AR445" s="594" t="n"/>
      <c r="AS445" s="595" t="n"/>
    </row>
    <row r="446" ht="15.75" customHeight="1" s="26">
      <c r="B446" s="593" t="n"/>
      <c r="E446" s="594" t="n"/>
      <c r="F446" s="595" t="n"/>
      <c r="H446" s="594" t="n"/>
      <c r="I446" s="595" t="n"/>
      <c r="K446" s="594" t="n"/>
      <c r="L446" s="595" t="n"/>
      <c r="N446" s="594" t="n"/>
      <c r="O446" s="595" t="n"/>
      <c r="Q446" s="594" t="n"/>
      <c r="R446" s="595" t="n"/>
      <c r="T446" s="594" t="n"/>
      <c r="U446" s="595" t="n"/>
      <c r="W446" s="594" t="n"/>
      <c r="X446" s="595" t="n"/>
      <c r="Z446" s="594" t="n"/>
      <c r="AA446" s="595" t="n"/>
      <c r="AC446" s="594" t="n"/>
      <c r="AD446" s="595" t="n"/>
      <c r="AF446" s="594" t="n"/>
      <c r="AG446" s="595" t="n"/>
      <c r="AI446" s="594" t="n"/>
      <c r="AJ446" s="595" t="n"/>
      <c r="AL446" s="594" t="n"/>
      <c r="AM446" s="595" t="n"/>
      <c r="AO446" s="594" t="n"/>
      <c r="AP446" s="595" t="n"/>
      <c r="AR446" s="594" t="n"/>
      <c r="AS446" s="595" t="n"/>
    </row>
    <row r="447" ht="15.75" customHeight="1" s="26">
      <c r="B447" s="593" t="n"/>
      <c r="E447" s="594" t="n"/>
      <c r="F447" s="595" t="n"/>
      <c r="H447" s="594" t="n"/>
      <c r="I447" s="595" t="n"/>
      <c r="K447" s="594" t="n"/>
      <c r="L447" s="595" t="n"/>
      <c r="N447" s="594" t="n"/>
      <c r="O447" s="595" t="n"/>
      <c r="Q447" s="594" t="n"/>
      <c r="R447" s="595" t="n"/>
      <c r="T447" s="594" t="n"/>
      <c r="U447" s="595" t="n"/>
      <c r="W447" s="594" t="n"/>
      <c r="X447" s="595" t="n"/>
      <c r="Z447" s="594" t="n"/>
      <c r="AA447" s="595" t="n"/>
      <c r="AC447" s="594" t="n"/>
      <c r="AD447" s="595" t="n"/>
      <c r="AF447" s="594" t="n"/>
      <c r="AG447" s="595" t="n"/>
      <c r="AI447" s="594" t="n"/>
      <c r="AJ447" s="595" t="n"/>
      <c r="AL447" s="594" t="n"/>
      <c r="AM447" s="595" t="n"/>
      <c r="AO447" s="594" t="n"/>
      <c r="AP447" s="595" t="n"/>
      <c r="AR447" s="594" t="n"/>
      <c r="AS447" s="595" t="n"/>
    </row>
    <row r="448" ht="15.75" customHeight="1" s="26">
      <c r="B448" s="593" t="n"/>
      <c r="E448" s="594" t="n"/>
      <c r="F448" s="595" t="n"/>
      <c r="H448" s="594" t="n"/>
      <c r="I448" s="595" t="n"/>
      <c r="K448" s="594" t="n"/>
      <c r="L448" s="595" t="n"/>
      <c r="N448" s="594" t="n"/>
      <c r="O448" s="595" t="n"/>
      <c r="Q448" s="594" t="n"/>
      <c r="R448" s="595" t="n"/>
      <c r="T448" s="594" t="n"/>
      <c r="U448" s="595" t="n"/>
      <c r="W448" s="594" t="n"/>
      <c r="X448" s="595" t="n"/>
      <c r="Z448" s="594" t="n"/>
      <c r="AA448" s="595" t="n"/>
      <c r="AC448" s="594" t="n"/>
      <c r="AD448" s="595" t="n"/>
      <c r="AF448" s="594" t="n"/>
      <c r="AG448" s="595" t="n"/>
      <c r="AI448" s="594" t="n"/>
      <c r="AJ448" s="595" t="n"/>
      <c r="AL448" s="594" t="n"/>
      <c r="AM448" s="595" t="n"/>
      <c r="AO448" s="594" t="n"/>
      <c r="AP448" s="595" t="n"/>
      <c r="AR448" s="594" t="n"/>
      <c r="AS448" s="595" t="n"/>
    </row>
    <row r="449" ht="15.75" customHeight="1" s="26">
      <c r="B449" s="593" t="n"/>
      <c r="E449" s="594" t="n"/>
      <c r="F449" s="595" t="n"/>
      <c r="H449" s="594" t="n"/>
      <c r="I449" s="595" t="n"/>
      <c r="K449" s="594" t="n"/>
      <c r="L449" s="595" t="n"/>
      <c r="N449" s="594" t="n"/>
      <c r="O449" s="595" t="n"/>
      <c r="Q449" s="594" t="n"/>
      <c r="R449" s="595" t="n"/>
      <c r="T449" s="594" t="n"/>
      <c r="U449" s="595" t="n"/>
      <c r="W449" s="594" t="n"/>
      <c r="X449" s="595" t="n"/>
      <c r="Z449" s="594" t="n"/>
      <c r="AA449" s="595" t="n"/>
      <c r="AC449" s="594" t="n"/>
      <c r="AD449" s="595" t="n"/>
      <c r="AF449" s="594" t="n"/>
      <c r="AG449" s="595" t="n"/>
      <c r="AI449" s="594" t="n"/>
      <c r="AJ449" s="595" t="n"/>
      <c r="AL449" s="594" t="n"/>
      <c r="AM449" s="595" t="n"/>
      <c r="AO449" s="594" t="n"/>
      <c r="AP449" s="595" t="n"/>
      <c r="AR449" s="594" t="n"/>
      <c r="AS449" s="595" t="n"/>
    </row>
    <row r="450" ht="15.75" customHeight="1" s="26">
      <c r="B450" s="593" t="n"/>
      <c r="E450" s="594" t="n"/>
      <c r="F450" s="595" t="n"/>
      <c r="H450" s="594" t="n"/>
      <c r="I450" s="595" t="n"/>
      <c r="K450" s="594" t="n"/>
      <c r="L450" s="595" t="n"/>
      <c r="N450" s="594" t="n"/>
      <c r="O450" s="595" t="n"/>
      <c r="Q450" s="594" t="n"/>
      <c r="R450" s="595" t="n"/>
      <c r="T450" s="594" t="n"/>
      <c r="U450" s="595" t="n"/>
      <c r="W450" s="594" t="n"/>
      <c r="X450" s="595" t="n"/>
      <c r="Z450" s="594" t="n"/>
      <c r="AA450" s="595" t="n"/>
      <c r="AC450" s="594" t="n"/>
      <c r="AD450" s="595" t="n"/>
      <c r="AF450" s="594" t="n"/>
      <c r="AG450" s="595" t="n"/>
      <c r="AI450" s="594" t="n"/>
      <c r="AJ450" s="595" t="n"/>
      <c r="AL450" s="594" t="n"/>
      <c r="AM450" s="595" t="n"/>
      <c r="AO450" s="594" t="n"/>
      <c r="AP450" s="595" t="n"/>
      <c r="AR450" s="594" t="n"/>
      <c r="AS450" s="595" t="n"/>
    </row>
    <row r="451" ht="15.75" customHeight="1" s="26">
      <c r="B451" s="593" t="n"/>
      <c r="E451" s="594" t="n"/>
      <c r="F451" s="595" t="n"/>
      <c r="H451" s="594" t="n"/>
      <c r="I451" s="595" t="n"/>
      <c r="K451" s="594" t="n"/>
      <c r="L451" s="595" t="n"/>
      <c r="N451" s="594" t="n"/>
      <c r="O451" s="595" t="n"/>
      <c r="Q451" s="594" t="n"/>
      <c r="R451" s="595" t="n"/>
      <c r="T451" s="594" t="n"/>
      <c r="U451" s="595" t="n"/>
      <c r="W451" s="594" t="n"/>
      <c r="X451" s="595" t="n"/>
      <c r="Z451" s="594" t="n"/>
      <c r="AA451" s="595" t="n"/>
      <c r="AC451" s="594" t="n"/>
      <c r="AD451" s="595" t="n"/>
      <c r="AF451" s="594" t="n"/>
      <c r="AG451" s="595" t="n"/>
      <c r="AI451" s="594" t="n"/>
      <c r="AJ451" s="595" t="n"/>
      <c r="AL451" s="594" t="n"/>
      <c r="AM451" s="595" t="n"/>
      <c r="AO451" s="594" t="n"/>
      <c r="AP451" s="595" t="n"/>
      <c r="AR451" s="594" t="n"/>
      <c r="AS451" s="595" t="n"/>
    </row>
    <row r="452" ht="15.75" customHeight="1" s="26">
      <c r="B452" s="593" t="n"/>
      <c r="E452" s="594" t="n"/>
      <c r="F452" s="595" t="n"/>
      <c r="H452" s="594" t="n"/>
      <c r="I452" s="595" t="n"/>
      <c r="K452" s="594" t="n"/>
      <c r="L452" s="595" t="n"/>
      <c r="N452" s="594" t="n"/>
      <c r="O452" s="595" t="n"/>
      <c r="Q452" s="594" t="n"/>
      <c r="R452" s="595" t="n"/>
      <c r="T452" s="594" t="n"/>
      <c r="U452" s="595" t="n"/>
      <c r="W452" s="594" t="n"/>
      <c r="X452" s="595" t="n"/>
      <c r="Z452" s="594" t="n"/>
      <c r="AA452" s="595" t="n"/>
      <c r="AC452" s="594" t="n"/>
      <c r="AD452" s="595" t="n"/>
      <c r="AF452" s="594" t="n"/>
      <c r="AG452" s="595" t="n"/>
      <c r="AI452" s="594" t="n"/>
      <c r="AJ452" s="595" t="n"/>
      <c r="AL452" s="594" t="n"/>
      <c r="AM452" s="595" t="n"/>
      <c r="AO452" s="594" t="n"/>
      <c r="AP452" s="595" t="n"/>
      <c r="AR452" s="594" t="n"/>
      <c r="AS452" s="595" t="n"/>
    </row>
    <row r="453" ht="15.75" customHeight="1" s="26">
      <c r="B453" s="593" t="n"/>
      <c r="E453" s="594" t="n"/>
      <c r="F453" s="595" t="n"/>
      <c r="H453" s="594" t="n"/>
      <c r="I453" s="595" t="n"/>
      <c r="K453" s="594" t="n"/>
      <c r="L453" s="595" t="n"/>
      <c r="N453" s="594" t="n"/>
      <c r="O453" s="595" t="n"/>
      <c r="Q453" s="594" t="n"/>
      <c r="R453" s="595" t="n"/>
      <c r="T453" s="594" t="n"/>
      <c r="U453" s="595" t="n"/>
      <c r="W453" s="594" t="n"/>
      <c r="X453" s="595" t="n"/>
      <c r="Z453" s="594" t="n"/>
      <c r="AA453" s="595" t="n"/>
      <c r="AC453" s="594" t="n"/>
      <c r="AD453" s="595" t="n"/>
      <c r="AF453" s="594" t="n"/>
      <c r="AG453" s="595" t="n"/>
      <c r="AI453" s="594" t="n"/>
      <c r="AJ453" s="595" t="n"/>
      <c r="AL453" s="594" t="n"/>
      <c r="AM453" s="595" t="n"/>
      <c r="AO453" s="594" t="n"/>
      <c r="AP453" s="595" t="n"/>
      <c r="AR453" s="594" t="n"/>
      <c r="AS453" s="595" t="n"/>
    </row>
    <row r="454" ht="15.75" customHeight="1" s="26">
      <c r="B454" s="593" t="n"/>
      <c r="E454" s="594" t="n"/>
      <c r="F454" s="595" t="n"/>
      <c r="H454" s="594" t="n"/>
      <c r="I454" s="595" t="n"/>
      <c r="K454" s="594" t="n"/>
      <c r="L454" s="595" t="n"/>
      <c r="N454" s="594" t="n"/>
      <c r="O454" s="595" t="n"/>
      <c r="Q454" s="594" t="n"/>
      <c r="R454" s="595" t="n"/>
      <c r="T454" s="594" t="n"/>
      <c r="U454" s="595" t="n"/>
      <c r="W454" s="594" t="n"/>
      <c r="X454" s="595" t="n"/>
      <c r="Z454" s="594" t="n"/>
      <c r="AA454" s="595" t="n"/>
      <c r="AC454" s="594" t="n"/>
      <c r="AD454" s="595" t="n"/>
      <c r="AF454" s="594" t="n"/>
      <c r="AG454" s="595" t="n"/>
      <c r="AI454" s="594" t="n"/>
      <c r="AJ454" s="595" t="n"/>
      <c r="AL454" s="594" t="n"/>
      <c r="AM454" s="595" t="n"/>
      <c r="AO454" s="594" t="n"/>
      <c r="AP454" s="595" t="n"/>
      <c r="AR454" s="594" t="n"/>
      <c r="AS454" s="595" t="n"/>
    </row>
    <row r="455" ht="15.75" customHeight="1" s="26">
      <c r="B455" s="593" t="n"/>
      <c r="E455" s="594" t="n"/>
      <c r="F455" s="595" t="n"/>
      <c r="H455" s="594" t="n"/>
      <c r="I455" s="595" t="n"/>
      <c r="K455" s="594" t="n"/>
      <c r="L455" s="595" t="n"/>
      <c r="N455" s="594" t="n"/>
      <c r="O455" s="595" t="n"/>
      <c r="Q455" s="594" t="n"/>
      <c r="R455" s="595" t="n"/>
      <c r="T455" s="594" t="n"/>
      <c r="U455" s="595" t="n"/>
      <c r="W455" s="594" t="n"/>
      <c r="X455" s="595" t="n"/>
      <c r="Z455" s="594" t="n"/>
      <c r="AA455" s="595" t="n"/>
      <c r="AC455" s="594" t="n"/>
      <c r="AD455" s="595" t="n"/>
      <c r="AF455" s="594" t="n"/>
      <c r="AG455" s="595" t="n"/>
      <c r="AI455" s="594" t="n"/>
      <c r="AJ455" s="595" t="n"/>
      <c r="AL455" s="594" t="n"/>
      <c r="AM455" s="595" t="n"/>
      <c r="AO455" s="594" t="n"/>
      <c r="AP455" s="595" t="n"/>
      <c r="AR455" s="594" t="n"/>
      <c r="AS455" s="595" t="n"/>
    </row>
    <row r="456" ht="15.75" customHeight="1" s="26">
      <c r="B456" s="593" t="n"/>
      <c r="E456" s="594" t="n"/>
      <c r="F456" s="595" t="n"/>
      <c r="H456" s="594" t="n"/>
      <c r="I456" s="595" t="n"/>
      <c r="K456" s="594" t="n"/>
      <c r="L456" s="595" t="n"/>
      <c r="N456" s="594" t="n"/>
      <c r="O456" s="595" t="n"/>
      <c r="Q456" s="594" t="n"/>
      <c r="R456" s="595" t="n"/>
      <c r="T456" s="594" t="n"/>
      <c r="U456" s="595" t="n"/>
      <c r="W456" s="594" t="n"/>
      <c r="X456" s="595" t="n"/>
      <c r="Z456" s="594" t="n"/>
      <c r="AA456" s="595" t="n"/>
      <c r="AC456" s="594" t="n"/>
      <c r="AD456" s="595" t="n"/>
      <c r="AF456" s="594" t="n"/>
      <c r="AG456" s="595" t="n"/>
      <c r="AI456" s="594" t="n"/>
      <c r="AJ456" s="595" t="n"/>
      <c r="AL456" s="594" t="n"/>
      <c r="AM456" s="595" t="n"/>
      <c r="AO456" s="594" t="n"/>
      <c r="AP456" s="595" t="n"/>
      <c r="AR456" s="594" t="n"/>
      <c r="AS456" s="595" t="n"/>
    </row>
    <row r="457" ht="15.75" customHeight="1" s="26">
      <c r="B457" s="593" t="n"/>
      <c r="E457" s="594" t="n"/>
      <c r="F457" s="595" t="n"/>
      <c r="H457" s="594" t="n"/>
      <c r="I457" s="595" t="n"/>
      <c r="K457" s="594" t="n"/>
      <c r="L457" s="595" t="n"/>
      <c r="N457" s="594" t="n"/>
      <c r="O457" s="595" t="n"/>
      <c r="Q457" s="594" t="n"/>
      <c r="R457" s="595" t="n"/>
      <c r="T457" s="594" t="n"/>
      <c r="U457" s="595" t="n"/>
      <c r="W457" s="594" t="n"/>
      <c r="X457" s="595" t="n"/>
      <c r="Z457" s="594" t="n"/>
      <c r="AA457" s="595" t="n"/>
      <c r="AC457" s="594" t="n"/>
      <c r="AD457" s="595" t="n"/>
      <c r="AF457" s="594" t="n"/>
      <c r="AG457" s="595" t="n"/>
      <c r="AI457" s="594" t="n"/>
      <c r="AJ457" s="595" t="n"/>
      <c r="AL457" s="594" t="n"/>
      <c r="AM457" s="595" t="n"/>
      <c r="AO457" s="594" t="n"/>
      <c r="AP457" s="595" t="n"/>
      <c r="AR457" s="594" t="n"/>
      <c r="AS457" s="595" t="n"/>
    </row>
    <row r="458" ht="15.75" customHeight="1" s="26">
      <c r="B458" s="593" t="n"/>
      <c r="E458" s="594" t="n"/>
      <c r="F458" s="595" t="n"/>
      <c r="H458" s="594" t="n"/>
      <c r="I458" s="595" t="n"/>
      <c r="K458" s="594" t="n"/>
      <c r="L458" s="595" t="n"/>
      <c r="N458" s="594" t="n"/>
      <c r="O458" s="595" t="n"/>
      <c r="Q458" s="594" t="n"/>
      <c r="R458" s="595" t="n"/>
      <c r="T458" s="594" t="n"/>
      <c r="U458" s="595" t="n"/>
      <c r="W458" s="594" t="n"/>
      <c r="X458" s="595" t="n"/>
      <c r="Z458" s="594" t="n"/>
      <c r="AA458" s="595" t="n"/>
      <c r="AC458" s="594" t="n"/>
      <c r="AD458" s="595" t="n"/>
      <c r="AF458" s="594" t="n"/>
      <c r="AG458" s="595" t="n"/>
      <c r="AI458" s="594" t="n"/>
      <c r="AJ458" s="595" t="n"/>
      <c r="AL458" s="594" t="n"/>
      <c r="AM458" s="595" t="n"/>
      <c r="AO458" s="594" t="n"/>
      <c r="AP458" s="595" t="n"/>
      <c r="AR458" s="594" t="n"/>
      <c r="AS458" s="595" t="n"/>
    </row>
    <row r="459" ht="15.75" customHeight="1" s="26">
      <c r="B459" s="593" t="n"/>
      <c r="E459" s="594" t="n"/>
      <c r="F459" s="595" t="n"/>
      <c r="H459" s="594" t="n"/>
      <c r="I459" s="595" t="n"/>
      <c r="K459" s="594" t="n"/>
      <c r="L459" s="595" t="n"/>
      <c r="N459" s="594" t="n"/>
      <c r="O459" s="595" t="n"/>
      <c r="Q459" s="594" t="n"/>
      <c r="R459" s="595" t="n"/>
      <c r="T459" s="594" t="n"/>
      <c r="U459" s="595" t="n"/>
      <c r="W459" s="594" t="n"/>
      <c r="X459" s="595" t="n"/>
      <c r="Z459" s="594" t="n"/>
      <c r="AA459" s="595" t="n"/>
      <c r="AC459" s="594" t="n"/>
      <c r="AD459" s="595" t="n"/>
      <c r="AF459" s="594" t="n"/>
      <c r="AG459" s="595" t="n"/>
      <c r="AI459" s="594" t="n"/>
      <c r="AJ459" s="595" t="n"/>
      <c r="AL459" s="594" t="n"/>
      <c r="AM459" s="595" t="n"/>
      <c r="AO459" s="594" t="n"/>
      <c r="AP459" s="595" t="n"/>
      <c r="AR459" s="594" t="n"/>
      <c r="AS459" s="595" t="n"/>
    </row>
    <row r="460" ht="15.75" customHeight="1" s="26">
      <c r="B460" s="593" t="n"/>
      <c r="E460" s="594" t="n"/>
      <c r="F460" s="595" t="n"/>
      <c r="H460" s="594" t="n"/>
      <c r="I460" s="595" t="n"/>
      <c r="K460" s="594" t="n"/>
      <c r="L460" s="595" t="n"/>
      <c r="N460" s="594" t="n"/>
      <c r="O460" s="595" t="n"/>
      <c r="Q460" s="594" t="n"/>
      <c r="R460" s="595" t="n"/>
      <c r="T460" s="594" t="n"/>
      <c r="U460" s="595" t="n"/>
      <c r="W460" s="594" t="n"/>
      <c r="X460" s="595" t="n"/>
      <c r="Z460" s="594" t="n"/>
      <c r="AA460" s="595" t="n"/>
      <c r="AC460" s="594" t="n"/>
      <c r="AD460" s="595" t="n"/>
      <c r="AF460" s="594" t="n"/>
      <c r="AG460" s="595" t="n"/>
      <c r="AI460" s="594" t="n"/>
      <c r="AJ460" s="595" t="n"/>
      <c r="AL460" s="594" t="n"/>
      <c r="AM460" s="595" t="n"/>
      <c r="AO460" s="594" t="n"/>
      <c r="AP460" s="595" t="n"/>
      <c r="AR460" s="594" t="n"/>
      <c r="AS460" s="595" t="n"/>
    </row>
    <row r="461" ht="15.75" customHeight="1" s="26">
      <c r="B461" s="593" t="n"/>
      <c r="E461" s="594" t="n"/>
      <c r="F461" s="595" t="n"/>
      <c r="H461" s="594" t="n"/>
      <c r="I461" s="595" t="n"/>
      <c r="K461" s="594" t="n"/>
      <c r="L461" s="595" t="n"/>
      <c r="N461" s="594" t="n"/>
      <c r="O461" s="595" t="n"/>
      <c r="Q461" s="594" t="n"/>
      <c r="R461" s="595" t="n"/>
      <c r="T461" s="594" t="n"/>
      <c r="U461" s="595" t="n"/>
      <c r="W461" s="594" t="n"/>
      <c r="X461" s="595" t="n"/>
      <c r="Z461" s="594" t="n"/>
      <c r="AA461" s="595" t="n"/>
      <c r="AC461" s="594" t="n"/>
      <c r="AD461" s="595" t="n"/>
      <c r="AF461" s="594" t="n"/>
      <c r="AG461" s="595" t="n"/>
      <c r="AI461" s="594" t="n"/>
      <c r="AJ461" s="595" t="n"/>
      <c r="AL461" s="594" t="n"/>
      <c r="AM461" s="595" t="n"/>
      <c r="AO461" s="594" t="n"/>
      <c r="AP461" s="595" t="n"/>
      <c r="AR461" s="594" t="n"/>
      <c r="AS461" s="595" t="n"/>
    </row>
    <row r="462" ht="15.75" customHeight="1" s="26">
      <c r="B462" s="593" t="n"/>
      <c r="E462" s="594" t="n"/>
      <c r="F462" s="595" t="n"/>
      <c r="H462" s="594" t="n"/>
      <c r="I462" s="595" t="n"/>
      <c r="K462" s="594" t="n"/>
      <c r="L462" s="595" t="n"/>
      <c r="N462" s="594" t="n"/>
      <c r="O462" s="595" t="n"/>
      <c r="Q462" s="594" t="n"/>
      <c r="R462" s="595" t="n"/>
      <c r="T462" s="594" t="n"/>
      <c r="U462" s="595" t="n"/>
      <c r="W462" s="594" t="n"/>
      <c r="X462" s="595" t="n"/>
      <c r="Z462" s="594" t="n"/>
      <c r="AA462" s="595" t="n"/>
      <c r="AC462" s="594" t="n"/>
      <c r="AD462" s="595" t="n"/>
      <c r="AF462" s="594" t="n"/>
      <c r="AG462" s="595" t="n"/>
      <c r="AI462" s="594" t="n"/>
      <c r="AJ462" s="595" t="n"/>
      <c r="AL462" s="594" t="n"/>
      <c r="AM462" s="595" t="n"/>
      <c r="AO462" s="594" t="n"/>
      <c r="AP462" s="595" t="n"/>
      <c r="AR462" s="594" t="n"/>
      <c r="AS462" s="595" t="n"/>
    </row>
    <row r="463" ht="15.75" customHeight="1" s="26">
      <c r="B463" s="593" t="n"/>
      <c r="E463" s="594" t="n"/>
      <c r="F463" s="595" t="n"/>
      <c r="H463" s="594" t="n"/>
      <c r="I463" s="595" t="n"/>
      <c r="K463" s="594" t="n"/>
      <c r="L463" s="595" t="n"/>
      <c r="N463" s="594" t="n"/>
      <c r="O463" s="595" t="n"/>
      <c r="Q463" s="594" t="n"/>
      <c r="R463" s="595" t="n"/>
      <c r="T463" s="594" t="n"/>
      <c r="U463" s="595" t="n"/>
      <c r="W463" s="594" t="n"/>
      <c r="X463" s="595" t="n"/>
      <c r="Z463" s="594" t="n"/>
      <c r="AA463" s="595" t="n"/>
      <c r="AC463" s="594" t="n"/>
      <c r="AD463" s="595" t="n"/>
      <c r="AF463" s="594" t="n"/>
      <c r="AG463" s="595" t="n"/>
      <c r="AI463" s="594" t="n"/>
      <c r="AJ463" s="595" t="n"/>
      <c r="AL463" s="594" t="n"/>
      <c r="AM463" s="595" t="n"/>
      <c r="AO463" s="594" t="n"/>
      <c r="AP463" s="595" t="n"/>
      <c r="AR463" s="594" t="n"/>
      <c r="AS463" s="595" t="n"/>
    </row>
    <row r="464" ht="15.75" customHeight="1" s="26">
      <c r="B464" s="593" t="n"/>
      <c r="E464" s="594" t="n"/>
      <c r="F464" s="595" t="n"/>
      <c r="H464" s="594" t="n"/>
      <c r="I464" s="595" t="n"/>
      <c r="K464" s="594" t="n"/>
      <c r="L464" s="595" t="n"/>
      <c r="N464" s="594" t="n"/>
      <c r="O464" s="595" t="n"/>
      <c r="Q464" s="594" t="n"/>
      <c r="R464" s="595" t="n"/>
      <c r="T464" s="594" t="n"/>
      <c r="U464" s="595" t="n"/>
      <c r="W464" s="594" t="n"/>
      <c r="X464" s="595" t="n"/>
      <c r="Z464" s="594" t="n"/>
      <c r="AA464" s="595" t="n"/>
      <c r="AC464" s="594" t="n"/>
      <c r="AD464" s="595" t="n"/>
      <c r="AF464" s="594" t="n"/>
      <c r="AG464" s="595" t="n"/>
      <c r="AI464" s="594" t="n"/>
      <c r="AJ464" s="595" t="n"/>
      <c r="AL464" s="594" t="n"/>
      <c r="AM464" s="595" t="n"/>
      <c r="AO464" s="594" t="n"/>
      <c r="AP464" s="595" t="n"/>
      <c r="AR464" s="594" t="n"/>
      <c r="AS464" s="595" t="n"/>
    </row>
    <row r="465" ht="15.75" customHeight="1" s="26">
      <c r="B465" s="593" t="n"/>
      <c r="E465" s="594" t="n"/>
      <c r="F465" s="595" t="n"/>
      <c r="H465" s="594" t="n"/>
      <c r="I465" s="595" t="n"/>
      <c r="K465" s="594" t="n"/>
      <c r="L465" s="595" t="n"/>
      <c r="N465" s="594" t="n"/>
      <c r="O465" s="595" t="n"/>
      <c r="Q465" s="594" t="n"/>
      <c r="R465" s="595" t="n"/>
      <c r="T465" s="594" t="n"/>
      <c r="U465" s="595" t="n"/>
      <c r="W465" s="594" t="n"/>
      <c r="X465" s="595" t="n"/>
      <c r="Z465" s="594" t="n"/>
      <c r="AA465" s="595" t="n"/>
      <c r="AC465" s="594" t="n"/>
      <c r="AD465" s="595" t="n"/>
      <c r="AF465" s="594" t="n"/>
      <c r="AG465" s="595" t="n"/>
      <c r="AI465" s="594" t="n"/>
      <c r="AJ465" s="595" t="n"/>
      <c r="AL465" s="594" t="n"/>
      <c r="AM465" s="595" t="n"/>
      <c r="AO465" s="594" t="n"/>
      <c r="AP465" s="595" t="n"/>
      <c r="AR465" s="594" t="n"/>
      <c r="AS465" s="595" t="n"/>
    </row>
    <row r="466" ht="15.75" customHeight="1" s="26">
      <c r="B466" s="593" t="n"/>
      <c r="E466" s="594" t="n"/>
      <c r="F466" s="595" t="n"/>
      <c r="H466" s="594" t="n"/>
      <c r="I466" s="595" t="n"/>
      <c r="K466" s="594" t="n"/>
      <c r="L466" s="595" t="n"/>
      <c r="N466" s="594" t="n"/>
      <c r="O466" s="595" t="n"/>
      <c r="Q466" s="594" t="n"/>
      <c r="R466" s="595" t="n"/>
      <c r="T466" s="594" t="n"/>
      <c r="U466" s="595" t="n"/>
      <c r="W466" s="594" t="n"/>
      <c r="X466" s="595" t="n"/>
      <c r="Z466" s="594" t="n"/>
      <c r="AA466" s="595" t="n"/>
      <c r="AC466" s="594" t="n"/>
      <c r="AD466" s="595" t="n"/>
      <c r="AF466" s="594" t="n"/>
      <c r="AG466" s="595" t="n"/>
      <c r="AI466" s="594" t="n"/>
      <c r="AJ466" s="595" t="n"/>
      <c r="AL466" s="594" t="n"/>
      <c r="AM466" s="595" t="n"/>
      <c r="AO466" s="594" t="n"/>
      <c r="AP466" s="595" t="n"/>
      <c r="AR466" s="594" t="n"/>
      <c r="AS466" s="595" t="n"/>
    </row>
    <row r="467" ht="15.75" customHeight="1" s="26">
      <c r="B467" s="593" t="n"/>
      <c r="E467" s="594" t="n"/>
      <c r="F467" s="595" t="n"/>
      <c r="H467" s="594" t="n"/>
      <c r="I467" s="595" t="n"/>
      <c r="K467" s="594" t="n"/>
      <c r="L467" s="595" t="n"/>
      <c r="N467" s="594" t="n"/>
      <c r="O467" s="595" t="n"/>
      <c r="Q467" s="594" t="n"/>
      <c r="R467" s="595" t="n"/>
      <c r="T467" s="594" t="n"/>
      <c r="U467" s="595" t="n"/>
      <c r="W467" s="594" t="n"/>
      <c r="X467" s="595" t="n"/>
      <c r="Z467" s="594" t="n"/>
      <c r="AA467" s="595" t="n"/>
      <c r="AC467" s="594" t="n"/>
      <c r="AD467" s="595" t="n"/>
      <c r="AF467" s="594" t="n"/>
      <c r="AG467" s="595" t="n"/>
      <c r="AI467" s="594" t="n"/>
      <c r="AJ467" s="595" t="n"/>
      <c r="AL467" s="594" t="n"/>
      <c r="AM467" s="595" t="n"/>
      <c r="AO467" s="594" t="n"/>
      <c r="AP467" s="595" t="n"/>
      <c r="AR467" s="594" t="n"/>
      <c r="AS467" s="595" t="n"/>
    </row>
    <row r="468" ht="15.75" customHeight="1" s="26">
      <c r="B468" s="593" t="n"/>
      <c r="E468" s="594" t="n"/>
      <c r="F468" s="595" t="n"/>
      <c r="H468" s="594" t="n"/>
      <c r="I468" s="595" t="n"/>
      <c r="K468" s="594" t="n"/>
      <c r="L468" s="595" t="n"/>
      <c r="N468" s="594" t="n"/>
      <c r="O468" s="595" t="n"/>
      <c r="Q468" s="594" t="n"/>
      <c r="R468" s="595" t="n"/>
      <c r="T468" s="594" t="n"/>
      <c r="U468" s="595" t="n"/>
      <c r="W468" s="594" t="n"/>
      <c r="X468" s="595" t="n"/>
      <c r="Z468" s="594" t="n"/>
      <c r="AA468" s="595" t="n"/>
      <c r="AC468" s="594" t="n"/>
      <c r="AD468" s="595" t="n"/>
      <c r="AF468" s="594" t="n"/>
      <c r="AG468" s="595" t="n"/>
      <c r="AI468" s="594" t="n"/>
      <c r="AJ468" s="595" t="n"/>
      <c r="AL468" s="594" t="n"/>
      <c r="AM468" s="595" t="n"/>
      <c r="AO468" s="594" t="n"/>
      <c r="AP468" s="595" t="n"/>
      <c r="AR468" s="594" t="n"/>
      <c r="AS468" s="595" t="n"/>
    </row>
    <row r="469" ht="15.75" customHeight="1" s="26">
      <c r="B469" s="593" t="n"/>
      <c r="E469" s="594" t="n"/>
      <c r="F469" s="595" t="n"/>
      <c r="H469" s="594" t="n"/>
      <c r="I469" s="595" t="n"/>
      <c r="K469" s="594" t="n"/>
      <c r="L469" s="595" t="n"/>
      <c r="N469" s="594" t="n"/>
      <c r="O469" s="595" t="n"/>
      <c r="Q469" s="594" t="n"/>
      <c r="R469" s="595" t="n"/>
      <c r="T469" s="594" t="n"/>
      <c r="U469" s="595" t="n"/>
      <c r="W469" s="594" t="n"/>
      <c r="X469" s="595" t="n"/>
      <c r="Z469" s="594" t="n"/>
      <c r="AA469" s="595" t="n"/>
      <c r="AC469" s="594" t="n"/>
      <c r="AD469" s="595" t="n"/>
      <c r="AF469" s="594" t="n"/>
      <c r="AG469" s="595" t="n"/>
      <c r="AI469" s="594" t="n"/>
      <c r="AJ469" s="595" t="n"/>
      <c r="AL469" s="594" t="n"/>
      <c r="AM469" s="595" t="n"/>
      <c r="AO469" s="594" t="n"/>
      <c r="AP469" s="595" t="n"/>
      <c r="AR469" s="594" t="n"/>
      <c r="AS469" s="595" t="n"/>
    </row>
    <row r="470" ht="15.75" customHeight="1" s="26">
      <c r="B470" s="593" t="n"/>
      <c r="E470" s="594" t="n"/>
      <c r="F470" s="595" t="n"/>
      <c r="H470" s="594" t="n"/>
      <c r="I470" s="595" t="n"/>
      <c r="K470" s="594" t="n"/>
      <c r="L470" s="595" t="n"/>
      <c r="N470" s="594" t="n"/>
      <c r="O470" s="595" t="n"/>
      <c r="Q470" s="594" t="n"/>
      <c r="R470" s="595" t="n"/>
      <c r="T470" s="594" t="n"/>
      <c r="U470" s="595" t="n"/>
      <c r="W470" s="594" t="n"/>
      <c r="X470" s="595" t="n"/>
      <c r="Z470" s="594" t="n"/>
      <c r="AA470" s="595" t="n"/>
      <c r="AC470" s="594" t="n"/>
      <c r="AD470" s="595" t="n"/>
      <c r="AF470" s="594" t="n"/>
      <c r="AG470" s="595" t="n"/>
      <c r="AI470" s="594" t="n"/>
      <c r="AJ470" s="595" t="n"/>
      <c r="AL470" s="594" t="n"/>
      <c r="AM470" s="595" t="n"/>
      <c r="AO470" s="594" t="n"/>
      <c r="AP470" s="595" t="n"/>
      <c r="AR470" s="594" t="n"/>
      <c r="AS470" s="595" t="n"/>
    </row>
    <row r="471" ht="15.75" customHeight="1" s="26">
      <c r="B471" s="593" t="n"/>
      <c r="E471" s="594" t="n"/>
      <c r="F471" s="595" t="n"/>
      <c r="H471" s="594" t="n"/>
      <c r="I471" s="595" t="n"/>
      <c r="K471" s="594" t="n"/>
      <c r="L471" s="595" t="n"/>
      <c r="N471" s="594" t="n"/>
      <c r="O471" s="595" t="n"/>
      <c r="Q471" s="594" t="n"/>
      <c r="R471" s="595" t="n"/>
      <c r="T471" s="594" t="n"/>
      <c r="U471" s="595" t="n"/>
      <c r="W471" s="594" t="n"/>
      <c r="X471" s="595" t="n"/>
      <c r="Z471" s="594" t="n"/>
      <c r="AA471" s="595" t="n"/>
      <c r="AC471" s="594" t="n"/>
      <c r="AD471" s="595" t="n"/>
      <c r="AF471" s="594" t="n"/>
      <c r="AG471" s="595" t="n"/>
      <c r="AI471" s="594" t="n"/>
      <c r="AJ471" s="595" t="n"/>
      <c r="AL471" s="594" t="n"/>
      <c r="AM471" s="595" t="n"/>
      <c r="AO471" s="594" t="n"/>
      <c r="AP471" s="595" t="n"/>
      <c r="AR471" s="594" t="n"/>
      <c r="AS471" s="595" t="n"/>
    </row>
    <row r="472" ht="15.75" customHeight="1" s="26">
      <c r="B472" s="593" t="n"/>
      <c r="E472" s="594" t="n"/>
      <c r="F472" s="595" t="n"/>
      <c r="H472" s="594" t="n"/>
      <c r="I472" s="595" t="n"/>
      <c r="K472" s="594" t="n"/>
      <c r="L472" s="595" t="n"/>
      <c r="N472" s="594" t="n"/>
      <c r="O472" s="595" t="n"/>
      <c r="Q472" s="594" t="n"/>
      <c r="R472" s="595" t="n"/>
      <c r="T472" s="594" t="n"/>
      <c r="U472" s="595" t="n"/>
      <c r="W472" s="594" t="n"/>
      <c r="X472" s="595" t="n"/>
      <c r="Z472" s="594" t="n"/>
      <c r="AA472" s="595" t="n"/>
      <c r="AC472" s="594" t="n"/>
      <c r="AD472" s="595" t="n"/>
      <c r="AF472" s="594" t="n"/>
      <c r="AG472" s="595" t="n"/>
      <c r="AI472" s="594" t="n"/>
      <c r="AJ472" s="595" t="n"/>
      <c r="AL472" s="594" t="n"/>
      <c r="AM472" s="595" t="n"/>
      <c r="AO472" s="594" t="n"/>
      <c r="AP472" s="595" t="n"/>
      <c r="AR472" s="594" t="n"/>
      <c r="AS472" s="595" t="n"/>
    </row>
    <row r="473" ht="15.75" customHeight="1" s="26">
      <c r="B473" s="593" t="n"/>
      <c r="E473" s="594" t="n"/>
      <c r="F473" s="595" t="n"/>
      <c r="H473" s="594" t="n"/>
      <c r="I473" s="595" t="n"/>
      <c r="K473" s="594" t="n"/>
      <c r="L473" s="595" t="n"/>
      <c r="N473" s="594" t="n"/>
      <c r="O473" s="595" t="n"/>
      <c r="Q473" s="594" t="n"/>
      <c r="R473" s="595" t="n"/>
      <c r="T473" s="594" t="n"/>
      <c r="U473" s="595" t="n"/>
      <c r="W473" s="594" t="n"/>
      <c r="X473" s="595" t="n"/>
      <c r="Z473" s="594" t="n"/>
      <c r="AA473" s="595" t="n"/>
      <c r="AC473" s="594" t="n"/>
      <c r="AD473" s="595" t="n"/>
      <c r="AF473" s="594" t="n"/>
      <c r="AG473" s="595" t="n"/>
      <c r="AI473" s="594" t="n"/>
      <c r="AJ473" s="595" t="n"/>
      <c r="AL473" s="594" t="n"/>
      <c r="AM473" s="595" t="n"/>
      <c r="AO473" s="594" t="n"/>
      <c r="AP473" s="595" t="n"/>
      <c r="AR473" s="594" t="n"/>
      <c r="AS473" s="595" t="n"/>
    </row>
    <row r="474" ht="15.75" customHeight="1" s="26">
      <c r="B474" s="593" t="n"/>
      <c r="E474" s="594" t="n"/>
      <c r="F474" s="595" t="n"/>
      <c r="H474" s="594" t="n"/>
      <c r="I474" s="595" t="n"/>
      <c r="K474" s="594" t="n"/>
      <c r="L474" s="595" t="n"/>
      <c r="N474" s="594" t="n"/>
      <c r="O474" s="595" t="n"/>
      <c r="Q474" s="594" t="n"/>
      <c r="R474" s="595" t="n"/>
      <c r="T474" s="594" t="n"/>
      <c r="U474" s="595" t="n"/>
      <c r="W474" s="594" t="n"/>
      <c r="X474" s="595" t="n"/>
      <c r="Z474" s="594" t="n"/>
      <c r="AA474" s="595" t="n"/>
      <c r="AC474" s="594" t="n"/>
      <c r="AD474" s="595" t="n"/>
      <c r="AF474" s="594" t="n"/>
      <c r="AG474" s="595" t="n"/>
      <c r="AI474" s="594" t="n"/>
      <c r="AJ474" s="595" t="n"/>
      <c r="AL474" s="594" t="n"/>
      <c r="AM474" s="595" t="n"/>
      <c r="AO474" s="594" t="n"/>
      <c r="AP474" s="595" t="n"/>
      <c r="AR474" s="594" t="n"/>
      <c r="AS474" s="595" t="n"/>
    </row>
    <row r="475" ht="15.75" customHeight="1" s="26">
      <c r="B475" s="593" t="n"/>
      <c r="E475" s="594" t="n"/>
      <c r="F475" s="595" t="n"/>
      <c r="H475" s="594" t="n"/>
      <c r="I475" s="595" t="n"/>
      <c r="K475" s="594" t="n"/>
      <c r="L475" s="595" t="n"/>
      <c r="N475" s="594" t="n"/>
      <c r="O475" s="595" t="n"/>
      <c r="Q475" s="594" t="n"/>
      <c r="R475" s="595" t="n"/>
      <c r="T475" s="594" t="n"/>
      <c r="U475" s="595" t="n"/>
      <c r="W475" s="594" t="n"/>
      <c r="X475" s="595" t="n"/>
      <c r="Z475" s="594" t="n"/>
      <c r="AA475" s="595" t="n"/>
      <c r="AC475" s="594" t="n"/>
      <c r="AD475" s="595" t="n"/>
      <c r="AF475" s="594" t="n"/>
      <c r="AG475" s="595" t="n"/>
      <c r="AI475" s="594" t="n"/>
      <c r="AJ475" s="595" t="n"/>
      <c r="AL475" s="594" t="n"/>
      <c r="AM475" s="595" t="n"/>
      <c r="AO475" s="594" t="n"/>
      <c r="AP475" s="595" t="n"/>
      <c r="AR475" s="594" t="n"/>
      <c r="AS475" s="595" t="n"/>
    </row>
    <row r="476" ht="15.75" customHeight="1" s="26">
      <c r="B476" s="593" t="n"/>
      <c r="E476" s="594" t="n"/>
      <c r="F476" s="595" t="n"/>
      <c r="H476" s="594" t="n"/>
      <c r="I476" s="595" t="n"/>
      <c r="K476" s="594" t="n"/>
      <c r="L476" s="595" t="n"/>
      <c r="N476" s="594" t="n"/>
      <c r="O476" s="595" t="n"/>
      <c r="Q476" s="594" t="n"/>
      <c r="R476" s="595" t="n"/>
      <c r="T476" s="594" t="n"/>
      <c r="U476" s="595" t="n"/>
      <c r="W476" s="594" t="n"/>
      <c r="X476" s="595" t="n"/>
      <c r="Z476" s="594" t="n"/>
      <c r="AA476" s="595" t="n"/>
      <c r="AC476" s="594" t="n"/>
      <c r="AD476" s="595" t="n"/>
      <c r="AF476" s="594" t="n"/>
      <c r="AG476" s="595" t="n"/>
      <c r="AI476" s="594" t="n"/>
      <c r="AJ476" s="595" t="n"/>
      <c r="AL476" s="594" t="n"/>
      <c r="AM476" s="595" t="n"/>
      <c r="AO476" s="594" t="n"/>
      <c r="AP476" s="595" t="n"/>
      <c r="AR476" s="594" t="n"/>
      <c r="AS476" s="595" t="n"/>
    </row>
    <row r="477" ht="15.75" customHeight="1" s="26">
      <c r="B477" s="593" t="n"/>
      <c r="E477" s="594" t="n"/>
      <c r="F477" s="595" t="n"/>
      <c r="H477" s="594" t="n"/>
      <c r="I477" s="595" t="n"/>
      <c r="K477" s="594" t="n"/>
      <c r="L477" s="595" t="n"/>
      <c r="N477" s="594" t="n"/>
      <c r="O477" s="595" t="n"/>
      <c r="Q477" s="594" t="n"/>
      <c r="R477" s="595" t="n"/>
      <c r="T477" s="594" t="n"/>
      <c r="U477" s="595" t="n"/>
      <c r="W477" s="594" t="n"/>
      <c r="X477" s="595" t="n"/>
      <c r="Z477" s="594" t="n"/>
      <c r="AA477" s="595" t="n"/>
      <c r="AC477" s="594" t="n"/>
      <c r="AD477" s="595" t="n"/>
      <c r="AF477" s="594" t="n"/>
      <c r="AG477" s="595" t="n"/>
      <c r="AI477" s="594" t="n"/>
      <c r="AJ477" s="595" t="n"/>
      <c r="AL477" s="594" t="n"/>
      <c r="AM477" s="595" t="n"/>
      <c r="AO477" s="594" t="n"/>
      <c r="AP477" s="595" t="n"/>
      <c r="AR477" s="594" t="n"/>
      <c r="AS477" s="595" t="n"/>
    </row>
    <row r="478" ht="15.75" customHeight="1" s="26">
      <c r="B478" s="593" t="n"/>
      <c r="E478" s="594" t="n"/>
      <c r="F478" s="595" t="n"/>
      <c r="H478" s="594" t="n"/>
      <c r="I478" s="595" t="n"/>
      <c r="K478" s="594" t="n"/>
      <c r="L478" s="595" t="n"/>
      <c r="N478" s="594" t="n"/>
      <c r="O478" s="595" t="n"/>
      <c r="Q478" s="594" t="n"/>
      <c r="R478" s="595" t="n"/>
      <c r="T478" s="594" t="n"/>
      <c r="U478" s="595" t="n"/>
      <c r="W478" s="594" t="n"/>
      <c r="X478" s="595" t="n"/>
      <c r="Z478" s="594" t="n"/>
      <c r="AA478" s="595" t="n"/>
      <c r="AC478" s="594" t="n"/>
      <c r="AD478" s="595" t="n"/>
      <c r="AF478" s="594" t="n"/>
      <c r="AG478" s="595" t="n"/>
      <c r="AI478" s="594" t="n"/>
      <c r="AJ478" s="595" t="n"/>
      <c r="AL478" s="594" t="n"/>
      <c r="AM478" s="595" t="n"/>
      <c r="AO478" s="594" t="n"/>
      <c r="AP478" s="595" t="n"/>
      <c r="AR478" s="594" t="n"/>
      <c r="AS478" s="595" t="n"/>
    </row>
    <row r="479" ht="15.75" customHeight="1" s="26">
      <c r="B479" s="593" t="n"/>
      <c r="E479" s="594" t="n"/>
      <c r="F479" s="595" t="n"/>
      <c r="H479" s="594" t="n"/>
      <c r="I479" s="595" t="n"/>
      <c r="K479" s="594" t="n"/>
      <c r="L479" s="595" t="n"/>
      <c r="N479" s="594" t="n"/>
      <c r="O479" s="595" t="n"/>
      <c r="Q479" s="594" t="n"/>
      <c r="R479" s="595" t="n"/>
      <c r="T479" s="594" t="n"/>
      <c r="U479" s="595" t="n"/>
      <c r="W479" s="594" t="n"/>
      <c r="X479" s="595" t="n"/>
      <c r="Z479" s="594" t="n"/>
      <c r="AA479" s="595" t="n"/>
      <c r="AC479" s="594" t="n"/>
      <c r="AD479" s="595" t="n"/>
      <c r="AF479" s="594" t="n"/>
      <c r="AG479" s="595" t="n"/>
      <c r="AI479" s="594" t="n"/>
      <c r="AJ479" s="595" t="n"/>
      <c r="AL479" s="594" t="n"/>
      <c r="AM479" s="595" t="n"/>
      <c r="AO479" s="594" t="n"/>
      <c r="AP479" s="595" t="n"/>
      <c r="AR479" s="594" t="n"/>
      <c r="AS479" s="595" t="n"/>
    </row>
    <row r="480" ht="15.75" customHeight="1" s="26">
      <c r="B480" s="593" t="n"/>
      <c r="E480" s="594" t="n"/>
      <c r="F480" s="595" t="n"/>
      <c r="H480" s="594" t="n"/>
      <c r="I480" s="595" t="n"/>
      <c r="K480" s="594" t="n"/>
      <c r="L480" s="595" t="n"/>
      <c r="N480" s="594" t="n"/>
      <c r="O480" s="595" t="n"/>
      <c r="Q480" s="594" t="n"/>
      <c r="R480" s="595" t="n"/>
      <c r="T480" s="594" t="n"/>
      <c r="U480" s="595" t="n"/>
      <c r="W480" s="594" t="n"/>
      <c r="X480" s="595" t="n"/>
      <c r="Z480" s="594" t="n"/>
      <c r="AA480" s="595" t="n"/>
      <c r="AC480" s="594" t="n"/>
      <c r="AD480" s="595" t="n"/>
      <c r="AF480" s="594" t="n"/>
      <c r="AG480" s="595" t="n"/>
      <c r="AI480" s="594" t="n"/>
      <c r="AJ480" s="595" t="n"/>
      <c r="AL480" s="594" t="n"/>
      <c r="AM480" s="595" t="n"/>
      <c r="AO480" s="594" t="n"/>
      <c r="AP480" s="595" t="n"/>
      <c r="AR480" s="594" t="n"/>
      <c r="AS480" s="595" t="n"/>
    </row>
    <row r="481" ht="15.75" customHeight="1" s="26">
      <c r="B481" s="593" t="n"/>
      <c r="E481" s="594" t="n"/>
      <c r="F481" s="595" t="n"/>
      <c r="H481" s="594" t="n"/>
      <c r="I481" s="595" t="n"/>
      <c r="K481" s="594" t="n"/>
      <c r="L481" s="595" t="n"/>
      <c r="N481" s="594" t="n"/>
      <c r="O481" s="595" t="n"/>
      <c r="Q481" s="594" t="n"/>
      <c r="R481" s="595" t="n"/>
      <c r="T481" s="594" t="n"/>
      <c r="U481" s="595" t="n"/>
      <c r="W481" s="594" t="n"/>
      <c r="X481" s="595" t="n"/>
      <c r="Z481" s="594" t="n"/>
      <c r="AA481" s="595" t="n"/>
      <c r="AC481" s="594" t="n"/>
      <c r="AD481" s="595" t="n"/>
      <c r="AF481" s="594" t="n"/>
      <c r="AG481" s="595" t="n"/>
      <c r="AI481" s="594" t="n"/>
      <c r="AJ481" s="595" t="n"/>
      <c r="AL481" s="594" t="n"/>
      <c r="AM481" s="595" t="n"/>
      <c r="AO481" s="594" t="n"/>
      <c r="AP481" s="595" t="n"/>
      <c r="AR481" s="594" t="n"/>
      <c r="AS481" s="595" t="n"/>
    </row>
    <row r="482" ht="15.75" customHeight="1" s="26">
      <c r="B482" s="593" t="n"/>
      <c r="E482" s="594" t="n"/>
      <c r="F482" s="595" t="n"/>
      <c r="H482" s="594" t="n"/>
      <c r="I482" s="595" t="n"/>
      <c r="K482" s="594" t="n"/>
      <c r="L482" s="595" t="n"/>
      <c r="N482" s="594" t="n"/>
      <c r="O482" s="595" t="n"/>
      <c r="Q482" s="594" t="n"/>
      <c r="R482" s="595" t="n"/>
      <c r="T482" s="594" t="n"/>
      <c r="U482" s="595" t="n"/>
      <c r="W482" s="594" t="n"/>
      <c r="X482" s="595" t="n"/>
      <c r="Z482" s="594" t="n"/>
      <c r="AA482" s="595" t="n"/>
      <c r="AC482" s="594" t="n"/>
      <c r="AD482" s="595" t="n"/>
      <c r="AF482" s="594" t="n"/>
      <c r="AG482" s="595" t="n"/>
      <c r="AI482" s="594" t="n"/>
      <c r="AJ482" s="595" t="n"/>
      <c r="AL482" s="594" t="n"/>
      <c r="AM482" s="595" t="n"/>
      <c r="AO482" s="594" t="n"/>
      <c r="AP482" s="595" t="n"/>
      <c r="AR482" s="594" t="n"/>
      <c r="AS482" s="595" t="n"/>
    </row>
    <row r="483" ht="15.75" customHeight="1" s="26">
      <c r="B483" s="593" t="n"/>
      <c r="E483" s="594" t="n"/>
      <c r="F483" s="595" t="n"/>
      <c r="H483" s="594" t="n"/>
      <c r="I483" s="595" t="n"/>
      <c r="K483" s="594" t="n"/>
      <c r="L483" s="595" t="n"/>
      <c r="N483" s="594" t="n"/>
      <c r="O483" s="595" t="n"/>
      <c r="Q483" s="594" t="n"/>
      <c r="R483" s="595" t="n"/>
      <c r="T483" s="594" t="n"/>
      <c r="U483" s="595" t="n"/>
      <c r="W483" s="594" t="n"/>
      <c r="X483" s="595" t="n"/>
      <c r="Z483" s="594" t="n"/>
      <c r="AA483" s="595" t="n"/>
      <c r="AC483" s="594" t="n"/>
      <c r="AD483" s="595" t="n"/>
      <c r="AF483" s="594" t="n"/>
      <c r="AG483" s="595" t="n"/>
      <c r="AI483" s="594" t="n"/>
      <c r="AJ483" s="595" t="n"/>
      <c r="AL483" s="594" t="n"/>
      <c r="AM483" s="595" t="n"/>
      <c r="AO483" s="594" t="n"/>
      <c r="AP483" s="595" t="n"/>
      <c r="AR483" s="594" t="n"/>
      <c r="AS483" s="595" t="n"/>
    </row>
    <row r="484" ht="15.75" customHeight="1" s="26">
      <c r="B484" s="593" t="n"/>
      <c r="E484" s="594" t="n"/>
      <c r="F484" s="595" t="n"/>
      <c r="H484" s="594" t="n"/>
      <c r="I484" s="595" t="n"/>
      <c r="K484" s="594" t="n"/>
      <c r="L484" s="595" t="n"/>
      <c r="N484" s="594" t="n"/>
      <c r="O484" s="595" t="n"/>
      <c r="Q484" s="594" t="n"/>
      <c r="R484" s="595" t="n"/>
      <c r="T484" s="594" t="n"/>
      <c r="U484" s="595" t="n"/>
      <c r="W484" s="594" t="n"/>
      <c r="X484" s="595" t="n"/>
      <c r="Z484" s="594" t="n"/>
      <c r="AA484" s="595" t="n"/>
      <c r="AC484" s="594" t="n"/>
      <c r="AD484" s="595" t="n"/>
      <c r="AF484" s="594" t="n"/>
      <c r="AG484" s="595" t="n"/>
      <c r="AI484" s="594" t="n"/>
      <c r="AJ484" s="595" t="n"/>
      <c r="AL484" s="594" t="n"/>
      <c r="AM484" s="595" t="n"/>
      <c r="AO484" s="594" t="n"/>
      <c r="AP484" s="595" t="n"/>
      <c r="AR484" s="594" t="n"/>
      <c r="AS484" s="595" t="n"/>
    </row>
    <row r="485" ht="15.75" customHeight="1" s="26">
      <c r="B485" s="593" t="n"/>
      <c r="E485" s="594" t="n"/>
      <c r="F485" s="595" t="n"/>
      <c r="H485" s="594" t="n"/>
      <c r="I485" s="595" t="n"/>
      <c r="K485" s="594" t="n"/>
      <c r="L485" s="595" t="n"/>
      <c r="N485" s="594" t="n"/>
      <c r="O485" s="595" t="n"/>
      <c r="Q485" s="594" t="n"/>
      <c r="R485" s="595" t="n"/>
      <c r="T485" s="594" t="n"/>
      <c r="U485" s="595" t="n"/>
      <c r="W485" s="594" t="n"/>
      <c r="X485" s="595" t="n"/>
      <c r="Z485" s="594" t="n"/>
      <c r="AA485" s="595" t="n"/>
      <c r="AC485" s="594" t="n"/>
      <c r="AD485" s="595" t="n"/>
      <c r="AF485" s="594" t="n"/>
      <c r="AG485" s="595" t="n"/>
      <c r="AI485" s="594" t="n"/>
      <c r="AJ485" s="595" t="n"/>
      <c r="AL485" s="594" t="n"/>
      <c r="AM485" s="595" t="n"/>
      <c r="AO485" s="594" t="n"/>
      <c r="AP485" s="595" t="n"/>
      <c r="AR485" s="594" t="n"/>
      <c r="AS485" s="595" t="n"/>
    </row>
    <row r="486" ht="15.75" customHeight="1" s="26">
      <c r="B486" s="593" t="n"/>
      <c r="E486" s="594" t="n"/>
      <c r="F486" s="595" t="n"/>
      <c r="H486" s="594" t="n"/>
      <c r="I486" s="595" t="n"/>
      <c r="K486" s="594" t="n"/>
      <c r="L486" s="595" t="n"/>
      <c r="N486" s="594" t="n"/>
      <c r="O486" s="595" t="n"/>
      <c r="Q486" s="594" t="n"/>
      <c r="R486" s="595" t="n"/>
      <c r="T486" s="594" t="n"/>
      <c r="U486" s="595" t="n"/>
      <c r="W486" s="594" t="n"/>
      <c r="X486" s="595" t="n"/>
      <c r="Z486" s="594" t="n"/>
      <c r="AA486" s="595" t="n"/>
      <c r="AC486" s="594" t="n"/>
      <c r="AD486" s="595" t="n"/>
      <c r="AF486" s="594" t="n"/>
      <c r="AG486" s="595" t="n"/>
      <c r="AI486" s="594" t="n"/>
      <c r="AJ486" s="595" t="n"/>
      <c r="AL486" s="594" t="n"/>
      <c r="AM486" s="595" t="n"/>
      <c r="AO486" s="594" t="n"/>
      <c r="AP486" s="595" t="n"/>
      <c r="AR486" s="594" t="n"/>
      <c r="AS486" s="595" t="n"/>
    </row>
    <row r="487" ht="15.75" customHeight="1" s="26">
      <c r="B487" s="593" t="n"/>
      <c r="E487" s="594" t="n"/>
      <c r="F487" s="595" t="n"/>
      <c r="H487" s="594" t="n"/>
      <c r="I487" s="595" t="n"/>
      <c r="K487" s="594" t="n"/>
      <c r="L487" s="595" t="n"/>
      <c r="N487" s="594" t="n"/>
      <c r="O487" s="595" t="n"/>
      <c r="Q487" s="594" t="n"/>
      <c r="R487" s="595" t="n"/>
      <c r="T487" s="594" t="n"/>
      <c r="U487" s="595" t="n"/>
      <c r="W487" s="594" t="n"/>
      <c r="X487" s="595" t="n"/>
      <c r="Z487" s="594" t="n"/>
      <c r="AA487" s="595" t="n"/>
      <c r="AC487" s="594" t="n"/>
      <c r="AD487" s="595" t="n"/>
      <c r="AF487" s="594" t="n"/>
      <c r="AG487" s="595" t="n"/>
      <c r="AI487" s="594" t="n"/>
      <c r="AJ487" s="595" t="n"/>
      <c r="AL487" s="594" t="n"/>
      <c r="AM487" s="595" t="n"/>
      <c r="AO487" s="594" t="n"/>
      <c r="AP487" s="595" t="n"/>
      <c r="AR487" s="594" t="n"/>
      <c r="AS487" s="595" t="n"/>
    </row>
    <row r="488" ht="15.75" customHeight="1" s="26">
      <c r="B488" s="593" t="n"/>
      <c r="E488" s="594" t="n"/>
      <c r="F488" s="595" t="n"/>
      <c r="H488" s="594" t="n"/>
      <c r="I488" s="595" t="n"/>
      <c r="K488" s="594" t="n"/>
      <c r="L488" s="595" t="n"/>
      <c r="N488" s="594" t="n"/>
      <c r="O488" s="595" t="n"/>
      <c r="Q488" s="594" t="n"/>
      <c r="R488" s="595" t="n"/>
      <c r="T488" s="594" t="n"/>
      <c r="U488" s="595" t="n"/>
      <c r="W488" s="594" t="n"/>
      <c r="X488" s="595" t="n"/>
      <c r="Z488" s="594" t="n"/>
      <c r="AA488" s="595" t="n"/>
      <c r="AC488" s="594" t="n"/>
      <c r="AD488" s="595" t="n"/>
      <c r="AF488" s="594" t="n"/>
      <c r="AG488" s="595" t="n"/>
      <c r="AI488" s="594" t="n"/>
      <c r="AJ488" s="595" t="n"/>
      <c r="AL488" s="594" t="n"/>
      <c r="AM488" s="595" t="n"/>
      <c r="AO488" s="594" t="n"/>
      <c r="AP488" s="595" t="n"/>
      <c r="AR488" s="594" t="n"/>
      <c r="AS488" s="595" t="n"/>
    </row>
    <row r="489" ht="15.75" customHeight="1" s="26">
      <c r="B489" s="593" t="n"/>
      <c r="E489" s="594" t="n"/>
      <c r="F489" s="595" t="n"/>
      <c r="H489" s="594" t="n"/>
      <c r="I489" s="595" t="n"/>
      <c r="K489" s="594" t="n"/>
      <c r="L489" s="595" t="n"/>
      <c r="N489" s="594" t="n"/>
      <c r="O489" s="595" t="n"/>
      <c r="Q489" s="594" t="n"/>
      <c r="R489" s="595" t="n"/>
      <c r="T489" s="594" t="n"/>
      <c r="U489" s="595" t="n"/>
      <c r="W489" s="594" t="n"/>
      <c r="X489" s="595" t="n"/>
      <c r="Z489" s="594" t="n"/>
      <c r="AA489" s="595" t="n"/>
      <c r="AC489" s="594" t="n"/>
      <c r="AD489" s="595" t="n"/>
      <c r="AF489" s="594" t="n"/>
      <c r="AG489" s="595" t="n"/>
      <c r="AI489" s="594" t="n"/>
      <c r="AJ489" s="595" t="n"/>
      <c r="AL489" s="594" t="n"/>
      <c r="AM489" s="595" t="n"/>
      <c r="AO489" s="594" t="n"/>
      <c r="AP489" s="595" t="n"/>
      <c r="AR489" s="594" t="n"/>
      <c r="AS489" s="595" t="n"/>
    </row>
    <row r="490" ht="15.75" customHeight="1" s="26">
      <c r="B490" s="593" t="n"/>
      <c r="E490" s="594" t="n"/>
      <c r="F490" s="595" t="n"/>
      <c r="H490" s="594" t="n"/>
      <c r="I490" s="595" t="n"/>
      <c r="K490" s="594" t="n"/>
      <c r="L490" s="595" t="n"/>
      <c r="N490" s="594" t="n"/>
      <c r="O490" s="595" t="n"/>
      <c r="Q490" s="594" t="n"/>
      <c r="R490" s="595" t="n"/>
      <c r="T490" s="594" t="n"/>
      <c r="U490" s="595" t="n"/>
      <c r="W490" s="594" t="n"/>
      <c r="X490" s="595" t="n"/>
      <c r="Z490" s="594" t="n"/>
      <c r="AA490" s="595" t="n"/>
      <c r="AC490" s="594" t="n"/>
      <c r="AD490" s="595" t="n"/>
      <c r="AF490" s="594" t="n"/>
      <c r="AG490" s="595" t="n"/>
      <c r="AI490" s="594" t="n"/>
      <c r="AJ490" s="595" t="n"/>
      <c r="AL490" s="594" t="n"/>
      <c r="AM490" s="595" t="n"/>
      <c r="AO490" s="594" t="n"/>
      <c r="AP490" s="595" t="n"/>
      <c r="AR490" s="594" t="n"/>
      <c r="AS490" s="595" t="n"/>
    </row>
    <row r="491" ht="15.75" customHeight="1" s="26">
      <c r="B491" s="593" t="n"/>
      <c r="E491" s="594" t="n"/>
      <c r="F491" s="595" t="n"/>
      <c r="H491" s="594" t="n"/>
      <c r="I491" s="595" t="n"/>
      <c r="K491" s="594" t="n"/>
      <c r="L491" s="595" t="n"/>
      <c r="N491" s="594" t="n"/>
      <c r="O491" s="595" t="n"/>
      <c r="Q491" s="594" t="n"/>
      <c r="R491" s="595" t="n"/>
      <c r="T491" s="594" t="n"/>
      <c r="U491" s="595" t="n"/>
      <c r="W491" s="594" t="n"/>
      <c r="X491" s="595" t="n"/>
      <c r="Z491" s="594" t="n"/>
      <c r="AA491" s="595" t="n"/>
      <c r="AC491" s="594" t="n"/>
      <c r="AD491" s="595" t="n"/>
      <c r="AF491" s="594" t="n"/>
      <c r="AG491" s="595" t="n"/>
      <c r="AI491" s="594" t="n"/>
      <c r="AJ491" s="595" t="n"/>
      <c r="AL491" s="594" t="n"/>
      <c r="AM491" s="595" t="n"/>
      <c r="AO491" s="594" t="n"/>
      <c r="AP491" s="595" t="n"/>
      <c r="AR491" s="594" t="n"/>
      <c r="AS491" s="595" t="n"/>
    </row>
    <row r="492" ht="15.75" customHeight="1" s="26">
      <c r="B492" s="593" t="n"/>
      <c r="E492" s="594" t="n"/>
      <c r="F492" s="595" t="n"/>
      <c r="H492" s="594" t="n"/>
      <c r="I492" s="595" t="n"/>
      <c r="K492" s="594" t="n"/>
      <c r="L492" s="595" t="n"/>
      <c r="N492" s="594" t="n"/>
      <c r="O492" s="595" t="n"/>
      <c r="Q492" s="594" t="n"/>
      <c r="R492" s="595" t="n"/>
      <c r="T492" s="594" t="n"/>
      <c r="U492" s="595" t="n"/>
      <c r="W492" s="594" t="n"/>
      <c r="X492" s="595" t="n"/>
      <c r="Z492" s="594" t="n"/>
      <c r="AA492" s="595" t="n"/>
      <c r="AC492" s="594" t="n"/>
      <c r="AD492" s="595" t="n"/>
      <c r="AF492" s="594" t="n"/>
      <c r="AG492" s="595" t="n"/>
      <c r="AI492" s="594" t="n"/>
      <c r="AJ492" s="595" t="n"/>
      <c r="AL492" s="594" t="n"/>
      <c r="AM492" s="595" t="n"/>
      <c r="AO492" s="594" t="n"/>
      <c r="AP492" s="595" t="n"/>
      <c r="AR492" s="594" t="n"/>
      <c r="AS492" s="595" t="n"/>
    </row>
    <row r="493" ht="15.75" customHeight="1" s="26">
      <c r="B493" s="593" t="n"/>
      <c r="E493" s="594" t="n"/>
      <c r="F493" s="595" t="n"/>
      <c r="H493" s="594" t="n"/>
      <c r="I493" s="595" t="n"/>
      <c r="K493" s="594" t="n"/>
      <c r="L493" s="595" t="n"/>
      <c r="N493" s="594" t="n"/>
      <c r="O493" s="595" t="n"/>
      <c r="Q493" s="594" t="n"/>
      <c r="R493" s="595" t="n"/>
      <c r="T493" s="594" t="n"/>
      <c r="U493" s="595" t="n"/>
      <c r="W493" s="594" t="n"/>
      <c r="X493" s="595" t="n"/>
      <c r="Z493" s="594" t="n"/>
      <c r="AA493" s="595" t="n"/>
      <c r="AC493" s="594" t="n"/>
      <c r="AD493" s="595" t="n"/>
      <c r="AF493" s="594" t="n"/>
      <c r="AG493" s="595" t="n"/>
      <c r="AI493" s="594" t="n"/>
      <c r="AJ493" s="595" t="n"/>
      <c r="AL493" s="594" t="n"/>
      <c r="AM493" s="595" t="n"/>
      <c r="AO493" s="594" t="n"/>
      <c r="AP493" s="595" t="n"/>
      <c r="AR493" s="594" t="n"/>
      <c r="AS493" s="595" t="n"/>
    </row>
    <row r="494" ht="15.75" customHeight="1" s="26">
      <c r="B494" s="593" t="n"/>
      <c r="E494" s="594" t="n"/>
      <c r="F494" s="595" t="n"/>
      <c r="H494" s="594" t="n"/>
      <c r="I494" s="595" t="n"/>
      <c r="K494" s="594" t="n"/>
      <c r="L494" s="595" t="n"/>
      <c r="N494" s="594" t="n"/>
      <c r="O494" s="595" t="n"/>
      <c r="Q494" s="594" t="n"/>
      <c r="R494" s="595" t="n"/>
      <c r="T494" s="594" t="n"/>
      <c r="U494" s="595" t="n"/>
      <c r="W494" s="594" t="n"/>
      <c r="X494" s="595" t="n"/>
      <c r="Z494" s="594" t="n"/>
      <c r="AA494" s="595" t="n"/>
      <c r="AC494" s="594" t="n"/>
      <c r="AD494" s="595" t="n"/>
      <c r="AF494" s="594" t="n"/>
      <c r="AG494" s="595" t="n"/>
      <c r="AI494" s="594" t="n"/>
      <c r="AJ494" s="595" t="n"/>
      <c r="AL494" s="594" t="n"/>
      <c r="AM494" s="595" t="n"/>
      <c r="AO494" s="594" t="n"/>
      <c r="AP494" s="595" t="n"/>
      <c r="AR494" s="594" t="n"/>
      <c r="AS494" s="595" t="n"/>
    </row>
    <row r="495" ht="15.75" customHeight="1" s="26">
      <c r="B495" s="593" t="n"/>
      <c r="E495" s="594" t="n"/>
      <c r="F495" s="595" t="n"/>
      <c r="H495" s="594" t="n"/>
      <c r="I495" s="595" t="n"/>
      <c r="K495" s="594" t="n"/>
      <c r="L495" s="595" t="n"/>
      <c r="N495" s="594" t="n"/>
      <c r="O495" s="595" t="n"/>
      <c r="Q495" s="594" t="n"/>
      <c r="R495" s="595" t="n"/>
      <c r="T495" s="594" t="n"/>
      <c r="U495" s="595" t="n"/>
      <c r="W495" s="594" t="n"/>
      <c r="X495" s="595" t="n"/>
      <c r="Z495" s="594" t="n"/>
      <c r="AA495" s="595" t="n"/>
      <c r="AC495" s="594" t="n"/>
      <c r="AD495" s="595" t="n"/>
      <c r="AF495" s="594" t="n"/>
      <c r="AG495" s="595" t="n"/>
      <c r="AI495" s="594" t="n"/>
      <c r="AJ495" s="595" t="n"/>
      <c r="AL495" s="594" t="n"/>
      <c r="AM495" s="595" t="n"/>
      <c r="AO495" s="594" t="n"/>
      <c r="AP495" s="595" t="n"/>
      <c r="AR495" s="594" t="n"/>
      <c r="AS495" s="595" t="n"/>
    </row>
    <row r="496" ht="15.75" customHeight="1" s="26">
      <c r="B496" s="593" t="n"/>
      <c r="E496" s="594" t="n"/>
      <c r="F496" s="595" t="n"/>
      <c r="H496" s="594" t="n"/>
      <c r="I496" s="595" t="n"/>
      <c r="K496" s="594" t="n"/>
      <c r="L496" s="595" t="n"/>
      <c r="N496" s="594" t="n"/>
      <c r="O496" s="595" t="n"/>
      <c r="Q496" s="594" t="n"/>
      <c r="R496" s="595" t="n"/>
      <c r="T496" s="594" t="n"/>
      <c r="U496" s="595" t="n"/>
      <c r="W496" s="594" t="n"/>
      <c r="X496" s="595" t="n"/>
      <c r="Z496" s="594" t="n"/>
      <c r="AA496" s="595" t="n"/>
      <c r="AC496" s="594" t="n"/>
      <c r="AD496" s="595" t="n"/>
      <c r="AF496" s="594" t="n"/>
      <c r="AG496" s="595" t="n"/>
      <c r="AI496" s="594" t="n"/>
      <c r="AJ496" s="595" t="n"/>
      <c r="AL496" s="594" t="n"/>
      <c r="AM496" s="595" t="n"/>
      <c r="AO496" s="594" t="n"/>
      <c r="AP496" s="595" t="n"/>
      <c r="AR496" s="594" t="n"/>
      <c r="AS496" s="595" t="n"/>
    </row>
    <row r="497" ht="15.75" customHeight="1" s="26">
      <c r="B497" s="593" t="n"/>
      <c r="E497" s="594" t="n"/>
      <c r="F497" s="595" t="n"/>
      <c r="H497" s="594" t="n"/>
      <c r="I497" s="595" t="n"/>
      <c r="K497" s="594" t="n"/>
      <c r="L497" s="595" t="n"/>
      <c r="N497" s="594" t="n"/>
      <c r="O497" s="595" t="n"/>
      <c r="Q497" s="594" t="n"/>
      <c r="R497" s="595" t="n"/>
      <c r="T497" s="594" t="n"/>
      <c r="U497" s="595" t="n"/>
      <c r="W497" s="594" t="n"/>
      <c r="X497" s="595" t="n"/>
      <c r="Z497" s="594" t="n"/>
      <c r="AA497" s="595" t="n"/>
      <c r="AC497" s="594" t="n"/>
      <c r="AD497" s="595" t="n"/>
      <c r="AF497" s="594" t="n"/>
      <c r="AG497" s="595" t="n"/>
      <c r="AI497" s="594" t="n"/>
      <c r="AJ497" s="595" t="n"/>
      <c r="AL497" s="594" t="n"/>
      <c r="AM497" s="595" t="n"/>
      <c r="AO497" s="594" t="n"/>
      <c r="AP497" s="595" t="n"/>
      <c r="AR497" s="594" t="n"/>
      <c r="AS497" s="595" t="n"/>
    </row>
    <row r="498" ht="15.75" customHeight="1" s="26">
      <c r="B498" s="593" t="n"/>
      <c r="E498" s="594" t="n"/>
      <c r="F498" s="595" t="n"/>
      <c r="H498" s="594" t="n"/>
      <c r="I498" s="595" t="n"/>
      <c r="K498" s="594" t="n"/>
      <c r="L498" s="595" t="n"/>
      <c r="N498" s="594" t="n"/>
      <c r="O498" s="595" t="n"/>
      <c r="Q498" s="594" t="n"/>
      <c r="R498" s="595" t="n"/>
      <c r="T498" s="594" t="n"/>
      <c r="U498" s="595" t="n"/>
      <c r="W498" s="594" t="n"/>
      <c r="X498" s="595" t="n"/>
      <c r="Z498" s="594" t="n"/>
      <c r="AA498" s="595" t="n"/>
      <c r="AC498" s="594" t="n"/>
      <c r="AD498" s="595" t="n"/>
      <c r="AF498" s="594" t="n"/>
      <c r="AG498" s="595" t="n"/>
      <c r="AI498" s="594" t="n"/>
      <c r="AJ498" s="595" t="n"/>
      <c r="AL498" s="594" t="n"/>
      <c r="AM498" s="595" t="n"/>
      <c r="AO498" s="594" t="n"/>
      <c r="AP498" s="595" t="n"/>
      <c r="AR498" s="594" t="n"/>
      <c r="AS498" s="595" t="n"/>
    </row>
    <row r="499" ht="15.75" customHeight="1" s="26">
      <c r="B499" s="593" t="n"/>
      <c r="E499" s="594" t="n"/>
      <c r="F499" s="595" t="n"/>
      <c r="H499" s="594" t="n"/>
      <c r="I499" s="595" t="n"/>
      <c r="K499" s="594" t="n"/>
      <c r="L499" s="595" t="n"/>
      <c r="N499" s="594" t="n"/>
      <c r="O499" s="595" t="n"/>
      <c r="Q499" s="594" t="n"/>
      <c r="R499" s="595" t="n"/>
      <c r="T499" s="594" t="n"/>
      <c r="U499" s="595" t="n"/>
      <c r="W499" s="594" t="n"/>
      <c r="X499" s="595" t="n"/>
      <c r="Z499" s="594" t="n"/>
      <c r="AA499" s="595" t="n"/>
      <c r="AC499" s="594" t="n"/>
      <c r="AD499" s="595" t="n"/>
      <c r="AF499" s="594" t="n"/>
      <c r="AG499" s="595" t="n"/>
      <c r="AI499" s="594" t="n"/>
      <c r="AJ499" s="595" t="n"/>
      <c r="AL499" s="594" t="n"/>
      <c r="AM499" s="595" t="n"/>
      <c r="AO499" s="594" t="n"/>
      <c r="AP499" s="595" t="n"/>
      <c r="AR499" s="594" t="n"/>
      <c r="AS499" s="595" t="n"/>
    </row>
    <row r="500" ht="15.75" customHeight="1" s="26">
      <c r="B500" s="593" t="n"/>
      <c r="E500" s="594" t="n"/>
      <c r="F500" s="595" t="n"/>
      <c r="H500" s="594" t="n"/>
      <c r="I500" s="595" t="n"/>
      <c r="K500" s="594" t="n"/>
      <c r="L500" s="595" t="n"/>
      <c r="N500" s="594" t="n"/>
      <c r="O500" s="595" t="n"/>
      <c r="Q500" s="594" t="n"/>
      <c r="R500" s="595" t="n"/>
      <c r="T500" s="594" t="n"/>
      <c r="U500" s="595" t="n"/>
      <c r="W500" s="594" t="n"/>
      <c r="X500" s="595" t="n"/>
      <c r="Z500" s="594" t="n"/>
      <c r="AA500" s="595" t="n"/>
      <c r="AC500" s="594" t="n"/>
      <c r="AD500" s="595" t="n"/>
      <c r="AF500" s="594" t="n"/>
      <c r="AG500" s="595" t="n"/>
      <c r="AI500" s="594" t="n"/>
      <c r="AJ500" s="595" t="n"/>
      <c r="AL500" s="594" t="n"/>
      <c r="AM500" s="595" t="n"/>
      <c r="AO500" s="594" t="n"/>
      <c r="AP500" s="595" t="n"/>
      <c r="AR500" s="594" t="n"/>
      <c r="AS500" s="595" t="n"/>
    </row>
    <row r="501" ht="15.75" customHeight="1" s="26">
      <c r="B501" s="593" t="n"/>
      <c r="E501" s="594" t="n"/>
      <c r="F501" s="595" t="n"/>
      <c r="H501" s="594" t="n"/>
      <c r="I501" s="595" t="n"/>
      <c r="K501" s="594" t="n"/>
      <c r="L501" s="595" t="n"/>
      <c r="N501" s="594" t="n"/>
      <c r="O501" s="595" t="n"/>
      <c r="Q501" s="594" t="n"/>
      <c r="R501" s="595" t="n"/>
      <c r="T501" s="594" t="n"/>
      <c r="U501" s="595" t="n"/>
      <c r="W501" s="594" t="n"/>
      <c r="X501" s="595" t="n"/>
      <c r="Z501" s="594" t="n"/>
      <c r="AA501" s="595" t="n"/>
      <c r="AC501" s="594" t="n"/>
      <c r="AD501" s="595" t="n"/>
      <c r="AF501" s="594" t="n"/>
      <c r="AG501" s="595" t="n"/>
      <c r="AI501" s="594" t="n"/>
      <c r="AJ501" s="595" t="n"/>
      <c r="AL501" s="594" t="n"/>
      <c r="AM501" s="595" t="n"/>
      <c r="AO501" s="594" t="n"/>
      <c r="AP501" s="595" t="n"/>
      <c r="AR501" s="594" t="n"/>
      <c r="AS501" s="595" t="n"/>
    </row>
    <row r="502" ht="15.75" customHeight="1" s="26">
      <c r="B502" s="593" t="n"/>
      <c r="E502" s="594" t="n"/>
      <c r="F502" s="595" t="n"/>
      <c r="H502" s="594" t="n"/>
      <c r="I502" s="595" t="n"/>
      <c r="K502" s="594" t="n"/>
      <c r="L502" s="595" t="n"/>
      <c r="N502" s="594" t="n"/>
      <c r="O502" s="595" t="n"/>
      <c r="Q502" s="594" t="n"/>
      <c r="R502" s="595" t="n"/>
      <c r="T502" s="594" t="n"/>
      <c r="U502" s="595" t="n"/>
      <c r="W502" s="594" t="n"/>
      <c r="X502" s="595" t="n"/>
      <c r="Z502" s="594" t="n"/>
      <c r="AA502" s="595" t="n"/>
      <c r="AC502" s="594" t="n"/>
      <c r="AD502" s="595" t="n"/>
      <c r="AF502" s="594" t="n"/>
      <c r="AG502" s="595" t="n"/>
      <c r="AI502" s="594" t="n"/>
      <c r="AJ502" s="595" t="n"/>
      <c r="AL502" s="594" t="n"/>
      <c r="AM502" s="595" t="n"/>
      <c r="AO502" s="594" t="n"/>
      <c r="AP502" s="595" t="n"/>
      <c r="AR502" s="594" t="n"/>
      <c r="AS502" s="595" t="n"/>
    </row>
    <row r="503" ht="15.75" customHeight="1" s="26">
      <c r="B503" s="593" t="n"/>
      <c r="E503" s="594" t="n"/>
      <c r="F503" s="595" t="n"/>
      <c r="H503" s="594" t="n"/>
      <c r="I503" s="595" t="n"/>
      <c r="K503" s="594" t="n"/>
      <c r="L503" s="595" t="n"/>
      <c r="N503" s="594" t="n"/>
      <c r="O503" s="595" t="n"/>
      <c r="Q503" s="594" t="n"/>
      <c r="R503" s="595" t="n"/>
      <c r="T503" s="594" t="n"/>
      <c r="U503" s="595" t="n"/>
      <c r="W503" s="594" t="n"/>
      <c r="X503" s="595" t="n"/>
      <c r="Z503" s="594" t="n"/>
      <c r="AA503" s="595" t="n"/>
      <c r="AC503" s="594" t="n"/>
      <c r="AD503" s="595" t="n"/>
      <c r="AF503" s="594" t="n"/>
      <c r="AG503" s="595" t="n"/>
      <c r="AI503" s="594" t="n"/>
      <c r="AJ503" s="595" t="n"/>
      <c r="AL503" s="594" t="n"/>
      <c r="AM503" s="595" t="n"/>
      <c r="AO503" s="594" t="n"/>
      <c r="AP503" s="595" t="n"/>
      <c r="AR503" s="594" t="n"/>
      <c r="AS503" s="595" t="n"/>
    </row>
    <row r="504" ht="15.75" customHeight="1" s="26">
      <c r="B504" s="593" t="n"/>
      <c r="E504" s="594" t="n"/>
      <c r="F504" s="595" t="n"/>
      <c r="H504" s="594" t="n"/>
      <c r="I504" s="595" t="n"/>
      <c r="K504" s="594" t="n"/>
      <c r="L504" s="595" t="n"/>
      <c r="N504" s="594" t="n"/>
      <c r="O504" s="595" t="n"/>
      <c r="Q504" s="594" t="n"/>
      <c r="R504" s="595" t="n"/>
      <c r="T504" s="594" t="n"/>
      <c r="U504" s="595" t="n"/>
      <c r="W504" s="594" t="n"/>
      <c r="X504" s="595" t="n"/>
      <c r="Z504" s="594" t="n"/>
      <c r="AA504" s="595" t="n"/>
      <c r="AC504" s="594" t="n"/>
      <c r="AD504" s="595" t="n"/>
      <c r="AF504" s="594" t="n"/>
      <c r="AG504" s="595" t="n"/>
      <c r="AI504" s="594" t="n"/>
      <c r="AJ504" s="595" t="n"/>
      <c r="AL504" s="594" t="n"/>
      <c r="AM504" s="595" t="n"/>
      <c r="AO504" s="594" t="n"/>
      <c r="AP504" s="595" t="n"/>
      <c r="AR504" s="594" t="n"/>
      <c r="AS504" s="595" t="n"/>
    </row>
    <row r="505" ht="15.75" customHeight="1" s="26">
      <c r="B505" s="593" t="n"/>
      <c r="E505" s="594" t="n"/>
      <c r="F505" s="595" t="n"/>
      <c r="H505" s="594" t="n"/>
      <c r="I505" s="595" t="n"/>
      <c r="K505" s="594" t="n"/>
      <c r="L505" s="595" t="n"/>
      <c r="N505" s="594" t="n"/>
      <c r="O505" s="595" t="n"/>
      <c r="Q505" s="594" t="n"/>
      <c r="R505" s="595" t="n"/>
      <c r="T505" s="594" t="n"/>
      <c r="U505" s="595" t="n"/>
      <c r="W505" s="594" t="n"/>
      <c r="X505" s="595" t="n"/>
      <c r="Z505" s="594" t="n"/>
      <c r="AA505" s="595" t="n"/>
      <c r="AC505" s="594" t="n"/>
      <c r="AD505" s="595" t="n"/>
      <c r="AF505" s="594" t="n"/>
      <c r="AG505" s="595" t="n"/>
      <c r="AI505" s="594" t="n"/>
      <c r="AJ505" s="595" t="n"/>
      <c r="AL505" s="594" t="n"/>
      <c r="AM505" s="595" t="n"/>
      <c r="AO505" s="594" t="n"/>
      <c r="AP505" s="595" t="n"/>
      <c r="AR505" s="594" t="n"/>
      <c r="AS505" s="595" t="n"/>
    </row>
    <row r="506" ht="15.75" customHeight="1" s="26">
      <c r="B506" s="593" t="n"/>
      <c r="E506" s="594" t="n"/>
      <c r="F506" s="595" t="n"/>
      <c r="H506" s="594" t="n"/>
      <c r="I506" s="595" t="n"/>
      <c r="K506" s="594" t="n"/>
      <c r="L506" s="595" t="n"/>
      <c r="N506" s="594" t="n"/>
      <c r="O506" s="595" t="n"/>
      <c r="Q506" s="594" t="n"/>
      <c r="R506" s="595" t="n"/>
      <c r="T506" s="594" t="n"/>
      <c r="U506" s="595" t="n"/>
      <c r="W506" s="594" t="n"/>
      <c r="X506" s="595" t="n"/>
      <c r="Z506" s="594" t="n"/>
      <c r="AA506" s="595" t="n"/>
      <c r="AC506" s="594" t="n"/>
      <c r="AD506" s="595" t="n"/>
      <c r="AF506" s="594" t="n"/>
      <c r="AG506" s="595" t="n"/>
      <c r="AI506" s="594" t="n"/>
      <c r="AJ506" s="595" t="n"/>
      <c r="AL506" s="594" t="n"/>
      <c r="AM506" s="595" t="n"/>
      <c r="AO506" s="594" t="n"/>
      <c r="AP506" s="595" t="n"/>
      <c r="AR506" s="594" t="n"/>
      <c r="AS506" s="595" t="n"/>
    </row>
    <row r="507" ht="15.75" customHeight="1" s="26">
      <c r="B507" s="593" t="n"/>
      <c r="E507" s="594" t="n"/>
      <c r="F507" s="595" t="n"/>
      <c r="H507" s="594" t="n"/>
      <c r="I507" s="595" t="n"/>
      <c r="K507" s="594" t="n"/>
      <c r="L507" s="595" t="n"/>
      <c r="N507" s="594" t="n"/>
      <c r="O507" s="595" t="n"/>
      <c r="Q507" s="594" t="n"/>
      <c r="R507" s="595" t="n"/>
      <c r="T507" s="594" t="n"/>
      <c r="U507" s="595" t="n"/>
      <c r="W507" s="594" t="n"/>
      <c r="X507" s="595" t="n"/>
      <c r="Z507" s="594" t="n"/>
      <c r="AA507" s="595" t="n"/>
      <c r="AC507" s="594" t="n"/>
      <c r="AD507" s="595" t="n"/>
      <c r="AF507" s="594" t="n"/>
      <c r="AG507" s="595" t="n"/>
      <c r="AI507" s="594" t="n"/>
      <c r="AJ507" s="595" t="n"/>
      <c r="AL507" s="594" t="n"/>
      <c r="AM507" s="595" t="n"/>
      <c r="AO507" s="594" t="n"/>
      <c r="AP507" s="595" t="n"/>
      <c r="AR507" s="594" t="n"/>
      <c r="AS507" s="595" t="n"/>
    </row>
    <row r="508" ht="15.75" customHeight="1" s="26">
      <c r="B508" s="593" t="n"/>
      <c r="E508" s="594" t="n"/>
      <c r="F508" s="595" t="n"/>
      <c r="H508" s="594" t="n"/>
      <c r="I508" s="595" t="n"/>
      <c r="K508" s="594" t="n"/>
      <c r="L508" s="595" t="n"/>
      <c r="N508" s="594" t="n"/>
      <c r="O508" s="595" t="n"/>
      <c r="Q508" s="594" t="n"/>
      <c r="R508" s="595" t="n"/>
      <c r="T508" s="594" t="n"/>
      <c r="U508" s="595" t="n"/>
      <c r="W508" s="594" t="n"/>
      <c r="X508" s="595" t="n"/>
      <c r="Z508" s="594" t="n"/>
      <c r="AA508" s="595" t="n"/>
      <c r="AC508" s="594" t="n"/>
      <c r="AD508" s="595" t="n"/>
      <c r="AF508" s="594" t="n"/>
      <c r="AG508" s="595" t="n"/>
      <c r="AI508" s="594" t="n"/>
      <c r="AJ508" s="595" t="n"/>
      <c r="AL508" s="594" t="n"/>
      <c r="AM508" s="595" t="n"/>
      <c r="AO508" s="594" t="n"/>
      <c r="AP508" s="595" t="n"/>
      <c r="AR508" s="594" t="n"/>
      <c r="AS508" s="595" t="n"/>
    </row>
    <row r="509" ht="15.75" customHeight="1" s="26">
      <c r="B509" s="593" t="n"/>
      <c r="E509" s="594" t="n"/>
      <c r="F509" s="595" t="n"/>
      <c r="H509" s="594" t="n"/>
      <c r="I509" s="595" t="n"/>
      <c r="K509" s="594" t="n"/>
      <c r="L509" s="595" t="n"/>
      <c r="N509" s="594" t="n"/>
      <c r="O509" s="595" t="n"/>
      <c r="Q509" s="594" t="n"/>
      <c r="R509" s="595" t="n"/>
      <c r="T509" s="594" t="n"/>
      <c r="U509" s="595" t="n"/>
      <c r="W509" s="594" t="n"/>
      <c r="X509" s="595" t="n"/>
      <c r="Z509" s="594" t="n"/>
      <c r="AA509" s="595" t="n"/>
      <c r="AC509" s="594" t="n"/>
      <c r="AD509" s="595" t="n"/>
      <c r="AF509" s="594" t="n"/>
      <c r="AG509" s="595" t="n"/>
      <c r="AI509" s="594" t="n"/>
      <c r="AJ509" s="595" t="n"/>
      <c r="AL509" s="594" t="n"/>
      <c r="AM509" s="595" t="n"/>
      <c r="AO509" s="594" t="n"/>
      <c r="AP509" s="595" t="n"/>
      <c r="AR509" s="594" t="n"/>
      <c r="AS509" s="595" t="n"/>
    </row>
    <row r="510" ht="15.75" customHeight="1" s="26">
      <c r="B510" s="593" t="n"/>
      <c r="E510" s="594" t="n"/>
      <c r="F510" s="595" t="n"/>
      <c r="H510" s="594" t="n"/>
      <c r="I510" s="595" t="n"/>
      <c r="K510" s="594" t="n"/>
      <c r="L510" s="595" t="n"/>
      <c r="N510" s="594" t="n"/>
      <c r="O510" s="595" t="n"/>
      <c r="Q510" s="594" t="n"/>
      <c r="R510" s="595" t="n"/>
      <c r="T510" s="594" t="n"/>
      <c r="U510" s="595" t="n"/>
      <c r="W510" s="594" t="n"/>
      <c r="X510" s="595" t="n"/>
      <c r="Z510" s="594" t="n"/>
      <c r="AA510" s="595" t="n"/>
      <c r="AC510" s="594" t="n"/>
      <c r="AD510" s="595" t="n"/>
      <c r="AF510" s="594" t="n"/>
      <c r="AG510" s="595" t="n"/>
      <c r="AI510" s="594" t="n"/>
      <c r="AJ510" s="595" t="n"/>
      <c r="AL510" s="594" t="n"/>
      <c r="AM510" s="595" t="n"/>
      <c r="AO510" s="594" t="n"/>
      <c r="AP510" s="595" t="n"/>
      <c r="AR510" s="594" t="n"/>
      <c r="AS510" s="595" t="n"/>
    </row>
    <row r="511" ht="15.75" customHeight="1" s="26">
      <c r="B511" s="593" t="n"/>
      <c r="E511" s="594" t="n"/>
      <c r="F511" s="595" t="n"/>
      <c r="H511" s="594" t="n"/>
      <c r="I511" s="595" t="n"/>
      <c r="K511" s="594" t="n"/>
      <c r="L511" s="595" t="n"/>
      <c r="N511" s="594" t="n"/>
      <c r="O511" s="595" t="n"/>
      <c r="Q511" s="594" t="n"/>
      <c r="R511" s="595" t="n"/>
      <c r="T511" s="594" t="n"/>
      <c r="U511" s="595" t="n"/>
      <c r="W511" s="594" t="n"/>
      <c r="X511" s="595" t="n"/>
      <c r="Z511" s="594" t="n"/>
      <c r="AA511" s="595" t="n"/>
      <c r="AC511" s="594" t="n"/>
      <c r="AD511" s="595" t="n"/>
      <c r="AF511" s="594" t="n"/>
      <c r="AG511" s="595" t="n"/>
      <c r="AI511" s="594" t="n"/>
      <c r="AJ511" s="595" t="n"/>
      <c r="AL511" s="594" t="n"/>
      <c r="AM511" s="595" t="n"/>
      <c r="AO511" s="594" t="n"/>
      <c r="AP511" s="595" t="n"/>
      <c r="AR511" s="594" t="n"/>
      <c r="AS511" s="595" t="n"/>
    </row>
    <row r="512" ht="15.75" customHeight="1" s="26">
      <c r="B512" s="593" t="n"/>
      <c r="E512" s="594" t="n"/>
      <c r="F512" s="595" t="n"/>
      <c r="H512" s="594" t="n"/>
      <c r="I512" s="595" t="n"/>
      <c r="K512" s="594" t="n"/>
      <c r="L512" s="595" t="n"/>
      <c r="N512" s="594" t="n"/>
      <c r="O512" s="595" t="n"/>
      <c r="Q512" s="594" t="n"/>
      <c r="R512" s="595" t="n"/>
      <c r="T512" s="594" t="n"/>
      <c r="U512" s="595" t="n"/>
      <c r="W512" s="594" t="n"/>
      <c r="X512" s="595" t="n"/>
      <c r="Z512" s="594" t="n"/>
      <c r="AA512" s="595" t="n"/>
      <c r="AC512" s="594" t="n"/>
      <c r="AD512" s="595" t="n"/>
      <c r="AF512" s="594" t="n"/>
      <c r="AG512" s="595" t="n"/>
      <c r="AI512" s="594" t="n"/>
      <c r="AJ512" s="595" t="n"/>
      <c r="AL512" s="594" t="n"/>
      <c r="AM512" s="595" t="n"/>
      <c r="AO512" s="594" t="n"/>
      <c r="AP512" s="595" t="n"/>
      <c r="AR512" s="594" t="n"/>
      <c r="AS512" s="595" t="n"/>
    </row>
    <row r="513" ht="15.75" customHeight="1" s="26">
      <c r="B513" s="593" t="n"/>
      <c r="E513" s="594" t="n"/>
      <c r="F513" s="595" t="n"/>
      <c r="H513" s="594" t="n"/>
      <c r="I513" s="595" t="n"/>
      <c r="K513" s="594" t="n"/>
      <c r="L513" s="595" t="n"/>
      <c r="N513" s="594" t="n"/>
      <c r="O513" s="595" t="n"/>
      <c r="Q513" s="594" t="n"/>
      <c r="R513" s="595" t="n"/>
      <c r="T513" s="594" t="n"/>
      <c r="U513" s="595" t="n"/>
      <c r="W513" s="594" t="n"/>
      <c r="X513" s="595" t="n"/>
      <c r="Z513" s="594" t="n"/>
      <c r="AA513" s="595" t="n"/>
      <c r="AC513" s="594" t="n"/>
      <c r="AD513" s="595" t="n"/>
      <c r="AF513" s="594" t="n"/>
      <c r="AG513" s="595" t="n"/>
      <c r="AI513" s="594" t="n"/>
      <c r="AJ513" s="595" t="n"/>
      <c r="AL513" s="594" t="n"/>
      <c r="AM513" s="595" t="n"/>
      <c r="AO513" s="594" t="n"/>
      <c r="AP513" s="595" t="n"/>
      <c r="AR513" s="594" t="n"/>
      <c r="AS513" s="595" t="n"/>
    </row>
    <row r="514" ht="15.75" customHeight="1" s="26">
      <c r="B514" s="593" t="n"/>
      <c r="E514" s="594" t="n"/>
      <c r="F514" s="595" t="n"/>
      <c r="H514" s="594" t="n"/>
      <c r="I514" s="595" t="n"/>
      <c r="K514" s="594" t="n"/>
      <c r="L514" s="595" t="n"/>
      <c r="N514" s="594" t="n"/>
      <c r="O514" s="595" t="n"/>
      <c r="Q514" s="594" t="n"/>
      <c r="R514" s="595" t="n"/>
      <c r="T514" s="594" t="n"/>
      <c r="U514" s="595" t="n"/>
      <c r="W514" s="594" t="n"/>
      <c r="X514" s="595" t="n"/>
      <c r="Z514" s="594" t="n"/>
      <c r="AA514" s="595" t="n"/>
      <c r="AC514" s="594" t="n"/>
      <c r="AD514" s="595" t="n"/>
      <c r="AF514" s="594" t="n"/>
      <c r="AG514" s="595" t="n"/>
      <c r="AI514" s="594" t="n"/>
      <c r="AJ514" s="595" t="n"/>
      <c r="AL514" s="594" t="n"/>
      <c r="AM514" s="595" t="n"/>
      <c r="AO514" s="594" t="n"/>
      <c r="AP514" s="595" t="n"/>
      <c r="AR514" s="594" t="n"/>
      <c r="AS514" s="595" t="n"/>
    </row>
    <row r="515" ht="15.75" customHeight="1" s="26">
      <c r="B515" s="593" t="n"/>
      <c r="E515" s="594" t="n"/>
      <c r="F515" s="595" t="n"/>
      <c r="H515" s="594" t="n"/>
      <c r="I515" s="595" t="n"/>
      <c r="K515" s="594" t="n"/>
      <c r="L515" s="595" t="n"/>
      <c r="N515" s="594" t="n"/>
      <c r="O515" s="595" t="n"/>
      <c r="Q515" s="594" t="n"/>
      <c r="R515" s="595" t="n"/>
      <c r="T515" s="594" t="n"/>
      <c r="U515" s="595" t="n"/>
      <c r="W515" s="594" t="n"/>
      <c r="X515" s="595" t="n"/>
      <c r="Z515" s="594" t="n"/>
      <c r="AA515" s="595" t="n"/>
      <c r="AC515" s="594" t="n"/>
      <c r="AD515" s="595" t="n"/>
      <c r="AF515" s="594" t="n"/>
      <c r="AG515" s="595" t="n"/>
      <c r="AI515" s="594" t="n"/>
      <c r="AJ515" s="595" t="n"/>
      <c r="AL515" s="594" t="n"/>
      <c r="AM515" s="595" t="n"/>
      <c r="AO515" s="594" t="n"/>
      <c r="AP515" s="595" t="n"/>
      <c r="AR515" s="594" t="n"/>
      <c r="AS515" s="595" t="n"/>
    </row>
    <row r="516" ht="15.75" customHeight="1" s="26">
      <c r="B516" s="593" t="n"/>
      <c r="E516" s="594" t="n"/>
      <c r="F516" s="595" t="n"/>
      <c r="H516" s="594" t="n"/>
      <c r="I516" s="595" t="n"/>
      <c r="K516" s="594" t="n"/>
      <c r="L516" s="595" t="n"/>
      <c r="N516" s="594" t="n"/>
      <c r="O516" s="595" t="n"/>
      <c r="Q516" s="594" t="n"/>
      <c r="R516" s="595" t="n"/>
      <c r="T516" s="594" t="n"/>
      <c r="U516" s="595" t="n"/>
      <c r="W516" s="594" t="n"/>
      <c r="X516" s="595" t="n"/>
      <c r="Z516" s="594" t="n"/>
      <c r="AA516" s="595" t="n"/>
      <c r="AC516" s="594" t="n"/>
      <c r="AD516" s="595" t="n"/>
      <c r="AF516" s="594" t="n"/>
      <c r="AG516" s="595" t="n"/>
      <c r="AI516" s="594" t="n"/>
      <c r="AJ516" s="595" t="n"/>
      <c r="AL516" s="594" t="n"/>
      <c r="AM516" s="595" t="n"/>
      <c r="AO516" s="594" t="n"/>
      <c r="AP516" s="595" t="n"/>
      <c r="AR516" s="594" t="n"/>
      <c r="AS516" s="595" t="n"/>
    </row>
    <row r="517" ht="15.75" customHeight="1" s="26">
      <c r="B517" s="593" t="n"/>
      <c r="E517" s="594" t="n"/>
      <c r="F517" s="595" t="n"/>
      <c r="H517" s="594" t="n"/>
      <c r="I517" s="595" t="n"/>
      <c r="K517" s="594" t="n"/>
      <c r="L517" s="595" t="n"/>
      <c r="N517" s="594" t="n"/>
      <c r="O517" s="595" t="n"/>
      <c r="Q517" s="594" t="n"/>
      <c r="R517" s="595" t="n"/>
      <c r="T517" s="594" t="n"/>
      <c r="U517" s="595" t="n"/>
      <c r="W517" s="594" t="n"/>
      <c r="X517" s="595" t="n"/>
      <c r="Z517" s="594" t="n"/>
      <c r="AA517" s="595" t="n"/>
      <c r="AC517" s="594" t="n"/>
      <c r="AD517" s="595" t="n"/>
      <c r="AF517" s="594" t="n"/>
      <c r="AG517" s="595" t="n"/>
      <c r="AI517" s="594" t="n"/>
      <c r="AJ517" s="595" t="n"/>
      <c r="AL517" s="594" t="n"/>
      <c r="AM517" s="595" t="n"/>
      <c r="AO517" s="594" t="n"/>
      <c r="AP517" s="595" t="n"/>
      <c r="AR517" s="594" t="n"/>
      <c r="AS517" s="595" t="n"/>
    </row>
    <row r="518" ht="15.75" customHeight="1" s="26">
      <c r="B518" s="593" t="n"/>
      <c r="E518" s="594" t="n"/>
      <c r="F518" s="595" t="n"/>
      <c r="H518" s="594" t="n"/>
      <c r="I518" s="595" t="n"/>
      <c r="K518" s="594" t="n"/>
      <c r="L518" s="595" t="n"/>
      <c r="N518" s="594" t="n"/>
      <c r="O518" s="595" t="n"/>
      <c r="Q518" s="594" t="n"/>
      <c r="R518" s="595" t="n"/>
      <c r="T518" s="594" t="n"/>
      <c r="U518" s="595" t="n"/>
      <c r="W518" s="594" t="n"/>
      <c r="X518" s="595" t="n"/>
      <c r="Z518" s="594" t="n"/>
      <c r="AA518" s="595" t="n"/>
      <c r="AC518" s="594" t="n"/>
      <c r="AD518" s="595" t="n"/>
      <c r="AF518" s="594" t="n"/>
      <c r="AG518" s="595" t="n"/>
      <c r="AI518" s="594" t="n"/>
      <c r="AJ518" s="595" t="n"/>
      <c r="AL518" s="594" t="n"/>
      <c r="AM518" s="595" t="n"/>
      <c r="AO518" s="594" t="n"/>
      <c r="AP518" s="595" t="n"/>
      <c r="AR518" s="594" t="n"/>
      <c r="AS518" s="595" t="n"/>
    </row>
    <row r="519" ht="15.75" customHeight="1" s="26">
      <c r="B519" s="593" t="n"/>
      <c r="E519" s="594" t="n"/>
      <c r="F519" s="595" t="n"/>
      <c r="H519" s="594" t="n"/>
      <c r="I519" s="595" t="n"/>
      <c r="K519" s="594" t="n"/>
      <c r="L519" s="595" t="n"/>
      <c r="N519" s="594" t="n"/>
      <c r="O519" s="595" t="n"/>
      <c r="Q519" s="594" t="n"/>
      <c r="R519" s="595" t="n"/>
      <c r="T519" s="594" t="n"/>
      <c r="U519" s="595" t="n"/>
      <c r="W519" s="594" t="n"/>
      <c r="X519" s="595" t="n"/>
      <c r="Z519" s="594" t="n"/>
      <c r="AA519" s="595" t="n"/>
      <c r="AC519" s="594" t="n"/>
      <c r="AD519" s="595" t="n"/>
      <c r="AF519" s="594" t="n"/>
      <c r="AG519" s="595" t="n"/>
      <c r="AI519" s="594" t="n"/>
      <c r="AJ519" s="595" t="n"/>
      <c r="AL519" s="594" t="n"/>
      <c r="AM519" s="595" t="n"/>
      <c r="AO519" s="594" t="n"/>
      <c r="AP519" s="595" t="n"/>
      <c r="AR519" s="594" t="n"/>
      <c r="AS519" s="595" t="n"/>
    </row>
    <row r="520" ht="15.75" customHeight="1" s="26">
      <c r="B520" s="593" t="n"/>
      <c r="E520" s="594" t="n"/>
      <c r="F520" s="595" t="n"/>
      <c r="H520" s="594" t="n"/>
      <c r="I520" s="595" t="n"/>
      <c r="K520" s="594" t="n"/>
      <c r="L520" s="595" t="n"/>
      <c r="N520" s="594" t="n"/>
      <c r="O520" s="595" t="n"/>
      <c r="Q520" s="594" t="n"/>
      <c r="R520" s="595" t="n"/>
      <c r="T520" s="594" t="n"/>
      <c r="U520" s="595" t="n"/>
      <c r="W520" s="594" t="n"/>
      <c r="X520" s="595" t="n"/>
      <c r="Z520" s="594" t="n"/>
      <c r="AA520" s="595" t="n"/>
      <c r="AC520" s="594" t="n"/>
      <c r="AD520" s="595" t="n"/>
      <c r="AF520" s="594" t="n"/>
      <c r="AG520" s="595" t="n"/>
      <c r="AI520" s="594" t="n"/>
      <c r="AJ520" s="595" t="n"/>
      <c r="AL520" s="594" t="n"/>
      <c r="AM520" s="595" t="n"/>
      <c r="AO520" s="594" t="n"/>
      <c r="AP520" s="595" t="n"/>
      <c r="AR520" s="594" t="n"/>
      <c r="AS520" s="595" t="n"/>
    </row>
    <row r="521" ht="15.75" customHeight="1" s="26">
      <c r="B521" s="593" t="n"/>
      <c r="E521" s="594" t="n"/>
      <c r="F521" s="595" t="n"/>
      <c r="H521" s="594" t="n"/>
      <c r="I521" s="595" t="n"/>
      <c r="K521" s="594" t="n"/>
      <c r="L521" s="595" t="n"/>
      <c r="N521" s="594" t="n"/>
      <c r="O521" s="595" t="n"/>
      <c r="Q521" s="594" t="n"/>
      <c r="R521" s="595" t="n"/>
      <c r="T521" s="594" t="n"/>
      <c r="U521" s="595" t="n"/>
      <c r="W521" s="594" t="n"/>
      <c r="X521" s="595" t="n"/>
      <c r="Z521" s="594" t="n"/>
      <c r="AA521" s="595" t="n"/>
      <c r="AC521" s="594" t="n"/>
      <c r="AD521" s="595" t="n"/>
      <c r="AF521" s="594" t="n"/>
      <c r="AG521" s="595" t="n"/>
      <c r="AI521" s="594" t="n"/>
      <c r="AJ521" s="595" t="n"/>
      <c r="AL521" s="594" t="n"/>
      <c r="AM521" s="595" t="n"/>
      <c r="AO521" s="594" t="n"/>
      <c r="AP521" s="595" t="n"/>
      <c r="AR521" s="594" t="n"/>
      <c r="AS521" s="595" t="n"/>
    </row>
    <row r="522" ht="15.75" customHeight="1" s="26">
      <c r="B522" s="593" t="n"/>
      <c r="E522" s="594" t="n"/>
      <c r="F522" s="595" t="n"/>
      <c r="H522" s="594" t="n"/>
      <c r="I522" s="595" t="n"/>
      <c r="K522" s="594" t="n"/>
      <c r="L522" s="595" t="n"/>
      <c r="N522" s="594" t="n"/>
      <c r="O522" s="595" t="n"/>
      <c r="Q522" s="594" t="n"/>
      <c r="R522" s="595" t="n"/>
      <c r="T522" s="594" t="n"/>
      <c r="U522" s="595" t="n"/>
      <c r="W522" s="594" t="n"/>
      <c r="X522" s="595" t="n"/>
      <c r="Z522" s="594" t="n"/>
      <c r="AA522" s="595" t="n"/>
      <c r="AC522" s="594" t="n"/>
      <c r="AD522" s="595" t="n"/>
      <c r="AF522" s="594" t="n"/>
      <c r="AG522" s="595" t="n"/>
      <c r="AI522" s="594" t="n"/>
      <c r="AJ522" s="595" t="n"/>
      <c r="AL522" s="594" t="n"/>
      <c r="AM522" s="595" t="n"/>
      <c r="AO522" s="594" t="n"/>
      <c r="AP522" s="595" t="n"/>
      <c r="AR522" s="594" t="n"/>
      <c r="AS522" s="595" t="n"/>
    </row>
    <row r="523" ht="15.75" customHeight="1" s="26">
      <c r="B523" s="593" t="n"/>
      <c r="E523" s="594" t="n"/>
      <c r="F523" s="595" t="n"/>
      <c r="H523" s="594" t="n"/>
      <c r="I523" s="595" t="n"/>
      <c r="K523" s="594" t="n"/>
      <c r="L523" s="595" t="n"/>
      <c r="N523" s="594" t="n"/>
      <c r="O523" s="595" t="n"/>
      <c r="Q523" s="594" t="n"/>
      <c r="R523" s="595" t="n"/>
      <c r="T523" s="594" t="n"/>
      <c r="U523" s="595" t="n"/>
      <c r="W523" s="594" t="n"/>
      <c r="X523" s="595" t="n"/>
      <c r="Z523" s="594" t="n"/>
      <c r="AA523" s="595" t="n"/>
      <c r="AC523" s="594" t="n"/>
      <c r="AD523" s="595" t="n"/>
      <c r="AF523" s="594" t="n"/>
      <c r="AG523" s="595" t="n"/>
      <c r="AI523" s="594" t="n"/>
      <c r="AJ523" s="595" t="n"/>
      <c r="AL523" s="594" t="n"/>
      <c r="AM523" s="595" t="n"/>
      <c r="AO523" s="594" t="n"/>
      <c r="AP523" s="595" t="n"/>
      <c r="AR523" s="594" t="n"/>
      <c r="AS523" s="595" t="n"/>
    </row>
    <row r="524" ht="15.75" customHeight="1" s="26">
      <c r="B524" s="593" t="n"/>
      <c r="E524" s="594" t="n"/>
      <c r="F524" s="595" t="n"/>
      <c r="H524" s="594" t="n"/>
      <c r="I524" s="595" t="n"/>
      <c r="K524" s="594" t="n"/>
      <c r="L524" s="595" t="n"/>
      <c r="N524" s="594" t="n"/>
      <c r="O524" s="595" t="n"/>
      <c r="Q524" s="594" t="n"/>
      <c r="R524" s="595" t="n"/>
      <c r="T524" s="594" t="n"/>
      <c r="U524" s="595" t="n"/>
      <c r="W524" s="594" t="n"/>
      <c r="X524" s="595" t="n"/>
      <c r="Z524" s="594" t="n"/>
      <c r="AA524" s="595" t="n"/>
      <c r="AC524" s="594" t="n"/>
      <c r="AD524" s="595" t="n"/>
      <c r="AF524" s="594" t="n"/>
      <c r="AG524" s="595" t="n"/>
      <c r="AI524" s="594" t="n"/>
      <c r="AJ524" s="595" t="n"/>
      <c r="AL524" s="594" t="n"/>
      <c r="AM524" s="595" t="n"/>
      <c r="AO524" s="594" t="n"/>
      <c r="AP524" s="595" t="n"/>
      <c r="AR524" s="594" t="n"/>
      <c r="AS524" s="595" t="n"/>
    </row>
    <row r="525" ht="15.75" customHeight="1" s="26">
      <c r="B525" s="593" t="n"/>
      <c r="E525" s="594" t="n"/>
      <c r="F525" s="595" t="n"/>
      <c r="H525" s="594" t="n"/>
      <c r="I525" s="595" t="n"/>
      <c r="K525" s="594" t="n"/>
      <c r="L525" s="595" t="n"/>
      <c r="N525" s="594" t="n"/>
      <c r="O525" s="595" t="n"/>
      <c r="Q525" s="594" t="n"/>
      <c r="R525" s="595" t="n"/>
      <c r="T525" s="594" t="n"/>
      <c r="U525" s="595" t="n"/>
      <c r="W525" s="594" t="n"/>
      <c r="X525" s="595" t="n"/>
      <c r="Z525" s="594" t="n"/>
      <c r="AA525" s="595" t="n"/>
      <c r="AC525" s="594" t="n"/>
      <c r="AD525" s="595" t="n"/>
      <c r="AF525" s="594" t="n"/>
      <c r="AG525" s="595" t="n"/>
      <c r="AI525" s="594" t="n"/>
      <c r="AJ525" s="595" t="n"/>
      <c r="AL525" s="594" t="n"/>
      <c r="AM525" s="595" t="n"/>
      <c r="AO525" s="594" t="n"/>
      <c r="AP525" s="595" t="n"/>
      <c r="AR525" s="594" t="n"/>
      <c r="AS525" s="595" t="n"/>
    </row>
    <row r="526" ht="15.75" customHeight="1" s="26">
      <c r="B526" s="593" t="n"/>
      <c r="E526" s="594" t="n"/>
      <c r="F526" s="595" t="n"/>
      <c r="H526" s="594" t="n"/>
      <c r="I526" s="595" t="n"/>
      <c r="K526" s="594" t="n"/>
      <c r="L526" s="595" t="n"/>
      <c r="N526" s="594" t="n"/>
      <c r="O526" s="595" t="n"/>
      <c r="Q526" s="594" t="n"/>
      <c r="R526" s="595" t="n"/>
      <c r="T526" s="594" t="n"/>
      <c r="U526" s="595" t="n"/>
      <c r="W526" s="594" t="n"/>
      <c r="X526" s="595" t="n"/>
      <c r="Z526" s="594" t="n"/>
      <c r="AA526" s="595" t="n"/>
      <c r="AC526" s="594" t="n"/>
      <c r="AD526" s="595" t="n"/>
      <c r="AF526" s="594" t="n"/>
      <c r="AG526" s="595" t="n"/>
      <c r="AI526" s="594" t="n"/>
      <c r="AJ526" s="595" t="n"/>
      <c r="AL526" s="594" t="n"/>
      <c r="AM526" s="595" t="n"/>
      <c r="AO526" s="594" t="n"/>
      <c r="AP526" s="595" t="n"/>
      <c r="AR526" s="594" t="n"/>
      <c r="AS526" s="595" t="n"/>
    </row>
    <row r="527" ht="15.75" customHeight="1" s="26">
      <c r="B527" s="593" t="n"/>
      <c r="E527" s="594" t="n"/>
      <c r="F527" s="595" t="n"/>
      <c r="H527" s="594" t="n"/>
      <c r="I527" s="595" t="n"/>
      <c r="K527" s="594" t="n"/>
      <c r="L527" s="595" t="n"/>
      <c r="N527" s="594" t="n"/>
      <c r="O527" s="595" t="n"/>
      <c r="Q527" s="594" t="n"/>
      <c r="R527" s="595" t="n"/>
      <c r="T527" s="594" t="n"/>
      <c r="U527" s="595" t="n"/>
      <c r="W527" s="594" t="n"/>
      <c r="X527" s="595" t="n"/>
      <c r="Z527" s="594" t="n"/>
      <c r="AA527" s="595" t="n"/>
      <c r="AC527" s="594" t="n"/>
      <c r="AD527" s="595" t="n"/>
      <c r="AF527" s="594" t="n"/>
      <c r="AG527" s="595" t="n"/>
      <c r="AI527" s="594" t="n"/>
      <c r="AJ527" s="595" t="n"/>
      <c r="AL527" s="594" t="n"/>
      <c r="AM527" s="595" t="n"/>
      <c r="AO527" s="594" t="n"/>
      <c r="AP527" s="595" t="n"/>
      <c r="AR527" s="594" t="n"/>
      <c r="AS527" s="595" t="n"/>
    </row>
    <row r="528" ht="15.75" customHeight="1" s="26">
      <c r="B528" s="593" t="n"/>
      <c r="E528" s="594" t="n"/>
      <c r="F528" s="595" t="n"/>
      <c r="H528" s="594" t="n"/>
      <c r="I528" s="595" t="n"/>
      <c r="K528" s="594" t="n"/>
      <c r="L528" s="595" t="n"/>
      <c r="N528" s="594" t="n"/>
      <c r="O528" s="595" t="n"/>
      <c r="Q528" s="594" t="n"/>
      <c r="R528" s="595" t="n"/>
      <c r="T528" s="594" t="n"/>
      <c r="U528" s="595" t="n"/>
      <c r="W528" s="594" t="n"/>
      <c r="X528" s="595" t="n"/>
      <c r="Z528" s="594" t="n"/>
      <c r="AA528" s="595" t="n"/>
      <c r="AC528" s="594" t="n"/>
      <c r="AD528" s="595" t="n"/>
      <c r="AF528" s="594" t="n"/>
      <c r="AG528" s="595" t="n"/>
      <c r="AI528" s="594" t="n"/>
      <c r="AJ528" s="595" t="n"/>
      <c r="AL528" s="594" t="n"/>
      <c r="AM528" s="595" t="n"/>
      <c r="AO528" s="594" t="n"/>
      <c r="AP528" s="595" t="n"/>
      <c r="AR528" s="594" t="n"/>
      <c r="AS528" s="595" t="n"/>
    </row>
    <row r="529" ht="15.75" customHeight="1" s="26">
      <c r="B529" s="593" t="n"/>
      <c r="E529" s="594" t="n"/>
      <c r="F529" s="595" t="n"/>
      <c r="H529" s="594" t="n"/>
      <c r="I529" s="595" t="n"/>
      <c r="K529" s="594" t="n"/>
      <c r="L529" s="595" t="n"/>
      <c r="N529" s="594" t="n"/>
      <c r="O529" s="595" t="n"/>
      <c r="Q529" s="594" t="n"/>
      <c r="R529" s="595" t="n"/>
      <c r="T529" s="594" t="n"/>
      <c r="U529" s="595" t="n"/>
      <c r="W529" s="594" t="n"/>
      <c r="X529" s="595" t="n"/>
      <c r="Z529" s="594" t="n"/>
      <c r="AA529" s="595" t="n"/>
      <c r="AC529" s="594" t="n"/>
      <c r="AD529" s="595" t="n"/>
      <c r="AF529" s="594" t="n"/>
      <c r="AG529" s="595" t="n"/>
      <c r="AI529" s="594" t="n"/>
      <c r="AJ529" s="595" t="n"/>
      <c r="AL529" s="594" t="n"/>
      <c r="AM529" s="595" t="n"/>
      <c r="AO529" s="594" t="n"/>
      <c r="AP529" s="595" t="n"/>
      <c r="AR529" s="594" t="n"/>
      <c r="AS529" s="595" t="n"/>
    </row>
    <row r="530" ht="15.75" customHeight="1" s="26">
      <c r="B530" s="593" t="n"/>
      <c r="E530" s="594" t="n"/>
      <c r="F530" s="595" t="n"/>
      <c r="H530" s="594" t="n"/>
      <c r="I530" s="595" t="n"/>
      <c r="K530" s="594" t="n"/>
      <c r="L530" s="595" t="n"/>
      <c r="N530" s="594" t="n"/>
      <c r="O530" s="595" t="n"/>
      <c r="Q530" s="594" t="n"/>
      <c r="R530" s="595" t="n"/>
      <c r="T530" s="594" t="n"/>
      <c r="U530" s="595" t="n"/>
      <c r="W530" s="594" t="n"/>
      <c r="X530" s="595" t="n"/>
      <c r="Z530" s="594" t="n"/>
      <c r="AA530" s="595" t="n"/>
      <c r="AC530" s="594" t="n"/>
      <c r="AD530" s="595" t="n"/>
      <c r="AF530" s="594" t="n"/>
      <c r="AG530" s="595" t="n"/>
      <c r="AI530" s="594" t="n"/>
      <c r="AJ530" s="595" t="n"/>
      <c r="AL530" s="594" t="n"/>
      <c r="AM530" s="595" t="n"/>
      <c r="AO530" s="594" t="n"/>
      <c r="AP530" s="595" t="n"/>
      <c r="AR530" s="594" t="n"/>
      <c r="AS530" s="595" t="n"/>
    </row>
    <row r="531" ht="15.75" customHeight="1" s="26">
      <c r="B531" s="593" t="n"/>
      <c r="E531" s="594" t="n"/>
      <c r="F531" s="595" t="n"/>
      <c r="H531" s="594" t="n"/>
      <c r="I531" s="595" t="n"/>
      <c r="K531" s="594" t="n"/>
      <c r="L531" s="595" t="n"/>
      <c r="N531" s="594" t="n"/>
      <c r="O531" s="595" t="n"/>
      <c r="Q531" s="594" t="n"/>
      <c r="R531" s="595" t="n"/>
      <c r="T531" s="594" t="n"/>
      <c r="U531" s="595" t="n"/>
      <c r="W531" s="594" t="n"/>
      <c r="X531" s="595" t="n"/>
      <c r="Z531" s="594" t="n"/>
      <c r="AA531" s="595" t="n"/>
      <c r="AC531" s="594" t="n"/>
      <c r="AD531" s="595" t="n"/>
      <c r="AF531" s="594" t="n"/>
      <c r="AG531" s="595" t="n"/>
      <c r="AI531" s="594" t="n"/>
      <c r="AJ531" s="595" t="n"/>
      <c r="AL531" s="594" t="n"/>
      <c r="AM531" s="595" t="n"/>
      <c r="AO531" s="594" t="n"/>
      <c r="AP531" s="595" t="n"/>
      <c r="AR531" s="594" t="n"/>
      <c r="AS531" s="595" t="n"/>
    </row>
    <row r="532" ht="15.75" customHeight="1" s="26">
      <c r="B532" s="593" t="n"/>
      <c r="E532" s="594" t="n"/>
      <c r="F532" s="595" t="n"/>
      <c r="H532" s="594" t="n"/>
      <c r="I532" s="595" t="n"/>
      <c r="K532" s="594" t="n"/>
      <c r="L532" s="595" t="n"/>
      <c r="N532" s="594" t="n"/>
      <c r="O532" s="595" t="n"/>
      <c r="Q532" s="594" t="n"/>
      <c r="R532" s="595" t="n"/>
      <c r="T532" s="594" t="n"/>
      <c r="U532" s="595" t="n"/>
      <c r="W532" s="594" t="n"/>
      <c r="X532" s="595" t="n"/>
      <c r="Z532" s="594" t="n"/>
      <c r="AA532" s="595" t="n"/>
      <c r="AC532" s="594" t="n"/>
      <c r="AD532" s="595" t="n"/>
      <c r="AF532" s="594" t="n"/>
      <c r="AG532" s="595" t="n"/>
      <c r="AI532" s="594" t="n"/>
      <c r="AJ532" s="595" t="n"/>
      <c r="AL532" s="594" t="n"/>
      <c r="AM532" s="595" t="n"/>
      <c r="AO532" s="594" t="n"/>
      <c r="AP532" s="595" t="n"/>
      <c r="AR532" s="594" t="n"/>
      <c r="AS532" s="595" t="n"/>
    </row>
    <row r="533" ht="15.75" customHeight="1" s="26">
      <c r="B533" s="593" t="n"/>
      <c r="E533" s="594" t="n"/>
      <c r="F533" s="595" t="n"/>
      <c r="H533" s="594" t="n"/>
      <c r="I533" s="595" t="n"/>
      <c r="K533" s="594" t="n"/>
      <c r="L533" s="595" t="n"/>
      <c r="N533" s="594" t="n"/>
      <c r="O533" s="595" t="n"/>
      <c r="Q533" s="594" t="n"/>
      <c r="R533" s="595" t="n"/>
      <c r="T533" s="594" t="n"/>
      <c r="U533" s="595" t="n"/>
      <c r="W533" s="594" t="n"/>
      <c r="X533" s="595" t="n"/>
      <c r="Z533" s="594" t="n"/>
      <c r="AA533" s="595" t="n"/>
      <c r="AC533" s="594" t="n"/>
      <c r="AD533" s="595" t="n"/>
      <c r="AF533" s="594" t="n"/>
      <c r="AG533" s="595" t="n"/>
      <c r="AI533" s="594" t="n"/>
      <c r="AJ533" s="595" t="n"/>
      <c r="AL533" s="594" t="n"/>
      <c r="AM533" s="595" t="n"/>
      <c r="AO533" s="594" t="n"/>
      <c r="AP533" s="595" t="n"/>
      <c r="AR533" s="594" t="n"/>
      <c r="AS533" s="595" t="n"/>
    </row>
    <row r="534" ht="15.75" customHeight="1" s="26">
      <c r="B534" s="593" t="n"/>
      <c r="E534" s="594" t="n"/>
      <c r="F534" s="595" t="n"/>
      <c r="H534" s="594" t="n"/>
      <c r="I534" s="595" t="n"/>
      <c r="K534" s="594" t="n"/>
      <c r="L534" s="595" t="n"/>
      <c r="N534" s="594" t="n"/>
      <c r="O534" s="595" t="n"/>
      <c r="Q534" s="594" t="n"/>
      <c r="R534" s="595" t="n"/>
      <c r="T534" s="594" t="n"/>
      <c r="U534" s="595" t="n"/>
      <c r="W534" s="594" t="n"/>
      <c r="X534" s="595" t="n"/>
      <c r="Z534" s="594" t="n"/>
      <c r="AA534" s="595" t="n"/>
      <c r="AC534" s="594" t="n"/>
      <c r="AD534" s="595" t="n"/>
      <c r="AF534" s="594" t="n"/>
      <c r="AG534" s="595" t="n"/>
      <c r="AI534" s="594" t="n"/>
      <c r="AJ534" s="595" t="n"/>
      <c r="AL534" s="594" t="n"/>
      <c r="AM534" s="595" t="n"/>
      <c r="AO534" s="594" t="n"/>
      <c r="AP534" s="595" t="n"/>
      <c r="AR534" s="594" t="n"/>
      <c r="AS534" s="595" t="n"/>
    </row>
    <row r="535" ht="15.75" customHeight="1" s="26">
      <c r="B535" s="593" t="n"/>
      <c r="E535" s="594" t="n"/>
      <c r="F535" s="595" t="n"/>
      <c r="H535" s="594" t="n"/>
      <c r="I535" s="595" t="n"/>
      <c r="K535" s="594" t="n"/>
      <c r="L535" s="595" t="n"/>
      <c r="N535" s="594" t="n"/>
      <c r="O535" s="595" t="n"/>
      <c r="Q535" s="594" t="n"/>
      <c r="R535" s="595" t="n"/>
      <c r="T535" s="594" t="n"/>
      <c r="U535" s="595" t="n"/>
      <c r="W535" s="594" t="n"/>
      <c r="X535" s="595" t="n"/>
      <c r="Z535" s="594" t="n"/>
      <c r="AA535" s="595" t="n"/>
      <c r="AC535" s="594" t="n"/>
      <c r="AD535" s="595" t="n"/>
      <c r="AF535" s="594" t="n"/>
      <c r="AG535" s="595" t="n"/>
      <c r="AI535" s="594" t="n"/>
      <c r="AJ535" s="595" t="n"/>
      <c r="AL535" s="594" t="n"/>
      <c r="AM535" s="595" t="n"/>
      <c r="AO535" s="594" t="n"/>
      <c r="AP535" s="595" t="n"/>
      <c r="AR535" s="594" t="n"/>
      <c r="AS535" s="595" t="n"/>
    </row>
    <row r="536" ht="15.75" customHeight="1" s="26">
      <c r="B536" s="593" t="n"/>
      <c r="E536" s="594" t="n"/>
      <c r="F536" s="595" t="n"/>
      <c r="H536" s="594" t="n"/>
      <c r="I536" s="595" t="n"/>
      <c r="K536" s="594" t="n"/>
      <c r="L536" s="595" t="n"/>
      <c r="N536" s="594" t="n"/>
      <c r="O536" s="595" t="n"/>
      <c r="Q536" s="594" t="n"/>
      <c r="R536" s="595" t="n"/>
      <c r="T536" s="594" t="n"/>
      <c r="U536" s="595" t="n"/>
      <c r="W536" s="594" t="n"/>
      <c r="X536" s="595" t="n"/>
      <c r="Z536" s="594" t="n"/>
      <c r="AA536" s="595" t="n"/>
      <c r="AC536" s="594" t="n"/>
      <c r="AD536" s="595" t="n"/>
      <c r="AF536" s="594" t="n"/>
      <c r="AG536" s="595" t="n"/>
      <c r="AI536" s="594" t="n"/>
      <c r="AJ536" s="595" t="n"/>
      <c r="AL536" s="594" t="n"/>
      <c r="AM536" s="595" t="n"/>
      <c r="AO536" s="594" t="n"/>
      <c r="AP536" s="595" t="n"/>
      <c r="AR536" s="594" t="n"/>
      <c r="AS536" s="595" t="n"/>
    </row>
    <row r="537" ht="15.75" customHeight="1" s="26">
      <c r="B537" s="593" t="n"/>
      <c r="E537" s="594" t="n"/>
      <c r="F537" s="595" t="n"/>
      <c r="H537" s="594" t="n"/>
      <c r="I537" s="595" t="n"/>
      <c r="K537" s="594" t="n"/>
      <c r="L537" s="595" t="n"/>
      <c r="N537" s="594" t="n"/>
      <c r="O537" s="595" t="n"/>
      <c r="Q537" s="594" t="n"/>
      <c r="R537" s="595" t="n"/>
      <c r="T537" s="594" t="n"/>
      <c r="U537" s="595" t="n"/>
      <c r="W537" s="594" t="n"/>
      <c r="X537" s="595" t="n"/>
      <c r="Z537" s="594" t="n"/>
      <c r="AA537" s="595" t="n"/>
      <c r="AC537" s="594" t="n"/>
      <c r="AD537" s="595" t="n"/>
      <c r="AF537" s="594" t="n"/>
      <c r="AG537" s="595" t="n"/>
      <c r="AI537" s="594" t="n"/>
      <c r="AJ537" s="595" t="n"/>
      <c r="AL537" s="594" t="n"/>
      <c r="AM537" s="595" t="n"/>
      <c r="AO537" s="594" t="n"/>
      <c r="AP537" s="595" t="n"/>
      <c r="AR537" s="594" t="n"/>
      <c r="AS537" s="595" t="n"/>
    </row>
    <row r="538" ht="15.75" customHeight="1" s="26">
      <c r="B538" s="593" t="n"/>
      <c r="E538" s="594" t="n"/>
      <c r="F538" s="595" t="n"/>
      <c r="H538" s="594" t="n"/>
      <c r="I538" s="595" t="n"/>
      <c r="K538" s="594" t="n"/>
      <c r="L538" s="595" t="n"/>
      <c r="N538" s="594" t="n"/>
      <c r="O538" s="595" t="n"/>
      <c r="Q538" s="594" t="n"/>
      <c r="R538" s="595" t="n"/>
      <c r="T538" s="594" t="n"/>
      <c r="U538" s="595" t="n"/>
      <c r="W538" s="594" t="n"/>
      <c r="X538" s="595" t="n"/>
      <c r="Z538" s="594" t="n"/>
      <c r="AA538" s="595" t="n"/>
      <c r="AC538" s="594" t="n"/>
      <c r="AD538" s="595" t="n"/>
      <c r="AF538" s="594" t="n"/>
      <c r="AG538" s="595" t="n"/>
      <c r="AI538" s="594" t="n"/>
      <c r="AJ538" s="595" t="n"/>
      <c r="AL538" s="594" t="n"/>
      <c r="AM538" s="595" t="n"/>
      <c r="AO538" s="594" t="n"/>
      <c r="AP538" s="595" t="n"/>
      <c r="AR538" s="594" t="n"/>
      <c r="AS538" s="595" t="n"/>
    </row>
    <row r="539" ht="15.75" customHeight="1" s="26">
      <c r="B539" s="593" t="n"/>
      <c r="E539" s="594" t="n"/>
      <c r="F539" s="595" t="n"/>
      <c r="H539" s="594" t="n"/>
      <c r="I539" s="595" t="n"/>
      <c r="K539" s="594" t="n"/>
      <c r="L539" s="595" t="n"/>
      <c r="N539" s="594" t="n"/>
      <c r="O539" s="595" t="n"/>
      <c r="Q539" s="594" t="n"/>
      <c r="R539" s="595" t="n"/>
      <c r="T539" s="594" t="n"/>
      <c r="U539" s="595" t="n"/>
      <c r="W539" s="594" t="n"/>
      <c r="X539" s="595" t="n"/>
      <c r="Z539" s="594" t="n"/>
      <c r="AA539" s="595" t="n"/>
      <c r="AC539" s="594" t="n"/>
      <c r="AD539" s="595" t="n"/>
      <c r="AF539" s="594" t="n"/>
      <c r="AG539" s="595" t="n"/>
      <c r="AI539" s="594" t="n"/>
      <c r="AJ539" s="595" t="n"/>
      <c r="AL539" s="594" t="n"/>
      <c r="AM539" s="595" t="n"/>
      <c r="AO539" s="594" t="n"/>
      <c r="AP539" s="595" t="n"/>
      <c r="AR539" s="594" t="n"/>
      <c r="AS539" s="595" t="n"/>
    </row>
    <row r="540" ht="15.75" customHeight="1" s="26">
      <c r="B540" s="593" t="n"/>
      <c r="E540" s="594" t="n"/>
      <c r="F540" s="595" t="n"/>
      <c r="H540" s="594" t="n"/>
      <c r="I540" s="595" t="n"/>
      <c r="K540" s="594" t="n"/>
      <c r="L540" s="595" t="n"/>
      <c r="N540" s="594" t="n"/>
      <c r="O540" s="595" t="n"/>
      <c r="Q540" s="594" t="n"/>
      <c r="R540" s="595" t="n"/>
      <c r="T540" s="594" t="n"/>
      <c r="U540" s="595" t="n"/>
      <c r="W540" s="594" t="n"/>
      <c r="X540" s="595" t="n"/>
      <c r="Z540" s="594" t="n"/>
      <c r="AA540" s="595" t="n"/>
      <c r="AC540" s="594" t="n"/>
      <c r="AD540" s="595" t="n"/>
      <c r="AF540" s="594" t="n"/>
      <c r="AG540" s="595" t="n"/>
      <c r="AI540" s="594" t="n"/>
      <c r="AJ540" s="595" t="n"/>
      <c r="AL540" s="594" t="n"/>
      <c r="AM540" s="595" t="n"/>
      <c r="AO540" s="594" t="n"/>
      <c r="AP540" s="595" t="n"/>
      <c r="AR540" s="594" t="n"/>
      <c r="AS540" s="595" t="n"/>
    </row>
    <row r="541" ht="15.75" customHeight="1" s="26">
      <c r="B541" s="593" t="n"/>
      <c r="E541" s="594" t="n"/>
      <c r="F541" s="595" t="n"/>
      <c r="H541" s="594" t="n"/>
      <c r="I541" s="595" t="n"/>
      <c r="K541" s="594" t="n"/>
      <c r="L541" s="595" t="n"/>
      <c r="N541" s="594" t="n"/>
      <c r="O541" s="595" t="n"/>
      <c r="Q541" s="594" t="n"/>
      <c r="R541" s="595" t="n"/>
      <c r="T541" s="594" t="n"/>
      <c r="U541" s="595" t="n"/>
      <c r="W541" s="594" t="n"/>
      <c r="X541" s="595" t="n"/>
      <c r="Z541" s="594" t="n"/>
      <c r="AA541" s="595" t="n"/>
      <c r="AC541" s="594" t="n"/>
      <c r="AD541" s="595" t="n"/>
      <c r="AF541" s="594" t="n"/>
      <c r="AG541" s="595" t="n"/>
      <c r="AI541" s="594" t="n"/>
      <c r="AJ541" s="595" t="n"/>
      <c r="AL541" s="594" t="n"/>
      <c r="AM541" s="595" t="n"/>
      <c r="AO541" s="594" t="n"/>
      <c r="AP541" s="595" t="n"/>
      <c r="AR541" s="594" t="n"/>
      <c r="AS541" s="595" t="n"/>
    </row>
    <row r="542" ht="15.75" customHeight="1" s="26">
      <c r="B542" s="593" t="n"/>
      <c r="E542" s="594" t="n"/>
      <c r="F542" s="595" t="n"/>
      <c r="H542" s="594" t="n"/>
      <c r="I542" s="595" t="n"/>
      <c r="K542" s="594" t="n"/>
      <c r="L542" s="595" t="n"/>
      <c r="N542" s="594" t="n"/>
      <c r="O542" s="595" t="n"/>
      <c r="Q542" s="594" t="n"/>
      <c r="R542" s="595" t="n"/>
      <c r="T542" s="594" t="n"/>
      <c r="U542" s="595" t="n"/>
      <c r="W542" s="594" t="n"/>
      <c r="X542" s="595" t="n"/>
      <c r="Z542" s="594" t="n"/>
      <c r="AA542" s="595" t="n"/>
      <c r="AC542" s="594" t="n"/>
      <c r="AD542" s="595" t="n"/>
      <c r="AF542" s="594" t="n"/>
      <c r="AG542" s="595" t="n"/>
      <c r="AI542" s="594" t="n"/>
      <c r="AJ542" s="595" t="n"/>
      <c r="AL542" s="594" t="n"/>
      <c r="AM542" s="595" t="n"/>
      <c r="AO542" s="594" t="n"/>
      <c r="AP542" s="595" t="n"/>
      <c r="AR542" s="594" t="n"/>
      <c r="AS542" s="595" t="n"/>
    </row>
    <row r="543" ht="15.75" customHeight="1" s="26">
      <c r="B543" s="593" t="n"/>
      <c r="E543" s="594" t="n"/>
      <c r="F543" s="595" t="n"/>
      <c r="H543" s="594" t="n"/>
      <c r="I543" s="595" t="n"/>
      <c r="K543" s="594" t="n"/>
      <c r="L543" s="595" t="n"/>
      <c r="N543" s="594" t="n"/>
      <c r="O543" s="595" t="n"/>
      <c r="Q543" s="594" t="n"/>
      <c r="R543" s="595" t="n"/>
      <c r="T543" s="594" t="n"/>
      <c r="U543" s="595" t="n"/>
      <c r="W543" s="594" t="n"/>
      <c r="X543" s="595" t="n"/>
      <c r="Z543" s="594" t="n"/>
      <c r="AA543" s="595" t="n"/>
      <c r="AC543" s="594" t="n"/>
      <c r="AD543" s="595" t="n"/>
      <c r="AF543" s="594" t="n"/>
      <c r="AG543" s="595" t="n"/>
      <c r="AI543" s="594" t="n"/>
      <c r="AJ543" s="595" t="n"/>
      <c r="AL543" s="594" t="n"/>
      <c r="AM543" s="595" t="n"/>
      <c r="AO543" s="594" t="n"/>
      <c r="AP543" s="595" t="n"/>
      <c r="AR543" s="594" t="n"/>
      <c r="AS543" s="595" t="n"/>
    </row>
    <row r="544" ht="15.75" customHeight="1" s="26">
      <c r="B544" s="593" t="n"/>
      <c r="E544" s="594" t="n"/>
      <c r="F544" s="595" t="n"/>
      <c r="H544" s="594" t="n"/>
      <c r="I544" s="595" t="n"/>
      <c r="K544" s="594" t="n"/>
      <c r="L544" s="595" t="n"/>
      <c r="N544" s="594" t="n"/>
      <c r="O544" s="595" t="n"/>
      <c r="Q544" s="594" t="n"/>
      <c r="R544" s="595" t="n"/>
      <c r="T544" s="594" t="n"/>
      <c r="U544" s="595" t="n"/>
      <c r="W544" s="594" t="n"/>
      <c r="X544" s="595" t="n"/>
      <c r="Z544" s="594" t="n"/>
      <c r="AA544" s="595" t="n"/>
      <c r="AC544" s="594" t="n"/>
      <c r="AD544" s="595" t="n"/>
      <c r="AF544" s="594" t="n"/>
      <c r="AG544" s="595" t="n"/>
      <c r="AI544" s="594" t="n"/>
      <c r="AJ544" s="595" t="n"/>
      <c r="AL544" s="594" t="n"/>
      <c r="AM544" s="595" t="n"/>
      <c r="AO544" s="594" t="n"/>
      <c r="AP544" s="595" t="n"/>
      <c r="AR544" s="594" t="n"/>
      <c r="AS544" s="595" t="n"/>
    </row>
    <row r="545" ht="15.75" customHeight="1" s="26">
      <c r="B545" s="593" t="n"/>
      <c r="E545" s="594" t="n"/>
      <c r="F545" s="595" t="n"/>
      <c r="H545" s="594" t="n"/>
      <c r="I545" s="595" t="n"/>
      <c r="K545" s="594" t="n"/>
      <c r="L545" s="595" t="n"/>
      <c r="N545" s="594" t="n"/>
      <c r="O545" s="595" t="n"/>
      <c r="Q545" s="594" t="n"/>
      <c r="R545" s="595" t="n"/>
      <c r="T545" s="594" t="n"/>
      <c r="U545" s="595" t="n"/>
      <c r="W545" s="594" t="n"/>
      <c r="X545" s="595" t="n"/>
      <c r="Z545" s="594" t="n"/>
      <c r="AA545" s="595" t="n"/>
      <c r="AC545" s="594" t="n"/>
      <c r="AD545" s="595" t="n"/>
      <c r="AF545" s="594" t="n"/>
      <c r="AG545" s="595" t="n"/>
      <c r="AI545" s="594" t="n"/>
      <c r="AJ545" s="595" t="n"/>
      <c r="AL545" s="594" t="n"/>
      <c r="AM545" s="595" t="n"/>
      <c r="AO545" s="594" t="n"/>
      <c r="AP545" s="595" t="n"/>
      <c r="AR545" s="594" t="n"/>
      <c r="AS545" s="595" t="n"/>
    </row>
    <row r="546" ht="15.75" customHeight="1" s="26">
      <c r="B546" s="593" t="n"/>
      <c r="E546" s="594" t="n"/>
      <c r="F546" s="595" t="n"/>
      <c r="H546" s="594" t="n"/>
      <c r="I546" s="595" t="n"/>
      <c r="K546" s="594" t="n"/>
      <c r="L546" s="595" t="n"/>
      <c r="N546" s="594" t="n"/>
      <c r="O546" s="595" t="n"/>
      <c r="Q546" s="594" t="n"/>
      <c r="R546" s="595" t="n"/>
      <c r="T546" s="594" t="n"/>
      <c r="U546" s="595" t="n"/>
      <c r="W546" s="594" t="n"/>
      <c r="X546" s="595" t="n"/>
      <c r="Z546" s="594" t="n"/>
      <c r="AA546" s="595" t="n"/>
      <c r="AC546" s="594" t="n"/>
      <c r="AD546" s="595" t="n"/>
      <c r="AF546" s="594" t="n"/>
      <c r="AG546" s="595" t="n"/>
      <c r="AI546" s="594" t="n"/>
      <c r="AJ546" s="595" t="n"/>
      <c r="AL546" s="594" t="n"/>
      <c r="AM546" s="595" t="n"/>
      <c r="AO546" s="594" t="n"/>
      <c r="AP546" s="595" t="n"/>
      <c r="AR546" s="594" t="n"/>
      <c r="AS546" s="595" t="n"/>
    </row>
    <row r="547" ht="15.75" customHeight="1" s="26">
      <c r="B547" s="593" t="n"/>
      <c r="E547" s="594" t="n"/>
      <c r="F547" s="595" t="n"/>
      <c r="H547" s="594" t="n"/>
      <c r="I547" s="595" t="n"/>
      <c r="K547" s="594" t="n"/>
      <c r="L547" s="595" t="n"/>
      <c r="N547" s="594" t="n"/>
      <c r="O547" s="595" t="n"/>
      <c r="Q547" s="594" t="n"/>
      <c r="R547" s="595" t="n"/>
      <c r="T547" s="594" t="n"/>
      <c r="U547" s="595" t="n"/>
      <c r="W547" s="594" t="n"/>
      <c r="X547" s="595" t="n"/>
      <c r="Z547" s="594" t="n"/>
      <c r="AA547" s="595" t="n"/>
      <c r="AC547" s="594" t="n"/>
      <c r="AD547" s="595" t="n"/>
      <c r="AF547" s="594" t="n"/>
      <c r="AG547" s="595" t="n"/>
      <c r="AI547" s="594" t="n"/>
      <c r="AJ547" s="595" t="n"/>
      <c r="AL547" s="594" t="n"/>
      <c r="AM547" s="595" t="n"/>
      <c r="AO547" s="594" t="n"/>
      <c r="AP547" s="595" t="n"/>
      <c r="AR547" s="594" t="n"/>
      <c r="AS547" s="595" t="n"/>
    </row>
    <row r="548" ht="15.75" customHeight="1" s="26">
      <c r="B548" s="593" t="n"/>
      <c r="E548" s="594" t="n"/>
      <c r="F548" s="595" t="n"/>
      <c r="H548" s="594" t="n"/>
      <c r="I548" s="595" t="n"/>
      <c r="K548" s="594" t="n"/>
      <c r="L548" s="595" t="n"/>
      <c r="N548" s="594" t="n"/>
      <c r="O548" s="595" t="n"/>
      <c r="Q548" s="594" t="n"/>
      <c r="R548" s="595" t="n"/>
      <c r="T548" s="594" t="n"/>
      <c r="U548" s="595" t="n"/>
      <c r="W548" s="594" t="n"/>
      <c r="X548" s="595" t="n"/>
      <c r="Z548" s="594" t="n"/>
      <c r="AA548" s="595" t="n"/>
      <c r="AC548" s="594" t="n"/>
      <c r="AD548" s="595" t="n"/>
      <c r="AF548" s="594" t="n"/>
      <c r="AG548" s="595" t="n"/>
      <c r="AI548" s="594" t="n"/>
      <c r="AJ548" s="595" t="n"/>
      <c r="AL548" s="594" t="n"/>
      <c r="AM548" s="595" t="n"/>
      <c r="AO548" s="594" t="n"/>
      <c r="AP548" s="595" t="n"/>
      <c r="AR548" s="594" t="n"/>
      <c r="AS548" s="595" t="n"/>
    </row>
    <row r="549" ht="15.75" customHeight="1" s="26">
      <c r="B549" s="593" t="n"/>
      <c r="E549" s="594" t="n"/>
      <c r="F549" s="595" t="n"/>
      <c r="H549" s="594" t="n"/>
      <c r="I549" s="595" t="n"/>
      <c r="K549" s="594" t="n"/>
      <c r="L549" s="595" t="n"/>
      <c r="N549" s="594" t="n"/>
      <c r="O549" s="595" t="n"/>
      <c r="Q549" s="594" t="n"/>
      <c r="R549" s="595" t="n"/>
      <c r="T549" s="594" t="n"/>
      <c r="U549" s="595" t="n"/>
      <c r="W549" s="594" t="n"/>
      <c r="X549" s="595" t="n"/>
      <c r="Z549" s="594" t="n"/>
      <c r="AA549" s="595" t="n"/>
      <c r="AC549" s="594" t="n"/>
      <c r="AD549" s="595" t="n"/>
      <c r="AF549" s="594" t="n"/>
      <c r="AG549" s="595" t="n"/>
      <c r="AI549" s="594" t="n"/>
      <c r="AJ549" s="595" t="n"/>
      <c r="AL549" s="594" t="n"/>
      <c r="AM549" s="595" t="n"/>
      <c r="AO549" s="594" t="n"/>
      <c r="AP549" s="595" t="n"/>
      <c r="AR549" s="594" t="n"/>
      <c r="AS549" s="595" t="n"/>
    </row>
    <row r="550" ht="15.75" customHeight="1" s="26">
      <c r="B550" s="593" t="n"/>
      <c r="E550" s="594" t="n"/>
      <c r="F550" s="595" t="n"/>
      <c r="H550" s="594" t="n"/>
      <c r="I550" s="595" t="n"/>
      <c r="K550" s="594" t="n"/>
      <c r="L550" s="595" t="n"/>
      <c r="N550" s="594" t="n"/>
      <c r="O550" s="595" t="n"/>
      <c r="Q550" s="594" t="n"/>
      <c r="R550" s="595" t="n"/>
      <c r="T550" s="594" t="n"/>
      <c r="U550" s="595" t="n"/>
      <c r="W550" s="594" t="n"/>
      <c r="X550" s="595" t="n"/>
      <c r="Z550" s="594" t="n"/>
      <c r="AA550" s="595" t="n"/>
      <c r="AC550" s="594" t="n"/>
      <c r="AD550" s="595" t="n"/>
      <c r="AF550" s="594" t="n"/>
      <c r="AG550" s="595" t="n"/>
      <c r="AI550" s="594" t="n"/>
      <c r="AJ550" s="595" t="n"/>
      <c r="AL550" s="594" t="n"/>
      <c r="AM550" s="595" t="n"/>
      <c r="AO550" s="594" t="n"/>
      <c r="AP550" s="595" t="n"/>
      <c r="AR550" s="594" t="n"/>
      <c r="AS550" s="595" t="n"/>
    </row>
    <row r="551" ht="15.75" customHeight="1" s="26">
      <c r="B551" s="593" t="n"/>
      <c r="E551" s="594" t="n"/>
      <c r="F551" s="595" t="n"/>
      <c r="H551" s="594" t="n"/>
      <c r="I551" s="595" t="n"/>
      <c r="K551" s="594" t="n"/>
      <c r="L551" s="595" t="n"/>
      <c r="N551" s="594" t="n"/>
      <c r="O551" s="595" t="n"/>
      <c r="Q551" s="594" t="n"/>
      <c r="R551" s="595" t="n"/>
      <c r="T551" s="594" t="n"/>
      <c r="U551" s="595" t="n"/>
      <c r="W551" s="594" t="n"/>
      <c r="X551" s="595" t="n"/>
      <c r="Z551" s="594" t="n"/>
      <c r="AA551" s="595" t="n"/>
      <c r="AC551" s="594" t="n"/>
      <c r="AD551" s="595" t="n"/>
      <c r="AF551" s="594" t="n"/>
      <c r="AG551" s="595" t="n"/>
      <c r="AI551" s="594" t="n"/>
      <c r="AJ551" s="595" t="n"/>
      <c r="AL551" s="594" t="n"/>
      <c r="AM551" s="595" t="n"/>
      <c r="AO551" s="594" t="n"/>
      <c r="AP551" s="595" t="n"/>
      <c r="AR551" s="594" t="n"/>
      <c r="AS551" s="595" t="n"/>
    </row>
    <row r="552" ht="15.75" customHeight="1" s="26">
      <c r="B552" s="593" t="n"/>
      <c r="E552" s="594" t="n"/>
      <c r="F552" s="595" t="n"/>
      <c r="H552" s="594" t="n"/>
      <c r="I552" s="595" t="n"/>
      <c r="K552" s="594" t="n"/>
      <c r="L552" s="595" t="n"/>
      <c r="N552" s="594" t="n"/>
      <c r="O552" s="595" t="n"/>
      <c r="Q552" s="594" t="n"/>
      <c r="R552" s="595" t="n"/>
      <c r="T552" s="594" t="n"/>
      <c r="U552" s="595" t="n"/>
      <c r="W552" s="594" t="n"/>
      <c r="X552" s="595" t="n"/>
      <c r="Z552" s="594" t="n"/>
      <c r="AA552" s="595" t="n"/>
      <c r="AC552" s="594" t="n"/>
      <c r="AD552" s="595" t="n"/>
      <c r="AF552" s="594" t="n"/>
      <c r="AG552" s="595" t="n"/>
      <c r="AI552" s="594" t="n"/>
      <c r="AJ552" s="595" t="n"/>
      <c r="AL552" s="594" t="n"/>
      <c r="AM552" s="595" t="n"/>
      <c r="AO552" s="594" t="n"/>
      <c r="AP552" s="595" t="n"/>
      <c r="AR552" s="594" t="n"/>
      <c r="AS552" s="595" t="n"/>
    </row>
    <row r="553" ht="15.75" customHeight="1" s="26">
      <c r="B553" s="593" t="n"/>
      <c r="E553" s="594" t="n"/>
      <c r="F553" s="595" t="n"/>
      <c r="H553" s="594" t="n"/>
      <c r="I553" s="595" t="n"/>
      <c r="K553" s="594" t="n"/>
      <c r="L553" s="595" t="n"/>
      <c r="N553" s="594" t="n"/>
      <c r="O553" s="595" t="n"/>
      <c r="Q553" s="594" t="n"/>
      <c r="R553" s="595" t="n"/>
      <c r="T553" s="594" t="n"/>
      <c r="U553" s="595" t="n"/>
      <c r="W553" s="594" t="n"/>
      <c r="X553" s="595" t="n"/>
      <c r="Z553" s="594" t="n"/>
      <c r="AA553" s="595" t="n"/>
      <c r="AC553" s="594" t="n"/>
      <c r="AD553" s="595" t="n"/>
      <c r="AF553" s="594" t="n"/>
      <c r="AG553" s="595" t="n"/>
      <c r="AI553" s="594" t="n"/>
      <c r="AJ553" s="595" t="n"/>
      <c r="AL553" s="594" t="n"/>
      <c r="AM553" s="595" t="n"/>
      <c r="AO553" s="594" t="n"/>
      <c r="AP553" s="595" t="n"/>
      <c r="AR553" s="594" t="n"/>
      <c r="AS553" s="595" t="n"/>
    </row>
    <row r="554" ht="15.75" customHeight="1" s="26">
      <c r="B554" s="593" t="n"/>
      <c r="E554" s="594" t="n"/>
      <c r="F554" s="595" t="n"/>
      <c r="H554" s="594" t="n"/>
      <c r="I554" s="595" t="n"/>
      <c r="K554" s="594" t="n"/>
      <c r="L554" s="595" t="n"/>
      <c r="N554" s="594" t="n"/>
      <c r="O554" s="595" t="n"/>
      <c r="Q554" s="594" t="n"/>
      <c r="R554" s="595" t="n"/>
      <c r="T554" s="594" t="n"/>
      <c r="U554" s="595" t="n"/>
      <c r="W554" s="594" t="n"/>
      <c r="X554" s="595" t="n"/>
      <c r="Z554" s="594" t="n"/>
      <c r="AA554" s="595" t="n"/>
      <c r="AC554" s="594" t="n"/>
      <c r="AD554" s="595" t="n"/>
      <c r="AF554" s="594" t="n"/>
      <c r="AG554" s="595" t="n"/>
      <c r="AI554" s="594" t="n"/>
      <c r="AJ554" s="595" t="n"/>
      <c r="AL554" s="594" t="n"/>
      <c r="AM554" s="595" t="n"/>
      <c r="AO554" s="594" t="n"/>
      <c r="AP554" s="595" t="n"/>
      <c r="AR554" s="594" t="n"/>
      <c r="AS554" s="595" t="n"/>
    </row>
    <row r="555" ht="15.75" customHeight="1" s="26">
      <c r="B555" s="593" t="n"/>
      <c r="E555" s="594" t="n"/>
      <c r="F555" s="595" t="n"/>
      <c r="H555" s="594" t="n"/>
      <c r="I555" s="595" t="n"/>
      <c r="K555" s="594" t="n"/>
      <c r="L555" s="595" t="n"/>
      <c r="N555" s="594" t="n"/>
      <c r="O555" s="595" t="n"/>
      <c r="Q555" s="594" t="n"/>
      <c r="R555" s="595" t="n"/>
      <c r="T555" s="594" t="n"/>
      <c r="U555" s="595" t="n"/>
      <c r="W555" s="594" t="n"/>
      <c r="X555" s="595" t="n"/>
      <c r="Z555" s="594" t="n"/>
      <c r="AA555" s="595" t="n"/>
      <c r="AC555" s="594" t="n"/>
      <c r="AD555" s="595" t="n"/>
      <c r="AF555" s="594" t="n"/>
      <c r="AG555" s="595" t="n"/>
      <c r="AI555" s="594" t="n"/>
      <c r="AJ555" s="595" t="n"/>
      <c r="AL555" s="594" t="n"/>
      <c r="AM555" s="595" t="n"/>
      <c r="AO555" s="594" t="n"/>
      <c r="AP555" s="595" t="n"/>
      <c r="AR555" s="594" t="n"/>
      <c r="AS555" s="595" t="n"/>
    </row>
    <row r="556" ht="15.75" customHeight="1" s="26">
      <c r="B556" s="593" t="n"/>
      <c r="E556" s="594" t="n"/>
      <c r="F556" s="595" t="n"/>
      <c r="H556" s="594" t="n"/>
      <c r="I556" s="595" t="n"/>
      <c r="K556" s="594" t="n"/>
      <c r="L556" s="595" t="n"/>
      <c r="N556" s="594" t="n"/>
      <c r="O556" s="595" t="n"/>
      <c r="Q556" s="594" t="n"/>
      <c r="R556" s="595" t="n"/>
      <c r="T556" s="594" t="n"/>
      <c r="U556" s="595" t="n"/>
      <c r="W556" s="594" t="n"/>
      <c r="X556" s="595" t="n"/>
      <c r="Z556" s="594" t="n"/>
      <c r="AA556" s="595" t="n"/>
      <c r="AC556" s="594" t="n"/>
      <c r="AD556" s="595" t="n"/>
      <c r="AF556" s="594" t="n"/>
      <c r="AG556" s="595" t="n"/>
      <c r="AI556" s="594" t="n"/>
      <c r="AJ556" s="595" t="n"/>
      <c r="AL556" s="594" t="n"/>
      <c r="AM556" s="595" t="n"/>
      <c r="AO556" s="594" t="n"/>
      <c r="AP556" s="595" t="n"/>
      <c r="AR556" s="594" t="n"/>
      <c r="AS556" s="595" t="n"/>
    </row>
    <row r="557" ht="15.75" customHeight="1" s="26">
      <c r="B557" s="593" t="n"/>
      <c r="E557" s="594" t="n"/>
      <c r="F557" s="595" t="n"/>
      <c r="H557" s="594" t="n"/>
      <c r="I557" s="595" t="n"/>
      <c r="K557" s="594" t="n"/>
      <c r="L557" s="595" t="n"/>
      <c r="N557" s="594" t="n"/>
      <c r="O557" s="595" t="n"/>
      <c r="Q557" s="594" t="n"/>
      <c r="R557" s="595" t="n"/>
      <c r="T557" s="594" t="n"/>
      <c r="U557" s="595" t="n"/>
      <c r="W557" s="594" t="n"/>
      <c r="X557" s="595" t="n"/>
      <c r="Z557" s="594" t="n"/>
      <c r="AA557" s="595" t="n"/>
      <c r="AC557" s="594" t="n"/>
      <c r="AD557" s="595" t="n"/>
      <c r="AF557" s="594" t="n"/>
      <c r="AG557" s="595" t="n"/>
      <c r="AI557" s="594" t="n"/>
      <c r="AJ557" s="595" t="n"/>
      <c r="AL557" s="594" t="n"/>
      <c r="AM557" s="595" t="n"/>
      <c r="AO557" s="594" t="n"/>
      <c r="AP557" s="595" t="n"/>
      <c r="AR557" s="594" t="n"/>
      <c r="AS557" s="595" t="n"/>
    </row>
    <row r="558" ht="15.75" customHeight="1" s="26">
      <c r="B558" s="593" t="n"/>
      <c r="E558" s="594" t="n"/>
      <c r="F558" s="595" t="n"/>
      <c r="H558" s="594" t="n"/>
      <c r="I558" s="595" t="n"/>
      <c r="K558" s="594" t="n"/>
      <c r="L558" s="595" t="n"/>
      <c r="N558" s="594" t="n"/>
      <c r="O558" s="595" t="n"/>
      <c r="Q558" s="594" t="n"/>
      <c r="R558" s="595" t="n"/>
      <c r="T558" s="594" t="n"/>
      <c r="U558" s="595" t="n"/>
      <c r="W558" s="594" t="n"/>
      <c r="X558" s="595" t="n"/>
      <c r="Z558" s="594" t="n"/>
      <c r="AA558" s="595" t="n"/>
      <c r="AC558" s="594" t="n"/>
      <c r="AD558" s="595" t="n"/>
      <c r="AF558" s="594" t="n"/>
      <c r="AG558" s="595" t="n"/>
      <c r="AI558" s="594" t="n"/>
      <c r="AJ558" s="595" t="n"/>
      <c r="AL558" s="594" t="n"/>
      <c r="AM558" s="595" t="n"/>
      <c r="AO558" s="594" t="n"/>
      <c r="AP558" s="595" t="n"/>
      <c r="AR558" s="594" t="n"/>
      <c r="AS558" s="595" t="n"/>
    </row>
    <row r="559" ht="15.75" customHeight="1" s="26">
      <c r="B559" s="593" t="n"/>
      <c r="E559" s="594" t="n"/>
      <c r="F559" s="595" t="n"/>
      <c r="H559" s="594" t="n"/>
      <c r="I559" s="595" t="n"/>
      <c r="K559" s="594" t="n"/>
      <c r="L559" s="595" t="n"/>
      <c r="N559" s="594" t="n"/>
      <c r="O559" s="595" t="n"/>
      <c r="Q559" s="594" t="n"/>
      <c r="R559" s="595" t="n"/>
      <c r="T559" s="594" t="n"/>
      <c r="U559" s="595" t="n"/>
      <c r="W559" s="594" t="n"/>
      <c r="X559" s="595" t="n"/>
      <c r="Z559" s="594" t="n"/>
      <c r="AA559" s="595" t="n"/>
      <c r="AC559" s="594" t="n"/>
      <c r="AD559" s="595" t="n"/>
      <c r="AF559" s="594" t="n"/>
      <c r="AG559" s="595" t="n"/>
      <c r="AI559" s="594" t="n"/>
      <c r="AJ559" s="595" t="n"/>
      <c r="AL559" s="594" t="n"/>
      <c r="AM559" s="595" t="n"/>
      <c r="AO559" s="594" t="n"/>
      <c r="AP559" s="595" t="n"/>
      <c r="AR559" s="594" t="n"/>
      <c r="AS559" s="595" t="n"/>
    </row>
    <row r="560" ht="15.75" customHeight="1" s="26">
      <c r="B560" s="593" t="n"/>
      <c r="E560" s="594" t="n"/>
      <c r="F560" s="595" t="n"/>
      <c r="H560" s="594" t="n"/>
      <c r="I560" s="595" t="n"/>
      <c r="K560" s="594" t="n"/>
      <c r="L560" s="595" t="n"/>
      <c r="N560" s="594" t="n"/>
      <c r="O560" s="595" t="n"/>
      <c r="Q560" s="594" t="n"/>
      <c r="R560" s="595" t="n"/>
      <c r="T560" s="594" t="n"/>
      <c r="U560" s="595" t="n"/>
      <c r="W560" s="594" t="n"/>
      <c r="X560" s="595" t="n"/>
      <c r="Z560" s="594" t="n"/>
      <c r="AA560" s="595" t="n"/>
      <c r="AC560" s="594" t="n"/>
      <c r="AD560" s="595" t="n"/>
      <c r="AF560" s="594" t="n"/>
      <c r="AG560" s="595" t="n"/>
      <c r="AI560" s="594" t="n"/>
      <c r="AJ560" s="595" t="n"/>
      <c r="AL560" s="594" t="n"/>
      <c r="AM560" s="595" t="n"/>
      <c r="AO560" s="594" t="n"/>
      <c r="AP560" s="595" t="n"/>
      <c r="AR560" s="594" t="n"/>
      <c r="AS560" s="595" t="n"/>
    </row>
    <row r="561" ht="15.75" customHeight="1" s="26">
      <c r="B561" s="593" t="n"/>
      <c r="E561" s="594" t="n"/>
      <c r="F561" s="595" t="n"/>
      <c r="H561" s="594" t="n"/>
      <c r="I561" s="595" t="n"/>
      <c r="K561" s="594" t="n"/>
      <c r="L561" s="595" t="n"/>
      <c r="N561" s="594" t="n"/>
      <c r="O561" s="595" t="n"/>
      <c r="Q561" s="594" t="n"/>
      <c r="R561" s="595" t="n"/>
      <c r="T561" s="594" t="n"/>
      <c r="U561" s="595" t="n"/>
      <c r="W561" s="594" t="n"/>
      <c r="X561" s="595" t="n"/>
      <c r="Z561" s="594" t="n"/>
      <c r="AA561" s="595" t="n"/>
      <c r="AC561" s="594" t="n"/>
      <c r="AD561" s="595" t="n"/>
      <c r="AF561" s="594" t="n"/>
      <c r="AG561" s="595" t="n"/>
      <c r="AI561" s="594" t="n"/>
      <c r="AJ561" s="595" t="n"/>
      <c r="AL561" s="594" t="n"/>
      <c r="AM561" s="595" t="n"/>
      <c r="AO561" s="594" t="n"/>
      <c r="AP561" s="595" t="n"/>
      <c r="AR561" s="594" t="n"/>
      <c r="AS561" s="595" t="n"/>
    </row>
    <row r="562" ht="15.75" customHeight="1" s="26">
      <c r="B562" s="593" t="n"/>
      <c r="E562" s="594" t="n"/>
      <c r="F562" s="595" t="n"/>
      <c r="H562" s="594" t="n"/>
      <c r="I562" s="595" t="n"/>
      <c r="K562" s="594" t="n"/>
      <c r="L562" s="595" t="n"/>
      <c r="N562" s="594" t="n"/>
      <c r="O562" s="595" t="n"/>
      <c r="Q562" s="594" t="n"/>
      <c r="R562" s="595" t="n"/>
      <c r="T562" s="594" t="n"/>
      <c r="U562" s="595" t="n"/>
      <c r="W562" s="594" t="n"/>
      <c r="X562" s="595" t="n"/>
      <c r="Z562" s="594" t="n"/>
      <c r="AA562" s="595" t="n"/>
      <c r="AC562" s="594" t="n"/>
      <c r="AD562" s="595" t="n"/>
      <c r="AF562" s="594" t="n"/>
      <c r="AG562" s="595" t="n"/>
      <c r="AI562" s="594" t="n"/>
      <c r="AJ562" s="595" t="n"/>
      <c r="AL562" s="594" t="n"/>
      <c r="AM562" s="595" t="n"/>
      <c r="AO562" s="594" t="n"/>
      <c r="AP562" s="595" t="n"/>
      <c r="AR562" s="594" t="n"/>
      <c r="AS562" s="595" t="n"/>
    </row>
    <row r="563" ht="15.75" customHeight="1" s="26">
      <c r="B563" s="593" t="n"/>
      <c r="E563" s="594" t="n"/>
      <c r="F563" s="595" t="n"/>
      <c r="H563" s="594" t="n"/>
      <c r="I563" s="595" t="n"/>
      <c r="K563" s="594" t="n"/>
      <c r="L563" s="595" t="n"/>
      <c r="N563" s="594" t="n"/>
      <c r="O563" s="595" t="n"/>
      <c r="Q563" s="594" t="n"/>
      <c r="R563" s="595" t="n"/>
      <c r="T563" s="594" t="n"/>
      <c r="U563" s="595" t="n"/>
      <c r="W563" s="594" t="n"/>
      <c r="X563" s="595" t="n"/>
      <c r="Z563" s="594" t="n"/>
      <c r="AA563" s="595" t="n"/>
      <c r="AC563" s="594" t="n"/>
      <c r="AD563" s="595" t="n"/>
      <c r="AF563" s="594" t="n"/>
      <c r="AG563" s="595" t="n"/>
      <c r="AI563" s="594" t="n"/>
      <c r="AJ563" s="595" t="n"/>
      <c r="AL563" s="594" t="n"/>
      <c r="AM563" s="595" t="n"/>
      <c r="AO563" s="594" t="n"/>
      <c r="AP563" s="595" t="n"/>
      <c r="AR563" s="594" t="n"/>
      <c r="AS563" s="595" t="n"/>
    </row>
    <row r="564" ht="15.75" customHeight="1" s="26">
      <c r="B564" s="593" t="n"/>
      <c r="E564" s="594" t="n"/>
      <c r="F564" s="595" t="n"/>
      <c r="H564" s="594" t="n"/>
      <c r="I564" s="595" t="n"/>
      <c r="K564" s="594" t="n"/>
      <c r="L564" s="595" t="n"/>
      <c r="N564" s="594" t="n"/>
      <c r="O564" s="595" t="n"/>
      <c r="Q564" s="594" t="n"/>
      <c r="R564" s="595" t="n"/>
      <c r="T564" s="594" t="n"/>
      <c r="U564" s="595" t="n"/>
      <c r="W564" s="594" t="n"/>
      <c r="X564" s="595" t="n"/>
      <c r="Z564" s="594" t="n"/>
      <c r="AA564" s="595" t="n"/>
      <c r="AC564" s="594" t="n"/>
      <c r="AD564" s="595" t="n"/>
      <c r="AF564" s="594" t="n"/>
      <c r="AG564" s="595" t="n"/>
      <c r="AI564" s="594" t="n"/>
      <c r="AJ564" s="595" t="n"/>
      <c r="AL564" s="594" t="n"/>
      <c r="AM564" s="595" t="n"/>
      <c r="AO564" s="594" t="n"/>
      <c r="AP564" s="595" t="n"/>
      <c r="AR564" s="594" t="n"/>
      <c r="AS564" s="595" t="n"/>
    </row>
    <row r="565" ht="15.75" customHeight="1" s="26">
      <c r="B565" s="593" t="n"/>
      <c r="E565" s="594" t="n"/>
      <c r="F565" s="595" t="n"/>
      <c r="H565" s="594" t="n"/>
      <c r="I565" s="595" t="n"/>
      <c r="K565" s="594" t="n"/>
      <c r="L565" s="595" t="n"/>
      <c r="N565" s="594" t="n"/>
      <c r="O565" s="595" t="n"/>
      <c r="Q565" s="594" t="n"/>
      <c r="R565" s="595" t="n"/>
      <c r="T565" s="594" t="n"/>
      <c r="U565" s="595" t="n"/>
      <c r="W565" s="594" t="n"/>
      <c r="X565" s="595" t="n"/>
      <c r="Z565" s="594" t="n"/>
      <c r="AA565" s="595" t="n"/>
      <c r="AC565" s="594" t="n"/>
      <c r="AD565" s="595" t="n"/>
      <c r="AF565" s="594" t="n"/>
      <c r="AG565" s="595" t="n"/>
      <c r="AI565" s="594" t="n"/>
      <c r="AJ565" s="595" t="n"/>
      <c r="AL565" s="594" t="n"/>
      <c r="AM565" s="595" t="n"/>
      <c r="AO565" s="594" t="n"/>
      <c r="AP565" s="595" t="n"/>
      <c r="AR565" s="594" t="n"/>
      <c r="AS565" s="595" t="n"/>
    </row>
    <row r="566" ht="15.75" customHeight="1" s="26">
      <c r="B566" s="593" t="n"/>
      <c r="E566" s="594" t="n"/>
      <c r="F566" s="595" t="n"/>
      <c r="H566" s="594" t="n"/>
      <c r="I566" s="595" t="n"/>
      <c r="K566" s="594" t="n"/>
      <c r="L566" s="595" t="n"/>
      <c r="N566" s="594" t="n"/>
      <c r="O566" s="595" t="n"/>
      <c r="Q566" s="594" t="n"/>
      <c r="R566" s="595" t="n"/>
      <c r="T566" s="594" t="n"/>
      <c r="U566" s="595" t="n"/>
      <c r="W566" s="594" t="n"/>
      <c r="X566" s="595" t="n"/>
      <c r="Z566" s="594" t="n"/>
      <c r="AA566" s="595" t="n"/>
      <c r="AC566" s="594" t="n"/>
      <c r="AD566" s="595" t="n"/>
      <c r="AF566" s="594" t="n"/>
      <c r="AG566" s="595" t="n"/>
      <c r="AI566" s="594" t="n"/>
      <c r="AJ566" s="595" t="n"/>
      <c r="AL566" s="594" t="n"/>
      <c r="AM566" s="595" t="n"/>
      <c r="AO566" s="594" t="n"/>
      <c r="AP566" s="595" t="n"/>
      <c r="AR566" s="594" t="n"/>
      <c r="AS566" s="595" t="n"/>
    </row>
    <row r="567" ht="15.75" customHeight="1" s="26">
      <c r="B567" s="593" t="n"/>
      <c r="E567" s="594" t="n"/>
      <c r="F567" s="595" t="n"/>
      <c r="H567" s="594" t="n"/>
      <c r="I567" s="595" t="n"/>
      <c r="K567" s="594" t="n"/>
      <c r="L567" s="595" t="n"/>
      <c r="N567" s="594" t="n"/>
      <c r="O567" s="595" t="n"/>
      <c r="Q567" s="594" t="n"/>
      <c r="R567" s="595" t="n"/>
      <c r="T567" s="594" t="n"/>
      <c r="U567" s="595" t="n"/>
      <c r="W567" s="594" t="n"/>
      <c r="X567" s="595" t="n"/>
      <c r="Z567" s="594" t="n"/>
      <c r="AA567" s="595" t="n"/>
      <c r="AC567" s="594" t="n"/>
      <c r="AD567" s="595" t="n"/>
      <c r="AF567" s="594" t="n"/>
      <c r="AG567" s="595" t="n"/>
      <c r="AI567" s="594" t="n"/>
      <c r="AJ567" s="595" t="n"/>
      <c r="AL567" s="594" t="n"/>
      <c r="AM567" s="595" t="n"/>
      <c r="AO567" s="594" t="n"/>
      <c r="AP567" s="595" t="n"/>
      <c r="AR567" s="594" t="n"/>
      <c r="AS567" s="595" t="n"/>
    </row>
    <row r="568" ht="15.75" customHeight="1" s="26">
      <c r="B568" s="593" t="n"/>
      <c r="E568" s="594" t="n"/>
      <c r="F568" s="595" t="n"/>
      <c r="H568" s="594" t="n"/>
      <c r="I568" s="595" t="n"/>
      <c r="K568" s="594" t="n"/>
      <c r="L568" s="595" t="n"/>
      <c r="N568" s="594" t="n"/>
      <c r="O568" s="595" t="n"/>
      <c r="Q568" s="594" t="n"/>
      <c r="R568" s="595" t="n"/>
      <c r="T568" s="594" t="n"/>
      <c r="U568" s="595" t="n"/>
      <c r="W568" s="594" t="n"/>
      <c r="X568" s="595" t="n"/>
      <c r="Z568" s="594" t="n"/>
      <c r="AA568" s="595" t="n"/>
      <c r="AC568" s="594" t="n"/>
      <c r="AD568" s="595" t="n"/>
      <c r="AF568" s="594" t="n"/>
      <c r="AG568" s="595" t="n"/>
      <c r="AI568" s="594" t="n"/>
      <c r="AJ568" s="595" t="n"/>
      <c r="AL568" s="594" t="n"/>
      <c r="AM568" s="595" t="n"/>
      <c r="AO568" s="594" t="n"/>
      <c r="AP568" s="595" t="n"/>
      <c r="AR568" s="594" t="n"/>
      <c r="AS568" s="595" t="n"/>
    </row>
    <row r="569" ht="15.75" customHeight="1" s="26">
      <c r="B569" s="593" t="n"/>
      <c r="E569" s="594" t="n"/>
      <c r="F569" s="595" t="n"/>
      <c r="H569" s="594" t="n"/>
      <c r="I569" s="595" t="n"/>
      <c r="K569" s="594" t="n"/>
      <c r="L569" s="595" t="n"/>
      <c r="N569" s="594" t="n"/>
      <c r="O569" s="595" t="n"/>
      <c r="Q569" s="594" t="n"/>
      <c r="R569" s="595" t="n"/>
      <c r="T569" s="594" t="n"/>
      <c r="U569" s="595" t="n"/>
      <c r="W569" s="594" t="n"/>
      <c r="X569" s="595" t="n"/>
      <c r="Z569" s="594" t="n"/>
      <c r="AA569" s="595" t="n"/>
      <c r="AC569" s="594" t="n"/>
      <c r="AD569" s="595" t="n"/>
      <c r="AF569" s="594" t="n"/>
      <c r="AG569" s="595" t="n"/>
      <c r="AI569" s="594" t="n"/>
      <c r="AJ569" s="595" t="n"/>
      <c r="AL569" s="594" t="n"/>
      <c r="AM569" s="595" t="n"/>
      <c r="AO569" s="594" t="n"/>
      <c r="AP569" s="595" t="n"/>
      <c r="AR569" s="594" t="n"/>
      <c r="AS569" s="595" t="n"/>
    </row>
    <row r="570" ht="15.75" customHeight="1" s="26">
      <c r="B570" s="593" t="n"/>
      <c r="E570" s="594" t="n"/>
      <c r="F570" s="595" t="n"/>
      <c r="H570" s="594" t="n"/>
      <c r="I570" s="595" t="n"/>
      <c r="K570" s="594" t="n"/>
      <c r="L570" s="595" t="n"/>
      <c r="N570" s="594" t="n"/>
      <c r="O570" s="595" t="n"/>
      <c r="Q570" s="594" t="n"/>
      <c r="R570" s="595" t="n"/>
      <c r="T570" s="594" t="n"/>
      <c r="U570" s="595" t="n"/>
      <c r="W570" s="594" t="n"/>
      <c r="X570" s="595" t="n"/>
      <c r="Z570" s="594" t="n"/>
      <c r="AA570" s="595" t="n"/>
      <c r="AC570" s="594" t="n"/>
      <c r="AD570" s="595" t="n"/>
      <c r="AF570" s="594" t="n"/>
      <c r="AG570" s="595" t="n"/>
      <c r="AI570" s="594" t="n"/>
      <c r="AJ570" s="595" t="n"/>
      <c r="AL570" s="594" t="n"/>
      <c r="AM570" s="595" t="n"/>
      <c r="AO570" s="594" t="n"/>
      <c r="AP570" s="595" t="n"/>
      <c r="AR570" s="594" t="n"/>
      <c r="AS570" s="595" t="n"/>
    </row>
    <row r="571" ht="15.75" customHeight="1" s="26">
      <c r="B571" s="593" t="n"/>
      <c r="E571" s="594" t="n"/>
      <c r="F571" s="595" t="n"/>
      <c r="H571" s="594" t="n"/>
      <c r="I571" s="595" t="n"/>
      <c r="K571" s="594" t="n"/>
      <c r="L571" s="595" t="n"/>
      <c r="N571" s="594" t="n"/>
      <c r="O571" s="595" t="n"/>
      <c r="Q571" s="594" t="n"/>
      <c r="R571" s="595" t="n"/>
      <c r="T571" s="594" t="n"/>
      <c r="U571" s="595" t="n"/>
      <c r="W571" s="594" t="n"/>
      <c r="X571" s="595" t="n"/>
      <c r="Z571" s="594" t="n"/>
      <c r="AA571" s="595" t="n"/>
      <c r="AC571" s="594" t="n"/>
      <c r="AD571" s="595" t="n"/>
      <c r="AF571" s="594" t="n"/>
      <c r="AG571" s="595" t="n"/>
      <c r="AI571" s="594" t="n"/>
      <c r="AJ571" s="595" t="n"/>
      <c r="AL571" s="594" t="n"/>
      <c r="AM571" s="595" t="n"/>
      <c r="AO571" s="594" t="n"/>
      <c r="AP571" s="595" t="n"/>
      <c r="AR571" s="594" t="n"/>
      <c r="AS571" s="595" t="n"/>
    </row>
    <row r="572" ht="15.75" customHeight="1" s="26">
      <c r="B572" s="593" t="n"/>
      <c r="E572" s="594" t="n"/>
      <c r="F572" s="595" t="n"/>
      <c r="H572" s="594" t="n"/>
      <c r="I572" s="595" t="n"/>
      <c r="K572" s="594" t="n"/>
      <c r="L572" s="595" t="n"/>
      <c r="N572" s="594" t="n"/>
      <c r="O572" s="595" t="n"/>
      <c r="Q572" s="594" t="n"/>
      <c r="R572" s="595" t="n"/>
      <c r="T572" s="594" t="n"/>
      <c r="U572" s="595" t="n"/>
      <c r="W572" s="594" t="n"/>
      <c r="X572" s="595" t="n"/>
      <c r="Z572" s="594" t="n"/>
      <c r="AA572" s="595" t="n"/>
      <c r="AC572" s="594" t="n"/>
      <c r="AD572" s="595" t="n"/>
      <c r="AF572" s="594" t="n"/>
      <c r="AG572" s="595" t="n"/>
      <c r="AI572" s="594" t="n"/>
      <c r="AJ572" s="595" t="n"/>
      <c r="AL572" s="594" t="n"/>
      <c r="AM572" s="595" t="n"/>
      <c r="AO572" s="594" t="n"/>
      <c r="AP572" s="595" t="n"/>
      <c r="AR572" s="594" t="n"/>
      <c r="AS572" s="595" t="n"/>
    </row>
    <row r="573" ht="15.75" customHeight="1" s="26">
      <c r="B573" s="593" t="n"/>
      <c r="E573" s="594" t="n"/>
      <c r="F573" s="595" t="n"/>
      <c r="H573" s="594" t="n"/>
      <c r="I573" s="595" t="n"/>
      <c r="K573" s="594" t="n"/>
      <c r="L573" s="595" t="n"/>
      <c r="N573" s="594" t="n"/>
      <c r="O573" s="595" t="n"/>
      <c r="Q573" s="594" t="n"/>
      <c r="R573" s="595" t="n"/>
      <c r="T573" s="594" t="n"/>
      <c r="U573" s="595" t="n"/>
      <c r="W573" s="594" t="n"/>
      <c r="X573" s="595" t="n"/>
      <c r="Z573" s="594" t="n"/>
      <c r="AA573" s="595" t="n"/>
      <c r="AC573" s="594" t="n"/>
      <c r="AD573" s="595" t="n"/>
      <c r="AF573" s="594" t="n"/>
      <c r="AG573" s="595" t="n"/>
      <c r="AI573" s="594" t="n"/>
      <c r="AJ573" s="595" t="n"/>
      <c r="AL573" s="594" t="n"/>
      <c r="AM573" s="595" t="n"/>
      <c r="AO573" s="594" t="n"/>
      <c r="AP573" s="595" t="n"/>
      <c r="AR573" s="594" t="n"/>
      <c r="AS573" s="595" t="n"/>
    </row>
    <row r="574" ht="15.75" customHeight="1" s="26">
      <c r="B574" s="593" t="n"/>
      <c r="E574" s="594" t="n"/>
      <c r="F574" s="595" t="n"/>
      <c r="H574" s="594" t="n"/>
      <c r="I574" s="595" t="n"/>
      <c r="K574" s="594" t="n"/>
      <c r="L574" s="595" t="n"/>
      <c r="N574" s="594" t="n"/>
      <c r="O574" s="595" t="n"/>
      <c r="Q574" s="594" t="n"/>
      <c r="R574" s="595" t="n"/>
      <c r="T574" s="594" t="n"/>
      <c r="U574" s="595" t="n"/>
      <c r="W574" s="594" t="n"/>
      <c r="X574" s="595" t="n"/>
      <c r="Z574" s="594" t="n"/>
      <c r="AA574" s="595" t="n"/>
      <c r="AC574" s="594" t="n"/>
      <c r="AD574" s="595" t="n"/>
      <c r="AF574" s="594" t="n"/>
      <c r="AG574" s="595" t="n"/>
      <c r="AI574" s="594" t="n"/>
      <c r="AJ574" s="595" t="n"/>
      <c r="AL574" s="594" t="n"/>
      <c r="AM574" s="595" t="n"/>
      <c r="AO574" s="594" t="n"/>
      <c r="AP574" s="595" t="n"/>
      <c r="AR574" s="594" t="n"/>
      <c r="AS574" s="595" t="n"/>
    </row>
    <row r="575" ht="15.75" customHeight="1" s="26">
      <c r="B575" s="593" t="n"/>
      <c r="E575" s="594" t="n"/>
      <c r="F575" s="595" t="n"/>
      <c r="H575" s="594" t="n"/>
      <c r="I575" s="595" t="n"/>
      <c r="K575" s="594" t="n"/>
      <c r="L575" s="595" t="n"/>
      <c r="N575" s="594" t="n"/>
      <c r="O575" s="595" t="n"/>
      <c r="Q575" s="594" t="n"/>
      <c r="R575" s="595" t="n"/>
      <c r="T575" s="594" t="n"/>
      <c r="U575" s="595" t="n"/>
      <c r="W575" s="594" t="n"/>
      <c r="X575" s="595" t="n"/>
      <c r="Z575" s="594" t="n"/>
      <c r="AA575" s="595" t="n"/>
      <c r="AC575" s="594" t="n"/>
      <c r="AD575" s="595" t="n"/>
      <c r="AF575" s="594" t="n"/>
      <c r="AG575" s="595" t="n"/>
      <c r="AI575" s="594" t="n"/>
      <c r="AJ575" s="595" t="n"/>
      <c r="AL575" s="594" t="n"/>
      <c r="AM575" s="595" t="n"/>
      <c r="AO575" s="594" t="n"/>
      <c r="AP575" s="595" t="n"/>
      <c r="AR575" s="594" t="n"/>
      <c r="AS575" s="595" t="n"/>
    </row>
    <row r="576" ht="15.75" customHeight="1" s="26">
      <c r="B576" s="593" t="n"/>
      <c r="E576" s="594" t="n"/>
      <c r="F576" s="595" t="n"/>
      <c r="H576" s="594" t="n"/>
      <c r="I576" s="595" t="n"/>
      <c r="K576" s="594" t="n"/>
      <c r="L576" s="595" t="n"/>
      <c r="N576" s="594" t="n"/>
      <c r="O576" s="595" t="n"/>
      <c r="Q576" s="594" t="n"/>
      <c r="R576" s="595" t="n"/>
      <c r="T576" s="594" t="n"/>
      <c r="U576" s="595" t="n"/>
      <c r="W576" s="594" t="n"/>
      <c r="X576" s="595" t="n"/>
      <c r="Z576" s="594" t="n"/>
      <c r="AA576" s="595" t="n"/>
      <c r="AC576" s="594" t="n"/>
      <c r="AD576" s="595" t="n"/>
      <c r="AF576" s="594" t="n"/>
      <c r="AG576" s="595" t="n"/>
      <c r="AI576" s="594" t="n"/>
      <c r="AJ576" s="595" t="n"/>
      <c r="AL576" s="594" t="n"/>
      <c r="AM576" s="595" t="n"/>
      <c r="AO576" s="594" t="n"/>
      <c r="AP576" s="595" t="n"/>
      <c r="AR576" s="594" t="n"/>
      <c r="AS576" s="595" t="n"/>
    </row>
    <row r="577" ht="15.75" customHeight="1" s="26">
      <c r="B577" s="593" t="n"/>
      <c r="E577" s="594" t="n"/>
      <c r="F577" s="595" t="n"/>
      <c r="H577" s="594" t="n"/>
      <c r="I577" s="595" t="n"/>
      <c r="K577" s="594" t="n"/>
      <c r="L577" s="595" t="n"/>
      <c r="N577" s="594" t="n"/>
      <c r="O577" s="595" t="n"/>
      <c r="Q577" s="594" t="n"/>
      <c r="R577" s="595" t="n"/>
      <c r="T577" s="594" t="n"/>
      <c r="U577" s="595" t="n"/>
      <c r="W577" s="594" t="n"/>
      <c r="X577" s="595" t="n"/>
      <c r="Z577" s="594" t="n"/>
      <c r="AA577" s="595" t="n"/>
      <c r="AC577" s="594" t="n"/>
      <c r="AD577" s="595" t="n"/>
      <c r="AF577" s="594" t="n"/>
      <c r="AG577" s="595" t="n"/>
      <c r="AI577" s="594" t="n"/>
      <c r="AJ577" s="595" t="n"/>
      <c r="AL577" s="594" t="n"/>
      <c r="AM577" s="595" t="n"/>
      <c r="AO577" s="594" t="n"/>
      <c r="AP577" s="595" t="n"/>
      <c r="AR577" s="594" t="n"/>
      <c r="AS577" s="595" t="n"/>
    </row>
    <row r="578" ht="15.75" customHeight="1" s="26">
      <c r="B578" s="593" t="n"/>
      <c r="E578" s="594" t="n"/>
      <c r="F578" s="595" t="n"/>
      <c r="H578" s="594" t="n"/>
      <c r="I578" s="595" t="n"/>
      <c r="K578" s="594" t="n"/>
      <c r="L578" s="595" t="n"/>
      <c r="N578" s="594" t="n"/>
      <c r="O578" s="595" t="n"/>
      <c r="Q578" s="594" t="n"/>
      <c r="R578" s="595" t="n"/>
      <c r="T578" s="594" t="n"/>
      <c r="U578" s="595" t="n"/>
      <c r="W578" s="594" t="n"/>
      <c r="X578" s="595" t="n"/>
      <c r="Z578" s="594" t="n"/>
      <c r="AA578" s="595" t="n"/>
      <c r="AC578" s="594" t="n"/>
      <c r="AD578" s="595" t="n"/>
      <c r="AF578" s="594" t="n"/>
      <c r="AG578" s="595" t="n"/>
      <c r="AI578" s="594" t="n"/>
      <c r="AJ578" s="595" t="n"/>
      <c r="AL578" s="594" t="n"/>
      <c r="AM578" s="595" t="n"/>
      <c r="AO578" s="594" t="n"/>
      <c r="AP578" s="595" t="n"/>
      <c r="AR578" s="594" t="n"/>
      <c r="AS578" s="595" t="n"/>
    </row>
    <row r="579" ht="15.75" customHeight="1" s="26">
      <c r="B579" s="593" t="n"/>
      <c r="E579" s="594" t="n"/>
      <c r="F579" s="595" t="n"/>
      <c r="H579" s="594" t="n"/>
      <c r="I579" s="595" t="n"/>
      <c r="K579" s="594" t="n"/>
      <c r="L579" s="595" t="n"/>
      <c r="N579" s="594" t="n"/>
      <c r="O579" s="595" t="n"/>
      <c r="Q579" s="594" t="n"/>
      <c r="R579" s="595" t="n"/>
      <c r="T579" s="594" t="n"/>
      <c r="U579" s="595" t="n"/>
      <c r="W579" s="594" t="n"/>
      <c r="X579" s="595" t="n"/>
      <c r="Z579" s="594" t="n"/>
      <c r="AA579" s="595" t="n"/>
      <c r="AC579" s="594" t="n"/>
      <c r="AD579" s="595" t="n"/>
      <c r="AF579" s="594" t="n"/>
      <c r="AG579" s="595" t="n"/>
      <c r="AI579" s="594" t="n"/>
      <c r="AJ579" s="595" t="n"/>
      <c r="AL579" s="594" t="n"/>
      <c r="AM579" s="595" t="n"/>
      <c r="AO579" s="594" t="n"/>
      <c r="AP579" s="595" t="n"/>
      <c r="AR579" s="594" t="n"/>
      <c r="AS579" s="595" t="n"/>
    </row>
    <row r="580" ht="15.75" customHeight="1" s="26">
      <c r="B580" s="593" t="n"/>
      <c r="E580" s="594" t="n"/>
      <c r="F580" s="595" t="n"/>
      <c r="H580" s="594" t="n"/>
      <c r="I580" s="595" t="n"/>
      <c r="K580" s="594" t="n"/>
      <c r="L580" s="595" t="n"/>
      <c r="N580" s="594" t="n"/>
      <c r="O580" s="595" t="n"/>
      <c r="Q580" s="594" t="n"/>
      <c r="R580" s="595" t="n"/>
      <c r="T580" s="594" t="n"/>
      <c r="U580" s="595" t="n"/>
      <c r="W580" s="594" t="n"/>
      <c r="X580" s="595" t="n"/>
      <c r="Z580" s="594" t="n"/>
      <c r="AA580" s="595" t="n"/>
      <c r="AC580" s="594" t="n"/>
      <c r="AD580" s="595" t="n"/>
      <c r="AF580" s="594" t="n"/>
      <c r="AG580" s="595" t="n"/>
      <c r="AI580" s="594" t="n"/>
      <c r="AJ580" s="595" t="n"/>
      <c r="AL580" s="594" t="n"/>
      <c r="AM580" s="595" t="n"/>
      <c r="AO580" s="594" t="n"/>
      <c r="AP580" s="595" t="n"/>
      <c r="AR580" s="594" t="n"/>
      <c r="AS580" s="595" t="n"/>
    </row>
    <row r="581" ht="15.75" customHeight="1" s="26">
      <c r="B581" s="593" t="n"/>
      <c r="E581" s="594" t="n"/>
      <c r="F581" s="595" t="n"/>
      <c r="H581" s="594" t="n"/>
      <c r="I581" s="595" t="n"/>
      <c r="K581" s="594" t="n"/>
      <c r="L581" s="595" t="n"/>
      <c r="N581" s="594" t="n"/>
      <c r="O581" s="595" t="n"/>
      <c r="Q581" s="594" t="n"/>
      <c r="R581" s="595" t="n"/>
      <c r="T581" s="594" t="n"/>
      <c r="U581" s="595" t="n"/>
      <c r="W581" s="594" t="n"/>
      <c r="X581" s="595" t="n"/>
      <c r="Z581" s="594" t="n"/>
      <c r="AA581" s="595" t="n"/>
      <c r="AC581" s="594" t="n"/>
      <c r="AD581" s="595" t="n"/>
      <c r="AF581" s="594" t="n"/>
      <c r="AG581" s="595" t="n"/>
      <c r="AI581" s="594" t="n"/>
      <c r="AJ581" s="595" t="n"/>
      <c r="AL581" s="594" t="n"/>
      <c r="AM581" s="595" t="n"/>
      <c r="AO581" s="594" t="n"/>
      <c r="AP581" s="595" t="n"/>
      <c r="AR581" s="594" t="n"/>
      <c r="AS581" s="595" t="n"/>
    </row>
    <row r="582" ht="15.75" customHeight="1" s="26">
      <c r="B582" s="593" t="n"/>
      <c r="E582" s="594" t="n"/>
      <c r="F582" s="595" t="n"/>
      <c r="H582" s="594" t="n"/>
      <c r="I582" s="595" t="n"/>
      <c r="K582" s="594" t="n"/>
      <c r="L582" s="595" t="n"/>
      <c r="N582" s="594" t="n"/>
      <c r="O582" s="595" t="n"/>
      <c r="Q582" s="594" t="n"/>
      <c r="R582" s="595" t="n"/>
      <c r="T582" s="594" t="n"/>
      <c r="U582" s="595" t="n"/>
      <c r="W582" s="594" t="n"/>
      <c r="X582" s="595" t="n"/>
      <c r="Z582" s="594" t="n"/>
      <c r="AA582" s="595" t="n"/>
      <c r="AC582" s="594" t="n"/>
      <c r="AD582" s="595" t="n"/>
      <c r="AF582" s="594" t="n"/>
      <c r="AG582" s="595" t="n"/>
      <c r="AI582" s="594" t="n"/>
      <c r="AJ582" s="595" t="n"/>
      <c r="AL582" s="594" t="n"/>
      <c r="AM582" s="595" t="n"/>
      <c r="AO582" s="594" t="n"/>
      <c r="AP582" s="595" t="n"/>
      <c r="AR582" s="594" t="n"/>
      <c r="AS582" s="595" t="n"/>
    </row>
    <row r="583" ht="15.75" customHeight="1" s="26">
      <c r="B583" s="593" t="n"/>
      <c r="E583" s="594" t="n"/>
      <c r="F583" s="595" t="n"/>
      <c r="H583" s="594" t="n"/>
      <c r="I583" s="595" t="n"/>
      <c r="K583" s="594" t="n"/>
      <c r="L583" s="595" t="n"/>
      <c r="N583" s="594" t="n"/>
      <c r="O583" s="595" t="n"/>
      <c r="Q583" s="594" t="n"/>
      <c r="R583" s="595" t="n"/>
      <c r="T583" s="594" t="n"/>
      <c r="U583" s="595" t="n"/>
      <c r="W583" s="594" t="n"/>
      <c r="X583" s="595" t="n"/>
      <c r="Z583" s="594" t="n"/>
      <c r="AA583" s="595" t="n"/>
      <c r="AC583" s="594" t="n"/>
      <c r="AD583" s="595" t="n"/>
      <c r="AF583" s="594" t="n"/>
      <c r="AG583" s="595" t="n"/>
      <c r="AI583" s="594" t="n"/>
      <c r="AJ583" s="595" t="n"/>
      <c r="AL583" s="594" t="n"/>
      <c r="AM583" s="595" t="n"/>
      <c r="AO583" s="594" t="n"/>
      <c r="AP583" s="595" t="n"/>
      <c r="AR583" s="594" t="n"/>
      <c r="AS583" s="595" t="n"/>
    </row>
    <row r="584" ht="15.75" customHeight="1" s="26">
      <c r="B584" s="593" t="n"/>
      <c r="E584" s="594" t="n"/>
      <c r="F584" s="595" t="n"/>
      <c r="H584" s="594" t="n"/>
      <c r="I584" s="595" t="n"/>
      <c r="K584" s="594" t="n"/>
      <c r="L584" s="595" t="n"/>
      <c r="N584" s="594" t="n"/>
      <c r="O584" s="595" t="n"/>
      <c r="Q584" s="594" t="n"/>
      <c r="R584" s="595" t="n"/>
      <c r="T584" s="594" t="n"/>
      <c r="U584" s="595" t="n"/>
      <c r="W584" s="594" t="n"/>
      <c r="X584" s="595" t="n"/>
      <c r="Z584" s="594" t="n"/>
      <c r="AA584" s="595" t="n"/>
      <c r="AC584" s="594" t="n"/>
      <c r="AD584" s="595" t="n"/>
      <c r="AF584" s="594" t="n"/>
      <c r="AG584" s="595" t="n"/>
      <c r="AI584" s="594" t="n"/>
      <c r="AJ584" s="595" t="n"/>
      <c r="AL584" s="594" t="n"/>
      <c r="AM584" s="595" t="n"/>
      <c r="AO584" s="594" t="n"/>
      <c r="AP584" s="595" t="n"/>
      <c r="AR584" s="594" t="n"/>
      <c r="AS584" s="595" t="n"/>
    </row>
    <row r="585" ht="15.75" customHeight="1" s="26">
      <c r="B585" s="593" t="n"/>
      <c r="E585" s="594" t="n"/>
      <c r="F585" s="595" t="n"/>
      <c r="H585" s="594" t="n"/>
      <c r="I585" s="595" t="n"/>
      <c r="K585" s="594" t="n"/>
      <c r="L585" s="595" t="n"/>
      <c r="N585" s="594" t="n"/>
      <c r="O585" s="595" t="n"/>
      <c r="Q585" s="594" t="n"/>
      <c r="R585" s="595" t="n"/>
      <c r="T585" s="594" t="n"/>
      <c r="U585" s="595" t="n"/>
      <c r="W585" s="594" t="n"/>
      <c r="X585" s="595" t="n"/>
      <c r="Z585" s="594" t="n"/>
      <c r="AA585" s="595" t="n"/>
      <c r="AC585" s="594" t="n"/>
      <c r="AD585" s="595" t="n"/>
      <c r="AF585" s="594" t="n"/>
      <c r="AG585" s="595" t="n"/>
      <c r="AI585" s="594" t="n"/>
      <c r="AJ585" s="595" t="n"/>
      <c r="AL585" s="594" t="n"/>
      <c r="AM585" s="595" t="n"/>
      <c r="AO585" s="594" t="n"/>
      <c r="AP585" s="595" t="n"/>
      <c r="AR585" s="594" t="n"/>
      <c r="AS585" s="595" t="n"/>
    </row>
    <row r="586" ht="15.75" customHeight="1" s="26">
      <c r="B586" s="593" t="n"/>
      <c r="E586" s="594" t="n"/>
      <c r="F586" s="595" t="n"/>
      <c r="H586" s="594" t="n"/>
      <c r="I586" s="595" t="n"/>
      <c r="K586" s="594" t="n"/>
      <c r="L586" s="595" t="n"/>
      <c r="N586" s="594" t="n"/>
      <c r="O586" s="595" t="n"/>
      <c r="Q586" s="594" t="n"/>
      <c r="R586" s="595" t="n"/>
      <c r="T586" s="594" t="n"/>
      <c r="U586" s="595" t="n"/>
      <c r="W586" s="594" t="n"/>
      <c r="X586" s="595" t="n"/>
      <c r="Z586" s="594" t="n"/>
      <c r="AA586" s="595" t="n"/>
      <c r="AC586" s="594" t="n"/>
      <c r="AD586" s="595" t="n"/>
      <c r="AF586" s="594" t="n"/>
      <c r="AG586" s="595" t="n"/>
      <c r="AI586" s="594" t="n"/>
      <c r="AJ586" s="595" t="n"/>
      <c r="AL586" s="594" t="n"/>
      <c r="AM586" s="595" t="n"/>
      <c r="AO586" s="594" t="n"/>
      <c r="AP586" s="595" t="n"/>
      <c r="AR586" s="594" t="n"/>
      <c r="AS586" s="595" t="n"/>
    </row>
    <row r="587" ht="15.75" customHeight="1" s="26">
      <c r="B587" s="593" t="n"/>
      <c r="E587" s="594" t="n"/>
      <c r="F587" s="595" t="n"/>
      <c r="H587" s="594" t="n"/>
      <c r="I587" s="595" t="n"/>
      <c r="K587" s="594" t="n"/>
      <c r="L587" s="595" t="n"/>
      <c r="N587" s="594" t="n"/>
      <c r="O587" s="595" t="n"/>
      <c r="Q587" s="594" t="n"/>
      <c r="R587" s="595" t="n"/>
      <c r="T587" s="594" t="n"/>
      <c r="U587" s="595" t="n"/>
      <c r="W587" s="594" t="n"/>
      <c r="X587" s="595" t="n"/>
      <c r="Z587" s="594" t="n"/>
      <c r="AA587" s="595" t="n"/>
      <c r="AC587" s="594" t="n"/>
      <c r="AD587" s="595" t="n"/>
      <c r="AF587" s="594" t="n"/>
      <c r="AG587" s="595" t="n"/>
      <c r="AI587" s="594" t="n"/>
      <c r="AJ587" s="595" t="n"/>
      <c r="AL587" s="594" t="n"/>
      <c r="AM587" s="595" t="n"/>
      <c r="AO587" s="594" t="n"/>
      <c r="AP587" s="595" t="n"/>
      <c r="AR587" s="594" t="n"/>
      <c r="AS587" s="595" t="n"/>
    </row>
    <row r="588" ht="15.75" customHeight="1" s="26">
      <c r="B588" s="593" t="n"/>
      <c r="E588" s="594" t="n"/>
      <c r="F588" s="595" t="n"/>
      <c r="H588" s="594" t="n"/>
      <c r="I588" s="595" t="n"/>
      <c r="K588" s="594" t="n"/>
      <c r="L588" s="595" t="n"/>
      <c r="N588" s="594" t="n"/>
      <c r="O588" s="595" t="n"/>
      <c r="Q588" s="594" t="n"/>
      <c r="R588" s="595" t="n"/>
      <c r="T588" s="594" t="n"/>
      <c r="U588" s="595" t="n"/>
      <c r="W588" s="594" t="n"/>
      <c r="X588" s="595" t="n"/>
      <c r="Z588" s="594" t="n"/>
      <c r="AA588" s="595" t="n"/>
      <c r="AC588" s="594" t="n"/>
      <c r="AD588" s="595" t="n"/>
      <c r="AF588" s="594" t="n"/>
      <c r="AG588" s="595" t="n"/>
      <c r="AI588" s="594" t="n"/>
      <c r="AJ588" s="595" t="n"/>
      <c r="AL588" s="594" t="n"/>
      <c r="AM588" s="595" t="n"/>
      <c r="AO588" s="594" t="n"/>
      <c r="AP588" s="595" t="n"/>
      <c r="AR588" s="594" t="n"/>
      <c r="AS588" s="595" t="n"/>
    </row>
    <row r="589" ht="15.75" customHeight="1" s="26">
      <c r="B589" s="593" t="n"/>
      <c r="E589" s="594" t="n"/>
      <c r="F589" s="595" t="n"/>
      <c r="H589" s="594" t="n"/>
      <c r="I589" s="595" t="n"/>
      <c r="K589" s="594" t="n"/>
      <c r="L589" s="595" t="n"/>
      <c r="N589" s="594" t="n"/>
      <c r="O589" s="595" t="n"/>
      <c r="Q589" s="594" t="n"/>
      <c r="R589" s="595" t="n"/>
      <c r="T589" s="594" t="n"/>
      <c r="U589" s="595" t="n"/>
      <c r="W589" s="594" t="n"/>
      <c r="X589" s="595" t="n"/>
      <c r="Z589" s="594" t="n"/>
      <c r="AA589" s="595" t="n"/>
      <c r="AC589" s="594" t="n"/>
      <c r="AD589" s="595" t="n"/>
      <c r="AF589" s="594" t="n"/>
      <c r="AG589" s="595" t="n"/>
      <c r="AI589" s="594" t="n"/>
      <c r="AJ589" s="595" t="n"/>
      <c r="AL589" s="594" t="n"/>
      <c r="AM589" s="595" t="n"/>
      <c r="AO589" s="594" t="n"/>
      <c r="AP589" s="595" t="n"/>
      <c r="AR589" s="594" t="n"/>
      <c r="AS589" s="595" t="n"/>
    </row>
    <row r="590" ht="15.75" customHeight="1" s="26">
      <c r="B590" s="593" t="n"/>
      <c r="E590" s="594" t="n"/>
      <c r="F590" s="595" t="n"/>
      <c r="H590" s="594" t="n"/>
      <c r="I590" s="595" t="n"/>
      <c r="K590" s="594" t="n"/>
      <c r="L590" s="595" t="n"/>
      <c r="N590" s="594" t="n"/>
      <c r="O590" s="595" t="n"/>
      <c r="Q590" s="594" t="n"/>
      <c r="R590" s="595" t="n"/>
      <c r="T590" s="594" t="n"/>
      <c r="U590" s="595" t="n"/>
      <c r="W590" s="594" t="n"/>
      <c r="X590" s="595" t="n"/>
      <c r="Z590" s="594" t="n"/>
      <c r="AA590" s="595" t="n"/>
      <c r="AC590" s="594" t="n"/>
      <c r="AD590" s="595" t="n"/>
      <c r="AF590" s="594" t="n"/>
      <c r="AG590" s="595" t="n"/>
      <c r="AI590" s="594" t="n"/>
      <c r="AJ590" s="595" t="n"/>
      <c r="AL590" s="594" t="n"/>
      <c r="AM590" s="595" t="n"/>
      <c r="AO590" s="594" t="n"/>
      <c r="AP590" s="595" t="n"/>
      <c r="AR590" s="594" t="n"/>
      <c r="AS590" s="595" t="n"/>
    </row>
    <row r="591" ht="15.75" customHeight="1" s="26">
      <c r="B591" s="593" t="n"/>
      <c r="E591" s="594" t="n"/>
      <c r="F591" s="595" t="n"/>
      <c r="H591" s="594" t="n"/>
      <c r="I591" s="595" t="n"/>
      <c r="K591" s="594" t="n"/>
      <c r="L591" s="595" t="n"/>
      <c r="N591" s="594" t="n"/>
      <c r="O591" s="595" t="n"/>
      <c r="Q591" s="594" t="n"/>
      <c r="R591" s="595" t="n"/>
      <c r="T591" s="594" t="n"/>
      <c r="U591" s="595" t="n"/>
      <c r="W591" s="594" t="n"/>
      <c r="X591" s="595" t="n"/>
      <c r="Z591" s="594" t="n"/>
      <c r="AA591" s="595" t="n"/>
      <c r="AC591" s="594" t="n"/>
      <c r="AD591" s="595" t="n"/>
      <c r="AF591" s="594" t="n"/>
      <c r="AG591" s="595" t="n"/>
      <c r="AI591" s="594" t="n"/>
      <c r="AJ591" s="595" t="n"/>
      <c r="AL591" s="594" t="n"/>
      <c r="AM591" s="595" t="n"/>
      <c r="AO591" s="594" t="n"/>
      <c r="AP591" s="595" t="n"/>
      <c r="AR591" s="594" t="n"/>
      <c r="AS591" s="595" t="n"/>
    </row>
    <row r="592" ht="15.75" customHeight="1" s="26">
      <c r="B592" s="593" t="n"/>
      <c r="E592" s="594" t="n"/>
      <c r="F592" s="595" t="n"/>
      <c r="H592" s="594" t="n"/>
      <c r="I592" s="595" t="n"/>
      <c r="K592" s="594" t="n"/>
      <c r="L592" s="595" t="n"/>
      <c r="N592" s="594" t="n"/>
      <c r="O592" s="595" t="n"/>
      <c r="Q592" s="594" t="n"/>
      <c r="R592" s="595" t="n"/>
      <c r="T592" s="594" t="n"/>
      <c r="U592" s="595" t="n"/>
      <c r="W592" s="594" t="n"/>
      <c r="X592" s="595" t="n"/>
      <c r="Z592" s="594" t="n"/>
      <c r="AA592" s="595" t="n"/>
      <c r="AC592" s="594" t="n"/>
      <c r="AD592" s="595" t="n"/>
      <c r="AF592" s="594" t="n"/>
      <c r="AG592" s="595" t="n"/>
      <c r="AI592" s="594" t="n"/>
      <c r="AJ592" s="595" t="n"/>
      <c r="AL592" s="594" t="n"/>
      <c r="AM592" s="595" t="n"/>
      <c r="AO592" s="594" t="n"/>
      <c r="AP592" s="595" t="n"/>
      <c r="AR592" s="594" t="n"/>
      <c r="AS592" s="595" t="n"/>
    </row>
    <row r="593" ht="15.75" customHeight="1" s="26">
      <c r="B593" s="593" t="n"/>
      <c r="E593" s="594" t="n"/>
      <c r="F593" s="595" t="n"/>
      <c r="H593" s="594" t="n"/>
      <c r="I593" s="595" t="n"/>
      <c r="K593" s="594" t="n"/>
      <c r="L593" s="595" t="n"/>
      <c r="N593" s="594" t="n"/>
      <c r="O593" s="595" t="n"/>
      <c r="Q593" s="594" t="n"/>
      <c r="R593" s="595" t="n"/>
      <c r="T593" s="594" t="n"/>
      <c r="U593" s="595" t="n"/>
      <c r="W593" s="594" t="n"/>
      <c r="X593" s="595" t="n"/>
      <c r="Z593" s="594" t="n"/>
      <c r="AA593" s="595" t="n"/>
      <c r="AC593" s="594" t="n"/>
      <c r="AD593" s="595" t="n"/>
      <c r="AF593" s="594" t="n"/>
      <c r="AG593" s="595" t="n"/>
      <c r="AI593" s="594" t="n"/>
      <c r="AJ593" s="595" t="n"/>
      <c r="AL593" s="594" t="n"/>
      <c r="AM593" s="595" t="n"/>
      <c r="AO593" s="594" t="n"/>
      <c r="AP593" s="595" t="n"/>
      <c r="AR593" s="594" t="n"/>
      <c r="AS593" s="595" t="n"/>
    </row>
    <row r="594" ht="15.75" customHeight="1" s="26">
      <c r="B594" s="593" t="n"/>
      <c r="E594" s="594" t="n"/>
      <c r="F594" s="595" t="n"/>
      <c r="H594" s="594" t="n"/>
      <c r="I594" s="595" t="n"/>
      <c r="K594" s="594" t="n"/>
      <c r="L594" s="595" t="n"/>
      <c r="N594" s="594" t="n"/>
      <c r="O594" s="595" t="n"/>
      <c r="Q594" s="594" t="n"/>
      <c r="R594" s="595" t="n"/>
      <c r="T594" s="594" t="n"/>
      <c r="U594" s="595" t="n"/>
      <c r="W594" s="594" t="n"/>
      <c r="X594" s="595" t="n"/>
      <c r="Z594" s="594" t="n"/>
      <c r="AA594" s="595" t="n"/>
      <c r="AC594" s="594" t="n"/>
      <c r="AD594" s="595" t="n"/>
      <c r="AF594" s="594" t="n"/>
      <c r="AG594" s="595" t="n"/>
      <c r="AI594" s="594" t="n"/>
      <c r="AJ594" s="595" t="n"/>
      <c r="AL594" s="594" t="n"/>
      <c r="AM594" s="595" t="n"/>
      <c r="AO594" s="594" t="n"/>
      <c r="AP594" s="595" t="n"/>
      <c r="AR594" s="594" t="n"/>
      <c r="AS594" s="595" t="n"/>
    </row>
    <row r="595" ht="15.75" customHeight="1" s="26">
      <c r="B595" s="593" t="n"/>
      <c r="E595" s="594" t="n"/>
      <c r="F595" s="595" t="n"/>
      <c r="H595" s="594" t="n"/>
      <c r="I595" s="595" t="n"/>
      <c r="K595" s="594" t="n"/>
      <c r="L595" s="595" t="n"/>
      <c r="N595" s="594" t="n"/>
      <c r="O595" s="595" t="n"/>
      <c r="Q595" s="594" t="n"/>
      <c r="R595" s="595" t="n"/>
      <c r="T595" s="594" t="n"/>
      <c r="U595" s="595" t="n"/>
      <c r="W595" s="594" t="n"/>
      <c r="X595" s="595" t="n"/>
      <c r="Z595" s="594" t="n"/>
      <c r="AA595" s="595" t="n"/>
      <c r="AC595" s="594" t="n"/>
      <c r="AD595" s="595" t="n"/>
      <c r="AF595" s="594" t="n"/>
      <c r="AG595" s="595" t="n"/>
      <c r="AI595" s="594" t="n"/>
      <c r="AJ595" s="595" t="n"/>
      <c r="AL595" s="594" t="n"/>
      <c r="AM595" s="595" t="n"/>
      <c r="AO595" s="594" t="n"/>
      <c r="AP595" s="595" t="n"/>
      <c r="AR595" s="594" t="n"/>
      <c r="AS595" s="595" t="n"/>
    </row>
    <row r="596" ht="15.75" customHeight="1" s="26">
      <c r="B596" s="593" t="n"/>
      <c r="E596" s="594" t="n"/>
      <c r="F596" s="595" t="n"/>
      <c r="H596" s="594" t="n"/>
      <c r="I596" s="595" t="n"/>
      <c r="K596" s="594" t="n"/>
      <c r="L596" s="595" t="n"/>
      <c r="N596" s="594" t="n"/>
      <c r="O596" s="595" t="n"/>
      <c r="Q596" s="594" t="n"/>
      <c r="R596" s="595" t="n"/>
      <c r="T596" s="594" t="n"/>
      <c r="U596" s="595" t="n"/>
      <c r="W596" s="594" t="n"/>
      <c r="X596" s="595" t="n"/>
      <c r="Z596" s="594" t="n"/>
      <c r="AA596" s="595" t="n"/>
      <c r="AC596" s="594" t="n"/>
      <c r="AD596" s="595" t="n"/>
      <c r="AF596" s="594" t="n"/>
      <c r="AG596" s="595" t="n"/>
      <c r="AI596" s="594" t="n"/>
      <c r="AJ596" s="595" t="n"/>
      <c r="AL596" s="594" t="n"/>
      <c r="AM596" s="595" t="n"/>
      <c r="AO596" s="594" t="n"/>
      <c r="AP596" s="595" t="n"/>
      <c r="AR596" s="594" t="n"/>
      <c r="AS596" s="595" t="n"/>
    </row>
    <row r="597" ht="15.75" customHeight="1" s="26">
      <c r="B597" s="593" t="n"/>
      <c r="E597" s="594" t="n"/>
      <c r="F597" s="595" t="n"/>
      <c r="H597" s="594" t="n"/>
      <c r="I597" s="595" t="n"/>
      <c r="K597" s="594" t="n"/>
      <c r="L597" s="595" t="n"/>
      <c r="N597" s="594" t="n"/>
      <c r="O597" s="595" t="n"/>
      <c r="Q597" s="594" t="n"/>
      <c r="R597" s="595" t="n"/>
      <c r="T597" s="594" t="n"/>
      <c r="U597" s="595" t="n"/>
      <c r="W597" s="594" t="n"/>
      <c r="X597" s="595" t="n"/>
      <c r="Z597" s="594" t="n"/>
      <c r="AA597" s="595" t="n"/>
      <c r="AC597" s="594" t="n"/>
      <c r="AD597" s="595" t="n"/>
      <c r="AF597" s="594" t="n"/>
      <c r="AG597" s="595" t="n"/>
      <c r="AI597" s="594" t="n"/>
      <c r="AJ597" s="595" t="n"/>
      <c r="AL597" s="594" t="n"/>
      <c r="AM597" s="595" t="n"/>
      <c r="AO597" s="594" t="n"/>
      <c r="AP597" s="595" t="n"/>
      <c r="AR597" s="594" t="n"/>
      <c r="AS597" s="595" t="n"/>
    </row>
    <row r="598" ht="15.75" customHeight="1" s="26">
      <c r="B598" s="593" t="n"/>
      <c r="E598" s="594" t="n"/>
      <c r="F598" s="595" t="n"/>
      <c r="H598" s="594" t="n"/>
      <c r="I598" s="595" t="n"/>
      <c r="K598" s="594" t="n"/>
      <c r="L598" s="595" t="n"/>
      <c r="N598" s="594" t="n"/>
      <c r="O598" s="595" t="n"/>
      <c r="Q598" s="594" t="n"/>
      <c r="R598" s="595" t="n"/>
      <c r="T598" s="594" t="n"/>
      <c r="U598" s="595" t="n"/>
      <c r="W598" s="594" t="n"/>
      <c r="X598" s="595" t="n"/>
      <c r="Z598" s="594" t="n"/>
      <c r="AA598" s="595" t="n"/>
      <c r="AC598" s="594" t="n"/>
      <c r="AD598" s="595" t="n"/>
      <c r="AF598" s="594" t="n"/>
      <c r="AG598" s="595" t="n"/>
      <c r="AI598" s="594" t="n"/>
      <c r="AJ598" s="595" t="n"/>
      <c r="AL598" s="594" t="n"/>
      <c r="AM598" s="595" t="n"/>
      <c r="AO598" s="594" t="n"/>
      <c r="AP598" s="595" t="n"/>
      <c r="AR598" s="594" t="n"/>
      <c r="AS598" s="595" t="n"/>
    </row>
    <row r="599" ht="15.75" customHeight="1" s="26">
      <c r="B599" s="593" t="n"/>
      <c r="E599" s="594" t="n"/>
      <c r="F599" s="595" t="n"/>
      <c r="H599" s="594" t="n"/>
      <c r="I599" s="595" t="n"/>
      <c r="K599" s="594" t="n"/>
      <c r="L599" s="595" t="n"/>
      <c r="N599" s="594" t="n"/>
      <c r="O599" s="595" t="n"/>
      <c r="Q599" s="594" t="n"/>
      <c r="R599" s="595" t="n"/>
      <c r="T599" s="594" t="n"/>
      <c r="U599" s="595" t="n"/>
      <c r="W599" s="594" t="n"/>
      <c r="X599" s="595" t="n"/>
      <c r="Z599" s="594" t="n"/>
      <c r="AA599" s="595" t="n"/>
      <c r="AC599" s="594" t="n"/>
      <c r="AD599" s="595" t="n"/>
      <c r="AF599" s="594" t="n"/>
      <c r="AG599" s="595" t="n"/>
      <c r="AI599" s="594" t="n"/>
      <c r="AJ599" s="595" t="n"/>
      <c r="AL599" s="594" t="n"/>
      <c r="AM599" s="595" t="n"/>
      <c r="AO599" s="594" t="n"/>
      <c r="AP599" s="595" t="n"/>
      <c r="AR599" s="594" t="n"/>
      <c r="AS599" s="595" t="n"/>
    </row>
    <row r="600" ht="15.75" customHeight="1" s="26">
      <c r="B600" s="593" t="n"/>
      <c r="E600" s="594" t="n"/>
      <c r="F600" s="595" t="n"/>
      <c r="H600" s="594" t="n"/>
      <c r="I600" s="595" t="n"/>
      <c r="K600" s="594" t="n"/>
      <c r="L600" s="595" t="n"/>
      <c r="N600" s="594" t="n"/>
      <c r="O600" s="595" t="n"/>
      <c r="Q600" s="594" t="n"/>
      <c r="R600" s="595" t="n"/>
      <c r="T600" s="594" t="n"/>
      <c r="U600" s="595" t="n"/>
      <c r="W600" s="594" t="n"/>
      <c r="X600" s="595" t="n"/>
      <c r="Z600" s="594" t="n"/>
      <c r="AA600" s="595" t="n"/>
      <c r="AC600" s="594" t="n"/>
      <c r="AD600" s="595" t="n"/>
      <c r="AF600" s="594" t="n"/>
      <c r="AG600" s="595" t="n"/>
      <c r="AI600" s="594" t="n"/>
      <c r="AJ600" s="595" t="n"/>
      <c r="AL600" s="594" t="n"/>
      <c r="AM600" s="595" t="n"/>
      <c r="AO600" s="594" t="n"/>
      <c r="AP600" s="595" t="n"/>
      <c r="AR600" s="594" t="n"/>
      <c r="AS600" s="595" t="n"/>
    </row>
    <row r="601" ht="15.75" customHeight="1" s="26">
      <c r="B601" s="593" t="n"/>
      <c r="E601" s="594" t="n"/>
      <c r="F601" s="595" t="n"/>
      <c r="H601" s="594" t="n"/>
      <c r="I601" s="595" t="n"/>
      <c r="K601" s="594" t="n"/>
      <c r="L601" s="595" t="n"/>
      <c r="N601" s="594" t="n"/>
      <c r="O601" s="595" t="n"/>
      <c r="Q601" s="594" t="n"/>
      <c r="R601" s="595" t="n"/>
      <c r="T601" s="594" t="n"/>
      <c r="U601" s="595" t="n"/>
      <c r="W601" s="594" t="n"/>
      <c r="X601" s="595" t="n"/>
      <c r="Z601" s="594" t="n"/>
      <c r="AA601" s="595" t="n"/>
      <c r="AC601" s="594" t="n"/>
      <c r="AD601" s="595" t="n"/>
      <c r="AF601" s="594" t="n"/>
      <c r="AG601" s="595" t="n"/>
      <c r="AI601" s="594" t="n"/>
      <c r="AJ601" s="595" t="n"/>
      <c r="AL601" s="594" t="n"/>
      <c r="AM601" s="595" t="n"/>
      <c r="AO601" s="594" t="n"/>
      <c r="AP601" s="595" t="n"/>
      <c r="AR601" s="594" t="n"/>
      <c r="AS601" s="595" t="n"/>
    </row>
    <row r="602" ht="15.75" customHeight="1" s="26">
      <c r="B602" s="593" t="n"/>
      <c r="E602" s="594" t="n"/>
      <c r="F602" s="595" t="n"/>
      <c r="H602" s="594" t="n"/>
      <c r="I602" s="595" t="n"/>
      <c r="K602" s="594" t="n"/>
      <c r="L602" s="595" t="n"/>
      <c r="N602" s="594" t="n"/>
      <c r="O602" s="595" t="n"/>
      <c r="Q602" s="594" t="n"/>
      <c r="R602" s="595" t="n"/>
      <c r="T602" s="594" t="n"/>
      <c r="U602" s="595" t="n"/>
      <c r="W602" s="594" t="n"/>
      <c r="X602" s="595" t="n"/>
      <c r="Z602" s="594" t="n"/>
      <c r="AA602" s="595" t="n"/>
      <c r="AC602" s="594" t="n"/>
      <c r="AD602" s="595" t="n"/>
      <c r="AF602" s="594" t="n"/>
      <c r="AG602" s="595" t="n"/>
      <c r="AI602" s="594" t="n"/>
      <c r="AJ602" s="595" t="n"/>
      <c r="AL602" s="594" t="n"/>
      <c r="AM602" s="595" t="n"/>
      <c r="AO602" s="594" t="n"/>
      <c r="AP602" s="595" t="n"/>
      <c r="AR602" s="594" t="n"/>
      <c r="AS602" s="595" t="n"/>
    </row>
    <row r="603" ht="15.75" customHeight="1" s="26">
      <c r="B603" s="593" t="n"/>
      <c r="E603" s="594" t="n"/>
      <c r="F603" s="595" t="n"/>
      <c r="H603" s="594" t="n"/>
      <c r="I603" s="595" t="n"/>
      <c r="K603" s="594" t="n"/>
      <c r="L603" s="595" t="n"/>
      <c r="N603" s="594" t="n"/>
      <c r="O603" s="595" t="n"/>
      <c r="Q603" s="594" t="n"/>
      <c r="R603" s="595" t="n"/>
      <c r="T603" s="594" t="n"/>
      <c r="U603" s="595" t="n"/>
      <c r="W603" s="594" t="n"/>
      <c r="X603" s="595" t="n"/>
      <c r="Z603" s="594" t="n"/>
      <c r="AA603" s="595" t="n"/>
      <c r="AC603" s="594" t="n"/>
      <c r="AD603" s="595" t="n"/>
      <c r="AF603" s="594" t="n"/>
      <c r="AG603" s="595" t="n"/>
      <c r="AI603" s="594" t="n"/>
      <c r="AJ603" s="595" t="n"/>
      <c r="AL603" s="594" t="n"/>
      <c r="AM603" s="595" t="n"/>
      <c r="AO603" s="594" t="n"/>
      <c r="AP603" s="595" t="n"/>
      <c r="AR603" s="594" t="n"/>
      <c r="AS603" s="595" t="n"/>
    </row>
    <row r="604" ht="15.75" customHeight="1" s="26">
      <c r="B604" s="593" t="n"/>
      <c r="E604" s="594" t="n"/>
      <c r="F604" s="595" t="n"/>
      <c r="H604" s="594" t="n"/>
      <c r="I604" s="595" t="n"/>
      <c r="K604" s="594" t="n"/>
      <c r="L604" s="595" t="n"/>
      <c r="N604" s="594" t="n"/>
      <c r="O604" s="595" t="n"/>
      <c r="Q604" s="594" t="n"/>
      <c r="R604" s="595" t="n"/>
      <c r="T604" s="594" t="n"/>
      <c r="U604" s="595" t="n"/>
      <c r="W604" s="594" t="n"/>
      <c r="X604" s="595" t="n"/>
      <c r="Z604" s="594" t="n"/>
      <c r="AA604" s="595" t="n"/>
      <c r="AC604" s="594" t="n"/>
      <c r="AD604" s="595" t="n"/>
      <c r="AF604" s="594" t="n"/>
      <c r="AG604" s="595" t="n"/>
      <c r="AI604" s="594" t="n"/>
      <c r="AJ604" s="595" t="n"/>
      <c r="AL604" s="594" t="n"/>
      <c r="AM604" s="595" t="n"/>
      <c r="AO604" s="594" t="n"/>
      <c r="AP604" s="595" t="n"/>
      <c r="AR604" s="594" t="n"/>
      <c r="AS604" s="595" t="n"/>
    </row>
    <row r="605" ht="15.75" customHeight="1" s="26">
      <c r="B605" s="593" t="n"/>
      <c r="E605" s="594" t="n"/>
      <c r="F605" s="595" t="n"/>
      <c r="H605" s="594" t="n"/>
      <c r="I605" s="595" t="n"/>
      <c r="K605" s="594" t="n"/>
      <c r="L605" s="595" t="n"/>
      <c r="N605" s="594" t="n"/>
      <c r="O605" s="595" t="n"/>
      <c r="Q605" s="594" t="n"/>
      <c r="R605" s="595" t="n"/>
      <c r="T605" s="594" t="n"/>
      <c r="U605" s="595" t="n"/>
      <c r="W605" s="594" t="n"/>
      <c r="X605" s="595" t="n"/>
      <c r="Z605" s="594" t="n"/>
      <c r="AA605" s="595" t="n"/>
      <c r="AC605" s="594" t="n"/>
      <c r="AD605" s="595" t="n"/>
      <c r="AF605" s="594" t="n"/>
      <c r="AG605" s="595" t="n"/>
      <c r="AI605" s="594" t="n"/>
      <c r="AJ605" s="595" t="n"/>
      <c r="AL605" s="594" t="n"/>
      <c r="AM605" s="595" t="n"/>
      <c r="AO605" s="594" t="n"/>
      <c r="AP605" s="595" t="n"/>
      <c r="AR605" s="594" t="n"/>
      <c r="AS605" s="595" t="n"/>
    </row>
    <row r="606" ht="15.75" customHeight="1" s="26">
      <c r="B606" s="593" t="n"/>
      <c r="E606" s="594" t="n"/>
      <c r="F606" s="595" t="n"/>
      <c r="H606" s="594" t="n"/>
      <c r="I606" s="595" t="n"/>
      <c r="K606" s="594" t="n"/>
      <c r="L606" s="595" t="n"/>
      <c r="N606" s="594" t="n"/>
      <c r="O606" s="595" t="n"/>
      <c r="Q606" s="594" t="n"/>
      <c r="R606" s="595" t="n"/>
      <c r="T606" s="594" t="n"/>
      <c r="U606" s="595" t="n"/>
      <c r="W606" s="594" t="n"/>
      <c r="X606" s="595" t="n"/>
      <c r="Z606" s="594" t="n"/>
      <c r="AA606" s="595" t="n"/>
      <c r="AC606" s="594" t="n"/>
      <c r="AD606" s="595" t="n"/>
      <c r="AF606" s="594" t="n"/>
      <c r="AG606" s="595" t="n"/>
      <c r="AI606" s="594" t="n"/>
      <c r="AJ606" s="595" t="n"/>
      <c r="AL606" s="594" t="n"/>
      <c r="AM606" s="595" t="n"/>
      <c r="AO606" s="594" t="n"/>
      <c r="AP606" s="595" t="n"/>
      <c r="AR606" s="594" t="n"/>
      <c r="AS606" s="595" t="n"/>
    </row>
    <row r="607" ht="15.75" customHeight="1" s="26">
      <c r="B607" s="593" t="n"/>
      <c r="E607" s="594" t="n"/>
      <c r="F607" s="595" t="n"/>
      <c r="H607" s="594" t="n"/>
      <c r="I607" s="595" t="n"/>
      <c r="K607" s="594" t="n"/>
      <c r="L607" s="595" t="n"/>
      <c r="N607" s="594" t="n"/>
      <c r="O607" s="595" t="n"/>
      <c r="Q607" s="594" t="n"/>
      <c r="R607" s="595" t="n"/>
      <c r="T607" s="594" t="n"/>
      <c r="U607" s="595" t="n"/>
      <c r="W607" s="594" t="n"/>
      <c r="X607" s="595" t="n"/>
      <c r="Z607" s="594" t="n"/>
      <c r="AA607" s="595" t="n"/>
      <c r="AC607" s="594" t="n"/>
      <c r="AD607" s="595" t="n"/>
      <c r="AF607" s="594" t="n"/>
      <c r="AG607" s="595" t="n"/>
      <c r="AI607" s="594" t="n"/>
      <c r="AJ607" s="595" t="n"/>
      <c r="AL607" s="594" t="n"/>
      <c r="AM607" s="595" t="n"/>
      <c r="AO607" s="594" t="n"/>
      <c r="AP607" s="595" t="n"/>
      <c r="AR607" s="594" t="n"/>
      <c r="AS607" s="595" t="n"/>
    </row>
    <row r="608" ht="15.75" customHeight="1" s="26">
      <c r="B608" s="593" t="n"/>
      <c r="E608" s="594" t="n"/>
      <c r="F608" s="595" t="n"/>
      <c r="H608" s="594" t="n"/>
      <c r="I608" s="595" t="n"/>
      <c r="K608" s="594" t="n"/>
      <c r="L608" s="595" t="n"/>
      <c r="N608" s="594" t="n"/>
      <c r="O608" s="595" t="n"/>
      <c r="Q608" s="594" t="n"/>
      <c r="R608" s="595" t="n"/>
      <c r="T608" s="594" t="n"/>
      <c r="U608" s="595" t="n"/>
      <c r="W608" s="594" t="n"/>
      <c r="X608" s="595" t="n"/>
      <c r="Z608" s="594" t="n"/>
      <c r="AA608" s="595" t="n"/>
      <c r="AC608" s="594" t="n"/>
      <c r="AD608" s="595" t="n"/>
      <c r="AF608" s="594" t="n"/>
      <c r="AG608" s="595" t="n"/>
      <c r="AI608" s="594" t="n"/>
      <c r="AJ608" s="595" t="n"/>
      <c r="AL608" s="594" t="n"/>
      <c r="AM608" s="595" t="n"/>
      <c r="AO608" s="594" t="n"/>
      <c r="AP608" s="595" t="n"/>
      <c r="AR608" s="594" t="n"/>
      <c r="AS608" s="595" t="n"/>
    </row>
    <row r="609" ht="15.75" customHeight="1" s="26">
      <c r="B609" s="593" t="n"/>
      <c r="E609" s="594" t="n"/>
      <c r="F609" s="595" t="n"/>
      <c r="H609" s="594" t="n"/>
      <c r="I609" s="595" t="n"/>
      <c r="K609" s="594" t="n"/>
      <c r="L609" s="595" t="n"/>
      <c r="N609" s="594" t="n"/>
      <c r="O609" s="595" t="n"/>
      <c r="Q609" s="594" t="n"/>
      <c r="R609" s="595" t="n"/>
      <c r="T609" s="594" t="n"/>
      <c r="U609" s="595" t="n"/>
      <c r="W609" s="594" t="n"/>
      <c r="X609" s="595" t="n"/>
      <c r="Z609" s="594" t="n"/>
      <c r="AA609" s="595" t="n"/>
      <c r="AC609" s="594" t="n"/>
      <c r="AD609" s="595" t="n"/>
      <c r="AF609" s="594" t="n"/>
      <c r="AG609" s="595" t="n"/>
      <c r="AI609" s="594" t="n"/>
      <c r="AJ609" s="595" t="n"/>
      <c r="AL609" s="594" t="n"/>
      <c r="AM609" s="595" t="n"/>
      <c r="AO609" s="594" t="n"/>
      <c r="AP609" s="595" t="n"/>
      <c r="AR609" s="594" t="n"/>
      <c r="AS609" s="595" t="n"/>
    </row>
    <row r="610" ht="15.75" customHeight="1" s="26">
      <c r="B610" s="593" t="n"/>
      <c r="E610" s="594" t="n"/>
      <c r="F610" s="595" t="n"/>
      <c r="H610" s="594" t="n"/>
      <c r="I610" s="595" t="n"/>
      <c r="K610" s="594" t="n"/>
      <c r="L610" s="595" t="n"/>
      <c r="N610" s="594" t="n"/>
      <c r="O610" s="595" t="n"/>
      <c r="Q610" s="594" t="n"/>
      <c r="R610" s="595" t="n"/>
      <c r="T610" s="594" t="n"/>
      <c r="U610" s="595" t="n"/>
      <c r="W610" s="594" t="n"/>
      <c r="X610" s="595" t="n"/>
      <c r="Z610" s="594" t="n"/>
      <c r="AA610" s="595" t="n"/>
      <c r="AC610" s="594" t="n"/>
      <c r="AD610" s="595" t="n"/>
      <c r="AF610" s="594" t="n"/>
      <c r="AG610" s="595" t="n"/>
      <c r="AI610" s="594" t="n"/>
      <c r="AJ610" s="595" t="n"/>
      <c r="AL610" s="594" t="n"/>
      <c r="AM610" s="595" t="n"/>
      <c r="AO610" s="594" t="n"/>
      <c r="AP610" s="595" t="n"/>
      <c r="AR610" s="594" t="n"/>
      <c r="AS610" s="595" t="n"/>
    </row>
    <row r="611" ht="15.75" customHeight="1" s="26">
      <c r="B611" s="593" t="n"/>
      <c r="E611" s="594" t="n"/>
      <c r="F611" s="595" t="n"/>
      <c r="H611" s="594" t="n"/>
      <c r="I611" s="595" t="n"/>
      <c r="K611" s="594" t="n"/>
      <c r="L611" s="595" t="n"/>
      <c r="N611" s="594" t="n"/>
      <c r="O611" s="595" t="n"/>
      <c r="Q611" s="594" t="n"/>
      <c r="R611" s="595" t="n"/>
      <c r="T611" s="594" t="n"/>
      <c r="U611" s="595" t="n"/>
      <c r="W611" s="594" t="n"/>
      <c r="X611" s="595" t="n"/>
      <c r="Z611" s="594" t="n"/>
      <c r="AA611" s="595" t="n"/>
      <c r="AC611" s="594" t="n"/>
      <c r="AD611" s="595" t="n"/>
      <c r="AF611" s="594" t="n"/>
      <c r="AG611" s="595" t="n"/>
      <c r="AI611" s="594" t="n"/>
      <c r="AJ611" s="595" t="n"/>
      <c r="AL611" s="594" t="n"/>
      <c r="AM611" s="595" t="n"/>
      <c r="AO611" s="594" t="n"/>
      <c r="AP611" s="595" t="n"/>
      <c r="AR611" s="594" t="n"/>
      <c r="AS611" s="595" t="n"/>
    </row>
    <row r="612" ht="15.75" customHeight="1" s="26">
      <c r="B612" s="593" t="n"/>
      <c r="E612" s="594" t="n"/>
      <c r="F612" s="595" t="n"/>
      <c r="H612" s="594" t="n"/>
      <c r="I612" s="595" t="n"/>
      <c r="K612" s="594" t="n"/>
      <c r="L612" s="595" t="n"/>
      <c r="N612" s="594" t="n"/>
      <c r="O612" s="595" t="n"/>
      <c r="Q612" s="594" t="n"/>
      <c r="R612" s="595" t="n"/>
      <c r="T612" s="594" t="n"/>
      <c r="U612" s="595" t="n"/>
      <c r="W612" s="594" t="n"/>
      <c r="X612" s="595" t="n"/>
      <c r="Z612" s="594" t="n"/>
      <c r="AA612" s="595" t="n"/>
      <c r="AC612" s="594" t="n"/>
      <c r="AD612" s="595" t="n"/>
      <c r="AF612" s="594" t="n"/>
      <c r="AG612" s="595" t="n"/>
      <c r="AI612" s="594" t="n"/>
      <c r="AJ612" s="595" t="n"/>
      <c r="AL612" s="594" t="n"/>
      <c r="AM612" s="595" t="n"/>
      <c r="AO612" s="594" t="n"/>
      <c r="AP612" s="595" t="n"/>
      <c r="AR612" s="594" t="n"/>
      <c r="AS612" s="595" t="n"/>
    </row>
    <row r="613" ht="15.75" customHeight="1" s="26">
      <c r="B613" s="593" t="n"/>
      <c r="E613" s="594" t="n"/>
      <c r="F613" s="595" t="n"/>
      <c r="H613" s="594" t="n"/>
      <c r="I613" s="595" t="n"/>
      <c r="K613" s="594" t="n"/>
      <c r="L613" s="595" t="n"/>
      <c r="N613" s="594" t="n"/>
      <c r="O613" s="595" t="n"/>
      <c r="Q613" s="594" t="n"/>
      <c r="R613" s="595" t="n"/>
      <c r="T613" s="594" t="n"/>
      <c r="U613" s="595" t="n"/>
      <c r="W613" s="594" t="n"/>
      <c r="X613" s="595" t="n"/>
      <c r="Z613" s="594" t="n"/>
      <c r="AA613" s="595" t="n"/>
      <c r="AC613" s="594" t="n"/>
      <c r="AD613" s="595" t="n"/>
      <c r="AF613" s="594" t="n"/>
      <c r="AG613" s="595" t="n"/>
      <c r="AI613" s="594" t="n"/>
      <c r="AJ613" s="595" t="n"/>
      <c r="AL613" s="594" t="n"/>
      <c r="AM613" s="595" t="n"/>
      <c r="AO613" s="594" t="n"/>
      <c r="AP613" s="595" t="n"/>
      <c r="AR613" s="594" t="n"/>
      <c r="AS613" s="595" t="n"/>
    </row>
    <row r="614" ht="15.75" customHeight="1" s="26">
      <c r="B614" s="593" t="n"/>
      <c r="E614" s="594" t="n"/>
      <c r="F614" s="595" t="n"/>
      <c r="H614" s="594" t="n"/>
      <c r="I614" s="595" t="n"/>
      <c r="K614" s="594" t="n"/>
      <c r="L614" s="595" t="n"/>
      <c r="N614" s="594" t="n"/>
      <c r="O614" s="595" t="n"/>
      <c r="Q614" s="594" t="n"/>
      <c r="R614" s="595" t="n"/>
      <c r="T614" s="594" t="n"/>
      <c r="U614" s="595" t="n"/>
      <c r="W614" s="594" t="n"/>
      <c r="X614" s="595" t="n"/>
      <c r="Z614" s="594" t="n"/>
      <c r="AA614" s="595" t="n"/>
      <c r="AC614" s="594" t="n"/>
      <c r="AD614" s="595" t="n"/>
      <c r="AF614" s="594" t="n"/>
      <c r="AG614" s="595" t="n"/>
      <c r="AI614" s="594" t="n"/>
      <c r="AJ614" s="595" t="n"/>
      <c r="AL614" s="594" t="n"/>
      <c r="AM614" s="595" t="n"/>
      <c r="AO614" s="594" t="n"/>
      <c r="AP614" s="595" t="n"/>
      <c r="AR614" s="594" t="n"/>
      <c r="AS614" s="595" t="n"/>
    </row>
    <row r="615" ht="15.75" customHeight="1" s="26">
      <c r="B615" s="593" t="n"/>
      <c r="E615" s="594" t="n"/>
      <c r="F615" s="595" t="n"/>
      <c r="H615" s="594" t="n"/>
      <c r="I615" s="595" t="n"/>
      <c r="K615" s="594" t="n"/>
      <c r="L615" s="595" t="n"/>
      <c r="N615" s="594" t="n"/>
      <c r="O615" s="595" t="n"/>
      <c r="Q615" s="594" t="n"/>
      <c r="R615" s="595" t="n"/>
      <c r="T615" s="594" t="n"/>
      <c r="U615" s="595" t="n"/>
      <c r="W615" s="594" t="n"/>
      <c r="X615" s="595" t="n"/>
      <c r="Z615" s="594" t="n"/>
      <c r="AA615" s="595" t="n"/>
      <c r="AC615" s="594" t="n"/>
      <c r="AD615" s="595" t="n"/>
      <c r="AF615" s="594" t="n"/>
      <c r="AG615" s="595" t="n"/>
      <c r="AI615" s="594" t="n"/>
      <c r="AJ615" s="595" t="n"/>
      <c r="AL615" s="594" t="n"/>
      <c r="AM615" s="595" t="n"/>
      <c r="AO615" s="594" t="n"/>
      <c r="AP615" s="595" t="n"/>
      <c r="AR615" s="594" t="n"/>
      <c r="AS615" s="595" t="n"/>
    </row>
    <row r="616" ht="15.75" customHeight="1" s="26">
      <c r="B616" s="593" t="n"/>
      <c r="E616" s="594" t="n"/>
      <c r="F616" s="595" t="n"/>
      <c r="H616" s="594" t="n"/>
      <c r="I616" s="595" t="n"/>
      <c r="K616" s="594" t="n"/>
      <c r="L616" s="595" t="n"/>
      <c r="N616" s="594" t="n"/>
      <c r="O616" s="595" t="n"/>
      <c r="Q616" s="594" t="n"/>
      <c r="R616" s="595" t="n"/>
      <c r="T616" s="594" t="n"/>
      <c r="U616" s="595" t="n"/>
      <c r="W616" s="594" t="n"/>
      <c r="X616" s="595" t="n"/>
      <c r="Z616" s="594" t="n"/>
      <c r="AA616" s="595" t="n"/>
      <c r="AC616" s="594" t="n"/>
      <c r="AD616" s="595" t="n"/>
      <c r="AF616" s="594" t="n"/>
      <c r="AG616" s="595" t="n"/>
      <c r="AI616" s="594" t="n"/>
      <c r="AJ616" s="595" t="n"/>
      <c r="AL616" s="594" t="n"/>
      <c r="AM616" s="595" t="n"/>
      <c r="AO616" s="594" t="n"/>
      <c r="AP616" s="595" t="n"/>
      <c r="AR616" s="594" t="n"/>
      <c r="AS616" s="595" t="n"/>
    </row>
    <row r="617" ht="15.75" customHeight="1" s="26">
      <c r="B617" s="593" t="n"/>
      <c r="E617" s="594" t="n"/>
      <c r="F617" s="595" t="n"/>
      <c r="H617" s="594" t="n"/>
      <c r="I617" s="595" t="n"/>
      <c r="K617" s="594" t="n"/>
      <c r="L617" s="595" t="n"/>
      <c r="N617" s="594" t="n"/>
      <c r="O617" s="595" t="n"/>
      <c r="Q617" s="594" t="n"/>
      <c r="R617" s="595" t="n"/>
      <c r="T617" s="594" t="n"/>
      <c r="U617" s="595" t="n"/>
      <c r="W617" s="594" t="n"/>
      <c r="X617" s="595" t="n"/>
      <c r="Z617" s="594" t="n"/>
      <c r="AA617" s="595" t="n"/>
      <c r="AC617" s="594" t="n"/>
      <c r="AD617" s="595" t="n"/>
      <c r="AF617" s="594" t="n"/>
      <c r="AG617" s="595" t="n"/>
      <c r="AI617" s="594" t="n"/>
      <c r="AJ617" s="595" t="n"/>
      <c r="AL617" s="594" t="n"/>
      <c r="AM617" s="595" t="n"/>
      <c r="AO617" s="594" t="n"/>
      <c r="AP617" s="595" t="n"/>
      <c r="AR617" s="594" t="n"/>
      <c r="AS617" s="595" t="n"/>
    </row>
    <row r="618" ht="15.75" customHeight="1" s="26">
      <c r="B618" s="593" t="n"/>
      <c r="E618" s="594" t="n"/>
      <c r="F618" s="595" t="n"/>
      <c r="H618" s="594" t="n"/>
      <c r="I618" s="595" t="n"/>
      <c r="K618" s="594" t="n"/>
      <c r="L618" s="595" t="n"/>
      <c r="N618" s="594" t="n"/>
      <c r="O618" s="595" t="n"/>
      <c r="Q618" s="594" t="n"/>
      <c r="R618" s="595" t="n"/>
      <c r="T618" s="594" t="n"/>
      <c r="U618" s="595" t="n"/>
      <c r="W618" s="594" t="n"/>
      <c r="X618" s="595" t="n"/>
      <c r="Z618" s="594" t="n"/>
      <c r="AA618" s="595" t="n"/>
      <c r="AC618" s="594" t="n"/>
      <c r="AD618" s="595" t="n"/>
      <c r="AF618" s="594" t="n"/>
      <c r="AG618" s="595" t="n"/>
      <c r="AI618" s="594" t="n"/>
      <c r="AJ618" s="595" t="n"/>
      <c r="AL618" s="594" t="n"/>
      <c r="AM618" s="595" t="n"/>
      <c r="AO618" s="594" t="n"/>
      <c r="AP618" s="595" t="n"/>
      <c r="AR618" s="594" t="n"/>
      <c r="AS618" s="595" t="n"/>
    </row>
    <row r="619" ht="15.75" customHeight="1" s="26">
      <c r="B619" s="593" t="n"/>
      <c r="E619" s="594" t="n"/>
      <c r="F619" s="595" t="n"/>
      <c r="H619" s="594" t="n"/>
      <c r="I619" s="595" t="n"/>
      <c r="K619" s="594" t="n"/>
      <c r="L619" s="595" t="n"/>
      <c r="N619" s="594" t="n"/>
      <c r="O619" s="595" t="n"/>
      <c r="Q619" s="594" t="n"/>
      <c r="R619" s="595" t="n"/>
      <c r="T619" s="594" t="n"/>
      <c r="U619" s="595" t="n"/>
      <c r="W619" s="594" t="n"/>
      <c r="X619" s="595" t="n"/>
      <c r="Z619" s="594" t="n"/>
      <c r="AA619" s="595" t="n"/>
      <c r="AC619" s="594" t="n"/>
      <c r="AD619" s="595" t="n"/>
      <c r="AF619" s="594" t="n"/>
      <c r="AG619" s="595" t="n"/>
      <c r="AI619" s="594" t="n"/>
      <c r="AJ619" s="595" t="n"/>
      <c r="AL619" s="594" t="n"/>
      <c r="AM619" s="595" t="n"/>
      <c r="AO619" s="594" t="n"/>
      <c r="AP619" s="595" t="n"/>
      <c r="AR619" s="594" t="n"/>
      <c r="AS619" s="595" t="n"/>
    </row>
    <row r="620" ht="15.75" customHeight="1" s="26">
      <c r="B620" s="593" t="n"/>
      <c r="E620" s="594" t="n"/>
      <c r="F620" s="595" t="n"/>
      <c r="H620" s="594" t="n"/>
      <c r="I620" s="595" t="n"/>
      <c r="K620" s="594" t="n"/>
      <c r="L620" s="595" t="n"/>
      <c r="N620" s="594" t="n"/>
      <c r="O620" s="595" t="n"/>
      <c r="Q620" s="594" t="n"/>
      <c r="R620" s="595" t="n"/>
      <c r="T620" s="594" t="n"/>
      <c r="U620" s="595" t="n"/>
      <c r="W620" s="594" t="n"/>
      <c r="X620" s="595" t="n"/>
      <c r="Z620" s="594" t="n"/>
      <c r="AA620" s="595" t="n"/>
      <c r="AC620" s="594" t="n"/>
      <c r="AD620" s="595" t="n"/>
      <c r="AF620" s="594" t="n"/>
      <c r="AG620" s="595" t="n"/>
      <c r="AI620" s="594" t="n"/>
      <c r="AJ620" s="595" t="n"/>
      <c r="AL620" s="594" t="n"/>
      <c r="AM620" s="595" t="n"/>
      <c r="AO620" s="594" t="n"/>
      <c r="AP620" s="595" t="n"/>
      <c r="AR620" s="594" t="n"/>
      <c r="AS620" s="595" t="n"/>
    </row>
    <row r="621" ht="15.75" customHeight="1" s="26">
      <c r="B621" s="593" t="n"/>
      <c r="E621" s="594" t="n"/>
      <c r="F621" s="595" t="n"/>
      <c r="H621" s="594" t="n"/>
      <c r="I621" s="595" t="n"/>
      <c r="K621" s="594" t="n"/>
      <c r="L621" s="595" t="n"/>
      <c r="N621" s="594" t="n"/>
      <c r="O621" s="595" t="n"/>
      <c r="Q621" s="594" t="n"/>
      <c r="R621" s="595" t="n"/>
      <c r="T621" s="594" t="n"/>
      <c r="U621" s="595" t="n"/>
      <c r="W621" s="594" t="n"/>
      <c r="X621" s="595" t="n"/>
      <c r="Z621" s="594" t="n"/>
      <c r="AA621" s="595" t="n"/>
      <c r="AC621" s="594" t="n"/>
      <c r="AD621" s="595" t="n"/>
      <c r="AF621" s="594" t="n"/>
      <c r="AG621" s="595" t="n"/>
      <c r="AI621" s="594" t="n"/>
      <c r="AJ621" s="595" t="n"/>
      <c r="AL621" s="594" t="n"/>
      <c r="AM621" s="595" t="n"/>
      <c r="AO621" s="594" t="n"/>
      <c r="AP621" s="595" t="n"/>
      <c r="AR621" s="594" t="n"/>
      <c r="AS621" s="595" t="n"/>
    </row>
    <row r="622" ht="15.75" customHeight="1" s="26">
      <c r="B622" s="593" t="n"/>
      <c r="E622" s="594" t="n"/>
      <c r="F622" s="595" t="n"/>
      <c r="H622" s="594" t="n"/>
      <c r="I622" s="595" t="n"/>
      <c r="K622" s="594" t="n"/>
      <c r="L622" s="595" t="n"/>
      <c r="N622" s="594" t="n"/>
      <c r="O622" s="595" t="n"/>
      <c r="Q622" s="594" t="n"/>
      <c r="R622" s="595" t="n"/>
      <c r="T622" s="594" t="n"/>
      <c r="U622" s="595" t="n"/>
      <c r="W622" s="594" t="n"/>
      <c r="X622" s="595" t="n"/>
      <c r="Z622" s="594" t="n"/>
      <c r="AA622" s="595" t="n"/>
      <c r="AC622" s="594" t="n"/>
      <c r="AD622" s="595" t="n"/>
      <c r="AF622" s="594" t="n"/>
      <c r="AG622" s="595" t="n"/>
      <c r="AI622" s="594" t="n"/>
      <c r="AJ622" s="595" t="n"/>
      <c r="AL622" s="594" t="n"/>
      <c r="AM622" s="595" t="n"/>
      <c r="AO622" s="594" t="n"/>
      <c r="AP622" s="595" t="n"/>
      <c r="AR622" s="594" t="n"/>
      <c r="AS622" s="595" t="n"/>
    </row>
    <row r="623" ht="15.75" customHeight="1" s="26">
      <c r="B623" s="593" t="n"/>
      <c r="E623" s="594" t="n"/>
      <c r="F623" s="595" t="n"/>
      <c r="H623" s="594" t="n"/>
      <c r="I623" s="595" t="n"/>
      <c r="K623" s="594" t="n"/>
      <c r="L623" s="595" t="n"/>
      <c r="N623" s="594" t="n"/>
      <c r="O623" s="595" t="n"/>
      <c r="Q623" s="594" t="n"/>
      <c r="R623" s="595" t="n"/>
      <c r="T623" s="594" t="n"/>
      <c r="U623" s="595" t="n"/>
      <c r="W623" s="594" t="n"/>
      <c r="X623" s="595" t="n"/>
      <c r="Z623" s="594" t="n"/>
      <c r="AA623" s="595" t="n"/>
      <c r="AC623" s="594" t="n"/>
      <c r="AD623" s="595" t="n"/>
      <c r="AF623" s="594" t="n"/>
      <c r="AG623" s="595" t="n"/>
      <c r="AI623" s="594" t="n"/>
      <c r="AJ623" s="595" t="n"/>
      <c r="AL623" s="594" t="n"/>
      <c r="AM623" s="595" t="n"/>
      <c r="AO623" s="594" t="n"/>
      <c r="AP623" s="595" t="n"/>
      <c r="AR623" s="594" t="n"/>
      <c r="AS623" s="595" t="n"/>
    </row>
    <row r="624" ht="15.75" customHeight="1" s="26">
      <c r="B624" s="593" t="n"/>
      <c r="E624" s="594" t="n"/>
      <c r="F624" s="595" t="n"/>
      <c r="H624" s="594" t="n"/>
      <c r="I624" s="595" t="n"/>
      <c r="K624" s="594" t="n"/>
      <c r="L624" s="595" t="n"/>
      <c r="N624" s="594" t="n"/>
      <c r="O624" s="595" t="n"/>
      <c r="Q624" s="594" t="n"/>
      <c r="R624" s="595" t="n"/>
      <c r="T624" s="594" t="n"/>
      <c r="U624" s="595" t="n"/>
      <c r="W624" s="594" t="n"/>
      <c r="X624" s="595" t="n"/>
      <c r="Z624" s="594" t="n"/>
      <c r="AA624" s="595" t="n"/>
      <c r="AC624" s="594" t="n"/>
      <c r="AD624" s="595" t="n"/>
      <c r="AF624" s="594" t="n"/>
      <c r="AG624" s="595" t="n"/>
      <c r="AI624" s="594" t="n"/>
      <c r="AJ624" s="595" t="n"/>
      <c r="AL624" s="594" t="n"/>
      <c r="AM624" s="595" t="n"/>
      <c r="AO624" s="594" t="n"/>
      <c r="AP624" s="595" t="n"/>
      <c r="AR624" s="594" t="n"/>
      <c r="AS624" s="595" t="n"/>
    </row>
    <row r="625" ht="15.75" customHeight="1" s="26">
      <c r="B625" s="593" t="n"/>
      <c r="E625" s="594" t="n"/>
      <c r="F625" s="595" t="n"/>
      <c r="H625" s="594" t="n"/>
      <c r="I625" s="595" t="n"/>
      <c r="K625" s="594" t="n"/>
      <c r="L625" s="595" t="n"/>
      <c r="N625" s="594" t="n"/>
      <c r="O625" s="595" t="n"/>
      <c r="Q625" s="594" t="n"/>
      <c r="R625" s="595" t="n"/>
      <c r="T625" s="594" t="n"/>
      <c r="U625" s="595" t="n"/>
      <c r="W625" s="594" t="n"/>
      <c r="X625" s="595" t="n"/>
      <c r="Z625" s="594" t="n"/>
      <c r="AA625" s="595" t="n"/>
      <c r="AC625" s="594" t="n"/>
      <c r="AD625" s="595" t="n"/>
      <c r="AF625" s="594" t="n"/>
      <c r="AG625" s="595" t="n"/>
      <c r="AI625" s="594" t="n"/>
      <c r="AJ625" s="595" t="n"/>
      <c r="AL625" s="594" t="n"/>
      <c r="AM625" s="595" t="n"/>
      <c r="AO625" s="594" t="n"/>
      <c r="AP625" s="595" t="n"/>
      <c r="AR625" s="594" t="n"/>
      <c r="AS625" s="595" t="n"/>
    </row>
    <row r="626" ht="15.75" customHeight="1" s="26">
      <c r="B626" s="593" t="n"/>
      <c r="E626" s="594" t="n"/>
      <c r="F626" s="595" t="n"/>
      <c r="H626" s="594" t="n"/>
      <c r="I626" s="595" t="n"/>
      <c r="K626" s="594" t="n"/>
      <c r="L626" s="595" t="n"/>
      <c r="N626" s="594" t="n"/>
      <c r="O626" s="595" t="n"/>
      <c r="Q626" s="594" t="n"/>
      <c r="R626" s="595" t="n"/>
      <c r="T626" s="594" t="n"/>
      <c r="U626" s="595" t="n"/>
      <c r="W626" s="594" t="n"/>
      <c r="X626" s="595" t="n"/>
      <c r="Z626" s="594" t="n"/>
      <c r="AA626" s="595" t="n"/>
      <c r="AC626" s="594" t="n"/>
      <c r="AD626" s="595" t="n"/>
      <c r="AF626" s="594" t="n"/>
      <c r="AG626" s="595" t="n"/>
      <c r="AI626" s="594" t="n"/>
      <c r="AJ626" s="595" t="n"/>
      <c r="AL626" s="594" t="n"/>
      <c r="AM626" s="595" t="n"/>
      <c r="AO626" s="594" t="n"/>
      <c r="AP626" s="595" t="n"/>
      <c r="AR626" s="594" t="n"/>
      <c r="AS626" s="595" t="n"/>
    </row>
    <row r="627" ht="15.75" customHeight="1" s="26">
      <c r="B627" s="593" t="n"/>
      <c r="E627" s="594" t="n"/>
      <c r="F627" s="595" t="n"/>
      <c r="H627" s="594" t="n"/>
      <c r="I627" s="595" t="n"/>
      <c r="K627" s="594" t="n"/>
      <c r="L627" s="595" t="n"/>
      <c r="N627" s="594" t="n"/>
      <c r="O627" s="595" t="n"/>
      <c r="Q627" s="594" t="n"/>
      <c r="R627" s="595" t="n"/>
      <c r="T627" s="594" t="n"/>
      <c r="U627" s="595" t="n"/>
      <c r="W627" s="594" t="n"/>
      <c r="X627" s="595" t="n"/>
      <c r="Z627" s="594" t="n"/>
      <c r="AA627" s="595" t="n"/>
      <c r="AC627" s="594" t="n"/>
      <c r="AD627" s="595" t="n"/>
      <c r="AF627" s="594" t="n"/>
      <c r="AG627" s="595" t="n"/>
      <c r="AI627" s="594" t="n"/>
      <c r="AJ627" s="595" t="n"/>
      <c r="AL627" s="594" t="n"/>
      <c r="AM627" s="595" t="n"/>
      <c r="AO627" s="594" t="n"/>
      <c r="AP627" s="595" t="n"/>
      <c r="AR627" s="594" t="n"/>
      <c r="AS627" s="595" t="n"/>
    </row>
    <row r="628" ht="15.75" customHeight="1" s="26">
      <c r="B628" s="593" t="n"/>
      <c r="E628" s="594" t="n"/>
      <c r="F628" s="595" t="n"/>
      <c r="H628" s="594" t="n"/>
      <c r="I628" s="595" t="n"/>
      <c r="K628" s="594" t="n"/>
      <c r="L628" s="595" t="n"/>
      <c r="N628" s="594" t="n"/>
      <c r="O628" s="595" t="n"/>
      <c r="Q628" s="594" t="n"/>
      <c r="R628" s="595" t="n"/>
      <c r="T628" s="594" t="n"/>
      <c r="U628" s="595" t="n"/>
      <c r="W628" s="594" t="n"/>
      <c r="X628" s="595" t="n"/>
      <c r="Z628" s="594" t="n"/>
      <c r="AA628" s="595" t="n"/>
      <c r="AC628" s="594" t="n"/>
      <c r="AD628" s="595" t="n"/>
      <c r="AF628" s="594" t="n"/>
      <c r="AG628" s="595" t="n"/>
      <c r="AI628" s="594" t="n"/>
      <c r="AJ628" s="595" t="n"/>
      <c r="AL628" s="594" t="n"/>
      <c r="AM628" s="595" t="n"/>
      <c r="AO628" s="594" t="n"/>
      <c r="AP628" s="595" t="n"/>
      <c r="AR628" s="594" t="n"/>
      <c r="AS628" s="595" t="n"/>
    </row>
    <row r="629" ht="15.75" customHeight="1" s="26">
      <c r="B629" s="593" t="n"/>
      <c r="E629" s="594" t="n"/>
      <c r="F629" s="595" t="n"/>
      <c r="H629" s="594" t="n"/>
      <c r="I629" s="595" t="n"/>
      <c r="K629" s="594" t="n"/>
      <c r="L629" s="595" t="n"/>
      <c r="N629" s="594" t="n"/>
      <c r="O629" s="595" t="n"/>
      <c r="Q629" s="594" t="n"/>
      <c r="R629" s="595" t="n"/>
      <c r="T629" s="594" t="n"/>
      <c r="U629" s="595" t="n"/>
      <c r="W629" s="594" t="n"/>
      <c r="X629" s="595" t="n"/>
      <c r="Z629" s="594" t="n"/>
      <c r="AA629" s="595" t="n"/>
      <c r="AC629" s="594" t="n"/>
      <c r="AD629" s="595" t="n"/>
      <c r="AF629" s="594" t="n"/>
      <c r="AG629" s="595" t="n"/>
      <c r="AI629" s="594" t="n"/>
      <c r="AJ629" s="595" t="n"/>
      <c r="AL629" s="594" t="n"/>
      <c r="AM629" s="595" t="n"/>
      <c r="AO629" s="594" t="n"/>
      <c r="AP629" s="595" t="n"/>
      <c r="AR629" s="594" t="n"/>
      <c r="AS629" s="595" t="n"/>
    </row>
    <row r="630" ht="15.75" customHeight="1" s="26">
      <c r="B630" s="593" t="n"/>
      <c r="E630" s="594" t="n"/>
      <c r="F630" s="595" t="n"/>
      <c r="H630" s="594" t="n"/>
      <c r="I630" s="595" t="n"/>
      <c r="K630" s="594" t="n"/>
      <c r="L630" s="595" t="n"/>
      <c r="N630" s="594" t="n"/>
      <c r="O630" s="595" t="n"/>
      <c r="Q630" s="594" t="n"/>
      <c r="R630" s="595" t="n"/>
      <c r="T630" s="594" t="n"/>
      <c r="U630" s="595" t="n"/>
      <c r="W630" s="594" t="n"/>
      <c r="X630" s="595" t="n"/>
      <c r="Z630" s="594" t="n"/>
      <c r="AA630" s="595" t="n"/>
      <c r="AC630" s="594" t="n"/>
      <c r="AD630" s="595" t="n"/>
      <c r="AF630" s="594" t="n"/>
      <c r="AG630" s="595" t="n"/>
      <c r="AI630" s="594" t="n"/>
      <c r="AJ630" s="595" t="n"/>
      <c r="AL630" s="594" t="n"/>
      <c r="AM630" s="595" t="n"/>
      <c r="AO630" s="594" t="n"/>
      <c r="AP630" s="595" t="n"/>
      <c r="AR630" s="594" t="n"/>
      <c r="AS630" s="595" t="n"/>
    </row>
    <row r="631" ht="15.75" customHeight="1" s="26">
      <c r="B631" s="593" t="n"/>
      <c r="E631" s="594" t="n"/>
      <c r="F631" s="595" t="n"/>
      <c r="H631" s="594" t="n"/>
      <c r="I631" s="595" t="n"/>
      <c r="K631" s="594" t="n"/>
      <c r="L631" s="595" t="n"/>
      <c r="N631" s="594" t="n"/>
      <c r="O631" s="595" t="n"/>
      <c r="Q631" s="594" t="n"/>
      <c r="R631" s="595" t="n"/>
      <c r="T631" s="594" t="n"/>
      <c r="U631" s="595" t="n"/>
      <c r="W631" s="594" t="n"/>
      <c r="X631" s="595" t="n"/>
      <c r="Z631" s="594" t="n"/>
      <c r="AA631" s="595" t="n"/>
      <c r="AC631" s="594" t="n"/>
      <c r="AD631" s="595" t="n"/>
      <c r="AF631" s="594" t="n"/>
      <c r="AG631" s="595" t="n"/>
      <c r="AI631" s="594" t="n"/>
      <c r="AJ631" s="595" t="n"/>
      <c r="AL631" s="594" t="n"/>
      <c r="AM631" s="595" t="n"/>
      <c r="AO631" s="594" t="n"/>
      <c r="AP631" s="595" t="n"/>
      <c r="AR631" s="594" t="n"/>
      <c r="AS631" s="595" t="n"/>
    </row>
    <row r="632" ht="15.75" customHeight="1" s="26">
      <c r="B632" s="593" t="n"/>
      <c r="E632" s="594" t="n"/>
      <c r="F632" s="595" t="n"/>
      <c r="H632" s="594" t="n"/>
      <c r="I632" s="595" t="n"/>
      <c r="K632" s="594" t="n"/>
      <c r="L632" s="595" t="n"/>
      <c r="N632" s="594" t="n"/>
      <c r="O632" s="595" t="n"/>
      <c r="Q632" s="594" t="n"/>
      <c r="R632" s="595" t="n"/>
      <c r="T632" s="594" t="n"/>
      <c r="U632" s="595" t="n"/>
      <c r="W632" s="594" t="n"/>
      <c r="X632" s="595" t="n"/>
      <c r="Z632" s="594" t="n"/>
      <c r="AA632" s="595" t="n"/>
      <c r="AC632" s="594" t="n"/>
      <c r="AD632" s="595" t="n"/>
      <c r="AF632" s="594" t="n"/>
      <c r="AG632" s="595" t="n"/>
      <c r="AI632" s="594" t="n"/>
      <c r="AJ632" s="595" t="n"/>
      <c r="AL632" s="594" t="n"/>
      <c r="AM632" s="595" t="n"/>
      <c r="AO632" s="594" t="n"/>
      <c r="AP632" s="595" t="n"/>
      <c r="AR632" s="594" t="n"/>
      <c r="AS632" s="595" t="n"/>
    </row>
    <row r="633" ht="15.75" customHeight="1" s="26">
      <c r="B633" s="593" t="n"/>
      <c r="E633" s="594" t="n"/>
      <c r="F633" s="595" t="n"/>
      <c r="H633" s="594" t="n"/>
      <c r="I633" s="595" t="n"/>
      <c r="K633" s="594" t="n"/>
      <c r="L633" s="595" t="n"/>
      <c r="N633" s="594" t="n"/>
      <c r="O633" s="595" t="n"/>
      <c r="Q633" s="594" t="n"/>
      <c r="R633" s="595" t="n"/>
      <c r="T633" s="594" t="n"/>
      <c r="U633" s="595" t="n"/>
      <c r="W633" s="594" t="n"/>
      <c r="X633" s="595" t="n"/>
      <c r="Z633" s="594" t="n"/>
      <c r="AA633" s="595" t="n"/>
      <c r="AC633" s="594" t="n"/>
      <c r="AD633" s="595" t="n"/>
      <c r="AF633" s="594" t="n"/>
      <c r="AG633" s="595" t="n"/>
      <c r="AI633" s="594" t="n"/>
      <c r="AJ633" s="595" t="n"/>
      <c r="AL633" s="594" t="n"/>
      <c r="AM633" s="595" t="n"/>
      <c r="AO633" s="594" t="n"/>
      <c r="AP633" s="595" t="n"/>
      <c r="AR633" s="594" t="n"/>
      <c r="AS633" s="595" t="n"/>
    </row>
    <row r="634" ht="15.75" customHeight="1" s="26">
      <c r="B634" s="593" t="n"/>
      <c r="E634" s="594" t="n"/>
      <c r="F634" s="595" t="n"/>
      <c r="H634" s="594" t="n"/>
      <c r="I634" s="595" t="n"/>
      <c r="K634" s="594" t="n"/>
      <c r="L634" s="595" t="n"/>
      <c r="N634" s="594" t="n"/>
      <c r="O634" s="595" t="n"/>
      <c r="Q634" s="594" t="n"/>
      <c r="R634" s="595" t="n"/>
      <c r="T634" s="594" t="n"/>
      <c r="U634" s="595" t="n"/>
      <c r="W634" s="594" t="n"/>
      <c r="X634" s="595" t="n"/>
      <c r="Z634" s="594" t="n"/>
      <c r="AA634" s="595" t="n"/>
      <c r="AC634" s="594" t="n"/>
      <c r="AD634" s="595" t="n"/>
      <c r="AF634" s="594" t="n"/>
      <c r="AG634" s="595" t="n"/>
      <c r="AI634" s="594" t="n"/>
      <c r="AJ634" s="595" t="n"/>
      <c r="AL634" s="594" t="n"/>
      <c r="AM634" s="595" t="n"/>
      <c r="AO634" s="594" t="n"/>
      <c r="AP634" s="595" t="n"/>
      <c r="AR634" s="594" t="n"/>
      <c r="AS634" s="595" t="n"/>
    </row>
    <row r="635" ht="15.75" customHeight="1" s="26">
      <c r="B635" s="593" t="n"/>
      <c r="E635" s="594" t="n"/>
      <c r="F635" s="595" t="n"/>
      <c r="H635" s="594" t="n"/>
      <c r="I635" s="595" t="n"/>
      <c r="K635" s="594" t="n"/>
      <c r="L635" s="595" t="n"/>
      <c r="N635" s="594" t="n"/>
      <c r="O635" s="595" t="n"/>
      <c r="Q635" s="594" t="n"/>
      <c r="R635" s="595" t="n"/>
      <c r="T635" s="594" t="n"/>
      <c r="U635" s="595" t="n"/>
      <c r="W635" s="594" t="n"/>
      <c r="X635" s="595" t="n"/>
      <c r="Z635" s="594" t="n"/>
      <c r="AA635" s="595" t="n"/>
      <c r="AC635" s="594" t="n"/>
      <c r="AD635" s="595" t="n"/>
      <c r="AF635" s="594" t="n"/>
      <c r="AG635" s="595" t="n"/>
      <c r="AI635" s="594" t="n"/>
      <c r="AJ635" s="595" t="n"/>
      <c r="AL635" s="594" t="n"/>
      <c r="AM635" s="595" t="n"/>
      <c r="AO635" s="594" t="n"/>
      <c r="AP635" s="595" t="n"/>
      <c r="AR635" s="594" t="n"/>
      <c r="AS635" s="595" t="n"/>
    </row>
    <row r="636" ht="15.75" customHeight="1" s="26">
      <c r="B636" s="593" t="n"/>
      <c r="E636" s="594" t="n"/>
      <c r="F636" s="595" t="n"/>
      <c r="H636" s="594" t="n"/>
      <c r="I636" s="595" t="n"/>
      <c r="K636" s="594" t="n"/>
      <c r="L636" s="595" t="n"/>
      <c r="N636" s="594" t="n"/>
      <c r="O636" s="595" t="n"/>
      <c r="Q636" s="594" t="n"/>
      <c r="R636" s="595" t="n"/>
      <c r="T636" s="594" t="n"/>
      <c r="U636" s="595" t="n"/>
      <c r="W636" s="594" t="n"/>
      <c r="X636" s="595" t="n"/>
      <c r="Z636" s="594" t="n"/>
      <c r="AA636" s="595" t="n"/>
      <c r="AC636" s="594" t="n"/>
      <c r="AD636" s="595" t="n"/>
      <c r="AF636" s="594" t="n"/>
      <c r="AG636" s="595" t="n"/>
      <c r="AI636" s="594" t="n"/>
      <c r="AJ636" s="595" t="n"/>
      <c r="AL636" s="594" t="n"/>
      <c r="AM636" s="595" t="n"/>
      <c r="AO636" s="594" t="n"/>
      <c r="AP636" s="595" t="n"/>
      <c r="AR636" s="594" t="n"/>
      <c r="AS636" s="595" t="n"/>
    </row>
    <row r="637" ht="15.75" customHeight="1" s="26">
      <c r="B637" s="593" t="n"/>
      <c r="E637" s="594" t="n"/>
      <c r="F637" s="595" t="n"/>
      <c r="H637" s="594" t="n"/>
      <c r="I637" s="595" t="n"/>
      <c r="K637" s="594" t="n"/>
      <c r="L637" s="595" t="n"/>
      <c r="N637" s="594" t="n"/>
      <c r="O637" s="595" t="n"/>
      <c r="Q637" s="594" t="n"/>
      <c r="R637" s="595" t="n"/>
      <c r="T637" s="594" t="n"/>
      <c r="U637" s="595" t="n"/>
      <c r="W637" s="594" t="n"/>
      <c r="X637" s="595" t="n"/>
      <c r="Z637" s="594" t="n"/>
      <c r="AA637" s="595" t="n"/>
      <c r="AC637" s="594" t="n"/>
      <c r="AD637" s="595" t="n"/>
      <c r="AF637" s="594" t="n"/>
      <c r="AG637" s="595" t="n"/>
      <c r="AI637" s="594" t="n"/>
      <c r="AJ637" s="595" t="n"/>
      <c r="AL637" s="594" t="n"/>
      <c r="AM637" s="595" t="n"/>
      <c r="AO637" s="594" t="n"/>
      <c r="AP637" s="595" t="n"/>
      <c r="AR637" s="594" t="n"/>
      <c r="AS637" s="595" t="n"/>
    </row>
    <row r="638" ht="15.75" customHeight="1" s="26">
      <c r="B638" s="593" t="n"/>
      <c r="E638" s="594" t="n"/>
      <c r="F638" s="595" t="n"/>
      <c r="H638" s="594" t="n"/>
      <c r="I638" s="595" t="n"/>
      <c r="K638" s="594" t="n"/>
      <c r="L638" s="595" t="n"/>
      <c r="N638" s="594" t="n"/>
      <c r="O638" s="595" t="n"/>
      <c r="Q638" s="594" t="n"/>
      <c r="R638" s="595" t="n"/>
      <c r="T638" s="594" t="n"/>
      <c r="U638" s="595" t="n"/>
      <c r="W638" s="594" t="n"/>
      <c r="X638" s="595" t="n"/>
      <c r="Z638" s="594" t="n"/>
      <c r="AA638" s="595" t="n"/>
      <c r="AC638" s="594" t="n"/>
      <c r="AD638" s="595" t="n"/>
      <c r="AF638" s="594" t="n"/>
      <c r="AG638" s="595" t="n"/>
      <c r="AI638" s="594" t="n"/>
      <c r="AJ638" s="595" t="n"/>
      <c r="AL638" s="594" t="n"/>
      <c r="AM638" s="595" t="n"/>
      <c r="AO638" s="594" t="n"/>
      <c r="AP638" s="595" t="n"/>
      <c r="AR638" s="594" t="n"/>
      <c r="AS638" s="595" t="n"/>
    </row>
    <row r="639" ht="15.75" customHeight="1" s="26">
      <c r="B639" s="593" t="n"/>
      <c r="E639" s="594" t="n"/>
      <c r="F639" s="595" t="n"/>
      <c r="H639" s="594" t="n"/>
      <c r="I639" s="595" t="n"/>
      <c r="K639" s="594" t="n"/>
      <c r="L639" s="595" t="n"/>
      <c r="N639" s="594" t="n"/>
      <c r="O639" s="595" t="n"/>
      <c r="Q639" s="594" t="n"/>
      <c r="R639" s="595" t="n"/>
      <c r="T639" s="594" t="n"/>
      <c r="U639" s="595" t="n"/>
      <c r="W639" s="594" t="n"/>
      <c r="X639" s="595" t="n"/>
      <c r="Z639" s="594" t="n"/>
      <c r="AA639" s="595" t="n"/>
      <c r="AC639" s="594" t="n"/>
      <c r="AD639" s="595" t="n"/>
      <c r="AF639" s="594" t="n"/>
      <c r="AG639" s="595" t="n"/>
      <c r="AI639" s="594" t="n"/>
      <c r="AJ639" s="595" t="n"/>
      <c r="AL639" s="594" t="n"/>
      <c r="AM639" s="595" t="n"/>
      <c r="AO639" s="594" t="n"/>
      <c r="AP639" s="595" t="n"/>
      <c r="AR639" s="594" t="n"/>
      <c r="AS639" s="595" t="n"/>
    </row>
    <row r="640" ht="15.75" customHeight="1" s="26">
      <c r="B640" s="593" t="n"/>
      <c r="E640" s="594" t="n"/>
      <c r="F640" s="595" t="n"/>
      <c r="H640" s="594" t="n"/>
      <c r="I640" s="595" t="n"/>
      <c r="K640" s="594" t="n"/>
      <c r="L640" s="595" t="n"/>
      <c r="N640" s="594" t="n"/>
      <c r="O640" s="595" t="n"/>
      <c r="Q640" s="594" t="n"/>
      <c r="R640" s="595" t="n"/>
      <c r="T640" s="594" t="n"/>
      <c r="U640" s="595" t="n"/>
      <c r="W640" s="594" t="n"/>
      <c r="X640" s="595" t="n"/>
      <c r="Z640" s="594" t="n"/>
      <c r="AA640" s="595" t="n"/>
      <c r="AC640" s="594" t="n"/>
      <c r="AD640" s="595" t="n"/>
      <c r="AF640" s="594" t="n"/>
      <c r="AG640" s="595" t="n"/>
      <c r="AI640" s="594" t="n"/>
      <c r="AJ640" s="595" t="n"/>
      <c r="AL640" s="594" t="n"/>
      <c r="AM640" s="595" t="n"/>
      <c r="AO640" s="594" t="n"/>
      <c r="AP640" s="595" t="n"/>
      <c r="AR640" s="594" t="n"/>
      <c r="AS640" s="595" t="n"/>
    </row>
    <row r="641" ht="15.75" customHeight="1" s="26">
      <c r="B641" s="593" t="n"/>
      <c r="E641" s="594" t="n"/>
      <c r="F641" s="595" t="n"/>
      <c r="H641" s="594" t="n"/>
      <c r="I641" s="595" t="n"/>
      <c r="K641" s="594" t="n"/>
      <c r="L641" s="595" t="n"/>
      <c r="N641" s="594" t="n"/>
      <c r="O641" s="595" t="n"/>
      <c r="Q641" s="594" t="n"/>
      <c r="R641" s="595" t="n"/>
      <c r="T641" s="594" t="n"/>
      <c r="U641" s="595" t="n"/>
      <c r="W641" s="594" t="n"/>
      <c r="X641" s="595" t="n"/>
      <c r="Z641" s="594" t="n"/>
      <c r="AA641" s="595" t="n"/>
      <c r="AC641" s="594" t="n"/>
      <c r="AD641" s="595" t="n"/>
      <c r="AF641" s="594" t="n"/>
      <c r="AG641" s="595" t="n"/>
      <c r="AI641" s="594" t="n"/>
      <c r="AJ641" s="595" t="n"/>
      <c r="AL641" s="594" t="n"/>
      <c r="AM641" s="595" t="n"/>
      <c r="AO641" s="594" t="n"/>
      <c r="AP641" s="595" t="n"/>
      <c r="AR641" s="594" t="n"/>
      <c r="AS641" s="595" t="n"/>
    </row>
    <row r="642" ht="15.75" customHeight="1" s="26">
      <c r="B642" s="593" t="n"/>
      <c r="E642" s="594" t="n"/>
      <c r="F642" s="595" t="n"/>
      <c r="H642" s="594" t="n"/>
      <c r="I642" s="595" t="n"/>
      <c r="K642" s="594" t="n"/>
      <c r="L642" s="595" t="n"/>
      <c r="N642" s="594" t="n"/>
      <c r="O642" s="595" t="n"/>
      <c r="Q642" s="594" t="n"/>
      <c r="R642" s="595" t="n"/>
      <c r="T642" s="594" t="n"/>
      <c r="U642" s="595" t="n"/>
      <c r="W642" s="594" t="n"/>
      <c r="X642" s="595" t="n"/>
      <c r="Z642" s="594" t="n"/>
      <c r="AA642" s="595" t="n"/>
      <c r="AC642" s="594" t="n"/>
      <c r="AD642" s="595" t="n"/>
      <c r="AF642" s="594" t="n"/>
      <c r="AG642" s="595" t="n"/>
      <c r="AI642" s="594" t="n"/>
      <c r="AJ642" s="595" t="n"/>
      <c r="AL642" s="594" t="n"/>
      <c r="AM642" s="595" t="n"/>
      <c r="AO642" s="594" t="n"/>
      <c r="AP642" s="595" t="n"/>
      <c r="AR642" s="594" t="n"/>
      <c r="AS642" s="595" t="n"/>
    </row>
    <row r="643" ht="15.75" customHeight="1" s="26">
      <c r="B643" s="593" t="n"/>
      <c r="E643" s="594" t="n"/>
      <c r="F643" s="595" t="n"/>
      <c r="H643" s="594" t="n"/>
      <c r="I643" s="595" t="n"/>
      <c r="K643" s="594" t="n"/>
      <c r="L643" s="595" t="n"/>
      <c r="N643" s="594" t="n"/>
      <c r="O643" s="595" t="n"/>
      <c r="Q643" s="594" t="n"/>
      <c r="R643" s="595" t="n"/>
      <c r="T643" s="594" t="n"/>
      <c r="U643" s="595" t="n"/>
      <c r="W643" s="594" t="n"/>
      <c r="X643" s="595" t="n"/>
      <c r="Z643" s="594" t="n"/>
      <c r="AA643" s="595" t="n"/>
      <c r="AC643" s="594" t="n"/>
      <c r="AD643" s="595" t="n"/>
      <c r="AF643" s="594" t="n"/>
      <c r="AG643" s="595" t="n"/>
      <c r="AI643" s="594" t="n"/>
      <c r="AJ643" s="595" t="n"/>
      <c r="AL643" s="594" t="n"/>
      <c r="AM643" s="595" t="n"/>
      <c r="AO643" s="594" t="n"/>
      <c r="AP643" s="595" t="n"/>
      <c r="AR643" s="594" t="n"/>
      <c r="AS643" s="595" t="n"/>
    </row>
    <row r="644" ht="15.75" customHeight="1" s="26">
      <c r="B644" s="593" t="n"/>
      <c r="E644" s="594" t="n"/>
      <c r="F644" s="595" t="n"/>
      <c r="H644" s="594" t="n"/>
      <c r="I644" s="595" t="n"/>
      <c r="K644" s="594" t="n"/>
      <c r="L644" s="595" t="n"/>
      <c r="N644" s="594" t="n"/>
      <c r="O644" s="595" t="n"/>
      <c r="Q644" s="594" t="n"/>
      <c r="R644" s="595" t="n"/>
      <c r="T644" s="594" t="n"/>
      <c r="U644" s="595" t="n"/>
      <c r="W644" s="594" t="n"/>
      <c r="X644" s="595" t="n"/>
      <c r="Z644" s="594" t="n"/>
      <c r="AA644" s="595" t="n"/>
      <c r="AC644" s="594" t="n"/>
      <c r="AD644" s="595" t="n"/>
      <c r="AF644" s="594" t="n"/>
      <c r="AG644" s="595" t="n"/>
      <c r="AI644" s="594" t="n"/>
      <c r="AJ644" s="595" t="n"/>
      <c r="AL644" s="594" t="n"/>
      <c r="AM644" s="595" t="n"/>
      <c r="AO644" s="594" t="n"/>
      <c r="AP644" s="595" t="n"/>
      <c r="AR644" s="594" t="n"/>
      <c r="AS644" s="595" t="n"/>
    </row>
    <row r="645" ht="15.75" customHeight="1" s="26">
      <c r="B645" s="593" t="n"/>
      <c r="E645" s="594" t="n"/>
      <c r="F645" s="595" t="n"/>
      <c r="H645" s="594" t="n"/>
      <c r="I645" s="595" t="n"/>
      <c r="K645" s="594" t="n"/>
      <c r="L645" s="595" t="n"/>
      <c r="N645" s="594" t="n"/>
      <c r="O645" s="595" t="n"/>
      <c r="Q645" s="594" t="n"/>
      <c r="R645" s="595" t="n"/>
      <c r="T645" s="594" t="n"/>
      <c r="U645" s="595" t="n"/>
      <c r="W645" s="594" t="n"/>
      <c r="X645" s="595" t="n"/>
      <c r="Z645" s="594" t="n"/>
      <c r="AA645" s="595" t="n"/>
      <c r="AC645" s="594" t="n"/>
      <c r="AD645" s="595" t="n"/>
      <c r="AF645" s="594" t="n"/>
      <c r="AG645" s="595" t="n"/>
      <c r="AI645" s="594" t="n"/>
      <c r="AJ645" s="595" t="n"/>
      <c r="AL645" s="594" t="n"/>
      <c r="AM645" s="595" t="n"/>
      <c r="AO645" s="594" t="n"/>
      <c r="AP645" s="595" t="n"/>
      <c r="AR645" s="594" t="n"/>
      <c r="AS645" s="595" t="n"/>
    </row>
    <row r="646" ht="15.75" customHeight="1" s="26">
      <c r="B646" s="593" t="n"/>
      <c r="E646" s="594" t="n"/>
      <c r="F646" s="595" t="n"/>
      <c r="H646" s="594" t="n"/>
      <c r="I646" s="595" t="n"/>
      <c r="K646" s="594" t="n"/>
      <c r="L646" s="595" t="n"/>
      <c r="N646" s="594" t="n"/>
      <c r="O646" s="595" t="n"/>
      <c r="Q646" s="594" t="n"/>
      <c r="R646" s="595" t="n"/>
      <c r="T646" s="594" t="n"/>
      <c r="U646" s="595" t="n"/>
      <c r="W646" s="594" t="n"/>
      <c r="X646" s="595" t="n"/>
      <c r="Z646" s="594" t="n"/>
      <c r="AA646" s="595" t="n"/>
      <c r="AC646" s="594" t="n"/>
      <c r="AD646" s="595" t="n"/>
      <c r="AF646" s="594" t="n"/>
      <c r="AG646" s="595" t="n"/>
      <c r="AI646" s="594" t="n"/>
      <c r="AJ646" s="595" t="n"/>
      <c r="AL646" s="594" t="n"/>
      <c r="AM646" s="595" t="n"/>
      <c r="AO646" s="594" t="n"/>
      <c r="AP646" s="595" t="n"/>
      <c r="AR646" s="594" t="n"/>
      <c r="AS646" s="595" t="n"/>
    </row>
    <row r="647" ht="15.75" customHeight="1" s="26">
      <c r="B647" s="593" t="n"/>
      <c r="E647" s="594" t="n"/>
      <c r="F647" s="595" t="n"/>
      <c r="H647" s="594" t="n"/>
      <c r="I647" s="595" t="n"/>
      <c r="K647" s="594" t="n"/>
      <c r="L647" s="595" t="n"/>
      <c r="N647" s="594" t="n"/>
      <c r="O647" s="595" t="n"/>
      <c r="Q647" s="594" t="n"/>
      <c r="R647" s="595" t="n"/>
      <c r="T647" s="594" t="n"/>
      <c r="U647" s="595" t="n"/>
      <c r="W647" s="594" t="n"/>
      <c r="X647" s="595" t="n"/>
      <c r="Z647" s="594" t="n"/>
      <c r="AA647" s="595" t="n"/>
      <c r="AC647" s="594" t="n"/>
      <c r="AD647" s="595" t="n"/>
      <c r="AF647" s="594" t="n"/>
      <c r="AG647" s="595" t="n"/>
      <c r="AI647" s="594" t="n"/>
      <c r="AJ647" s="595" t="n"/>
      <c r="AL647" s="594" t="n"/>
      <c r="AM647" s="595" t="n"/>
      <c r="AO647" s="594" t="n"/>
      <c r="AP647" s="595" t="n"/>
      <c r="AR647" s="594" t="n"/>
      <c r="AS647" s="595" t="n"/>
    </row>
    <row r="648" ht="15.75" customHeight="1" s="26">
      <c r="B648" s="593" t="n"/>
      <c r="E648" s="594" t="n"/>
      <c r="F648" s="595" t="n"/>
      <c r="H648" s="594" t="n"/>
      <c r="I648" s="595" t="n"/>
      <c r="K648" s="594" t="n"/>
      <c r="L648" s="595" t="n"/>
      <c r="N648" s="594" t="n"/>
      <c r="O648" s="595" t="n"/>
      <c r="Q648" s="594" t="n"/>
      <c r="R648" s="595" t="n"/>
      <c r="T648" s="594" t="n"/>
      <c r="U648" s="595" t="n"/>
      <c r="W648" s="594" t="n"/>
      <c r="X648" s="595" t="n"/>
      <c r="Z648" s="594" t="n"/>
      <c r="AA648" s="595" t="n"/>
      <c r="AC648" s="594" t="n"/>
      <c r="AD648" s="595" t="n"/>
      <c r="AF648" s="594" t="n"/>
      <c r="AG648" s="595" t="n"/>
      <c r="AI648" s="594" t="n"/>
      <c r="AJ648" s="595" t="n"/>
      <c r="AL648" s="594" t="n"/>
      <c r="AM648" s="595" t="n"/>
      <c r="AO648" s="594" t="n"/>
      <c r="AP648" s="595" t="n"/>
      <c r="AR648" s="594" t="n"/>
      <c r="AS648" s="595" t="n"/>
    </row>
    <row r="649" ht="15.75" customHeight="1" s="26">
      <c r="B649" s="593" t="n"/>
      <c r="E649" s="594" t="n"/>
      <c r="F649" s="595" t="n"/>
      <c r="H649" s="594" t="n"/>
      <c r="I649" s="595" t="n"/>
      <c r="K649" s="594" t="n"/>
      <c r="L649" s="595" t="n"/>
      <c r="N649" s="594" t="n"/>
      <c r="O649" s="595" t="n"/>
      <c r="Q649" s="594" t="n"/>
      <c r="R649" s="595" t="n"/>
      <c r="T649" s="594" t="n"/>
      <c r="U649" s="595" t="n"/>
      <c r="W649" s="594" t="n"/>
      <c r="X649" s="595" t="n"/>
      <c r="Z649" s="594" t="n"/>
      <c r="AA649" s="595" t="n"/>
      <c r="AC649" s="594" t="n"/>
      <c r="AD649" s="595" t="n"/>
      <c r="AF649" s="594" t="n"/>
      <c r="AG649" s="595" t="n"/>
      <c r="AI649" s="594" t="n"/>
      <c r="AJ649" s="595" t="n"/>
      <c r="AL649" s="594" t="n"/>
      <c r="AM649" s="595" t="n"/>
      <c r="AO649" s="594" t="n"/>
      <c r="AP649" s="595" t="n"/>
      <c r="AR649" s="594" t="n"/>
      <c r="AS649" s="595" t="n"/>
    </row>
    <row r="650" ht="15.75" customHeight="1" s="26">
      <c r="B650" s="593" t="n"/>
      <c r="E650" s="594" t="n"/>
      <c r="F650" s="595" t="n"/>
      <c r="H650" s="594" t="n"/>
      <c r="I650" s="595" t="n"/>
      <c r="K650" s="594" t="n"/>
      <c r="L650" s="595" t="n"/>
      <c r="N650" s="594" t="n"/>
      <c r="O650" s="595" t="n"/>
      <c r="Q650" s="594" t="n"/>
      <c r="R650" s="595" t="n"/>
      <c r="T650" s="594" t="n"/>
      <c r="U650" s="595" t="n"/>
      <c r="W650" s="594" t="n"/>
      <c r="X650" s="595" t="n"/>
      <c r="Z650" s="594" t="n"/>
      <c r="AA650" s="595" t="n"/>
      <c r="AC650" s="594" t="n"/>
      <c r="AD650" s="595" t="n"/>
      <c r="AF650" s="594" t="n"/>
      <c r="AG650" s="595" t="n"/>
      <c r="AI650" s="594" t="n"/>
      <c r="AJ650" s="595" t="n"/>
      <c r="AL650" s="594" t="n"/>
      <c r="AM650" s="595" t="n"/>
      <c r="AO650" s="594" t="n"/>
      <c r="AP650" s="595" t="n"/>
      <c r="AR650" s="594" t="n"/>
      <c r="AS650" s="595" t="n"/>
    </row>
    <row r="651" ht="15.75" customHeight="1" s="26">
      <c r="B651" s="593" t="n"/>
      <c r="E651" s="594" t="n"/>
      <c r="F651" s="595" t="n"/>
      <c r="H651" s="594" t="n"/>
      <c r="I651" s="595" t="n"/>
      <c r="K651" s="594" t="n"/>
      <c r="L651" s="595" t="n"/>
      <c r="N651" s="594" t="n"/>
      <c r="O651" s="595" t="n"/>
      <c r="Q651" s="594" t="n"/>
      <c r="R651" s="595" t="n"/>
      <c r="T651" s="594" t="n"/>
      <c r="U651" s="595" t="n"/>
      <c r="W651" s="594" t="n"/>
      <c r="X651" s="595" t="n"/>
      <c r="Z651" s="594" t="n"/>
      <c r="AA651" s="595" t="n"/>
      <c r="AC651" s="594" t="n"/>
      <c r="AD651" s="595" t="n"/>
      <c r="AF651" s="594" t="n"/>
      <c r="AG651" s="595" t="n"/>
      <c r="AI651" s="594" t="n"/>
      <c r="AJ651" s="595" t="n"/>
      <c r="AL651" s="594" t="n"/>
      <c r="AM651" s="595" t="n"/>
      <c r="AO651" s="594" t="n"/>
      <c r="AP651" s="595" t="n"/>
      <c r="AR651" s="594" t="n"/>
      <c r="AS651" s="595" t="n"/>
    </row>
    <row r="652" ht="15.75" customHeight="1" s="26">
      <c r="B652" s="593" t="n"/>
      <c r="E652" s="594" t="n"/>
      <c r="F652" s="595" t="n"/>
      <c r="H652" s="594" t="n"/>
      <c r="I652" s="595" t="n"/>
      <c r="K652" s="594" t="n"/>
      <c r="L652" s="595" t="n"/>
      <c r="N652" s="594" t="n"/>
      <c r="O652" s="595" t="n"/>
      <c r="Q652" s="594" t="n"/>
      <c r="R652" s="595" t="n"/>
      <c r="T652" s="594" t="n"/>
      <c r="U652" s="595" t="n"/>
      <c r="W652" s="594" t="n"/>
      <c r="X652" s="595" t="n"/>
      <c r="Z652" s="594" t="n"/>
      <c r="AA652" s="595" t="n"/>
      <c r="AC652" s="594" t="n"/>
      <c r="AD652" s="595" t="n"/>
      <c r="AF652" s="594" t="n"/>
      <c r="AG652" s="595" t="n"/>
      <c r="AI652" s="594" t="n"/>
      <c r="AJ652" s="595" t="n"/>
      <c r="AL652" s="594" t="n"/>
      <c r="AM652" s="595" t="n"/>
      <c r="AO652" s="594" t="n"/>
      <c r="AP652" s="595" t="n"/>
      <c r="AR652" s="594" t="n"/>
      <c r="AS652" s="595" t="n"/>
    </row>
    <row r="653" ht="15.75" customHeight="1" s="26">
      <c r="B653" s="593" t="n"/>
      <c r="E653" s="594" t="n"/>
      <c r="F653" s="595" t="n"/>
      <c r="H653" s="594" t="n"/>
      <c r="I653" s="595" t="n"/>
      <c r="K653" s="594" t="n"/>
      <c r="L653" s="595" t="n"/>
      <c r="N653" s="594" t="n"/>
      <c r="O653" s="595" t="n"/>
      <c r="Q653" s="594" t="n"/>
      <c r="R653" s="595" t="n"/>
      <c r="T653" s="594" t="n"/>
      <c r="U653" s="595" t="n"/>
      <c r="W653" s="594" t="n"/>
      <c r="X653" s="595" t="n"/>
      <c r="Z653" s="594" t="n"/>
      <c r="AA653" s="595" t="n"/>
      <c r="AC653" s="594" t="n"/>
      <c r="AD653" s="595" t="n"/>
      <c r="AF653" s="594" t="n"/>
      <c r="AG653" s="595" t="n"/>
      <c r="AI653" s="594" t="n"/>
      <c r="AJ653" s="595" t="n"/>
      <c r="AL653" s="594" t="n"/>
      <c r="AM653" s="595" t="n"/>
      <c r="AO653" s="594" t="n"/>
      <c r="AP653" s="595" t="n"/>
      <c r="AR653" s="594" t="n"/>
      <c r="AS653" s="595" t="n"/>
    </row>
    <row r="654" ht="15.75" customHeight="1" s="26">
      <c r="B654" s="593" t="n"/>
      <c r="E654" s="594" t="n"/>
      <c r="F654" s="595" t="n"/>
      <c r="H654" s="594" t="n"/>
      <c r="I654" s="595" t="n"/>
      <c r="K654" s="594" t="n"/>
      <c r="L654" s="595" t="n"/>
      <c r="N654" s="594" t="n"/>
      <c r="O654" s="595" t="n"/>
      <c r="Q654" s="594" t="n"/>
      <c r="R654" s="595" t="n"/>
      <c r="T654" s="594" t="n"/>
      <c r="U654" s="595" t="n"/>
      <c r="W654" s="594" t="n"/>
      <c r="X654" s="595" t="n"/>
      <c r="Z654" s="594" t="n"/>
      <c r="AA654" s="595" t="n"/>
      <c r="AC654" s="594" t="n"/>
      <c r="AD654" s="595" t="n"/>
      <c r="AF654" s="594" t="n"/>
      <c r="AG654" s="595" t="n"/>
      <c r="AI654" s="594" t="n"/>
      <c r="AJ654" s="595" t="n"/>
      <c r="AL654" s="594" t="n"/>
      <c r="AM654" s="595" t="n"/>
      <c r="AO654" s="594" t="n"/>
      <c r="AP654" s="595" t="n"/>
      <c r="AR654" s="594" t="n"/>
      <c r="AS654" s="595" t="n"/>
    </row>
    <row r="655" ht="15.75" customHeight="1" s="26">
      <c r="B655" s="593" t="n"/>
      <c r="E655" s="594" t="n"/>
      <c r="F655" s="595" t="n"/>
      <c r="H655" s="594" t="n"/>
      <c r="I655" s="595" t="n"/>
      <c r="K655" s="594" t="n"/>
      <c r="L655" s="595" t="n"/>
      <c r="N655" s="594" t="n"/>
      <c r="O655" s="595" t="n"/>
      <c r="Q655" s="594" t="n"/>
      <c r="R655" s="595" t="n"/>
      <c r="T655" s="594" t="n"/>
      <c r="U655" s="595" t="n"/>
      <c r="W655" s="594" t="n"/>
      <c r="X655" s="595" t="n"/>
      <c r="Z655" s="594" t="n"/>
      <c r="AA655" s="595" t="n"/>
      <c r="AC655" s="594" t="n"/>
      <c r="AD655" s="595" t="n"/>
      <c r="AF655" s="594" t="n"/>
      <c r="AG655" s="595" t="n"/>
      <c r="AI655" s="594" t="n"/>
      <c r="AJ655" s="595" t="n"/>
      <c r="AL655" s="594" t="n"/>
      <c r="AM655" s="595" t="n"/>
      <c r="AO655" s="594" t="n"/>
      <c r="AP655" s="595" t="n"/>
      <c r="AR655" s="594" t="n"/>
      <c r="AS655" s="595" t="n"/>
    </row>
    <row r="656" ht="15.75" customHeight="1" s="26">
      <c r="B656" s="593" t="n"/>
      <c r="E656" s="594" t="n"/>
      <c r="F656" s="595" t="n"/>
      <c r="H656" s="594" t="n"/>
      <c r="I656" s="595" t="n"/>
      <c r="K656" s="594" t="n"/>
      <c r="L656" s="595" t="n"/>
      <c r="N656" s="594" t="n"/>
      <c r="O656" s="595" t="n"/>
      <c r="Q656" s="594" t="n"/>
      <c r="R656" s="595" t="n"/>
      <c r="T656" s="594" t="n"/>
      <c r="U656" s="595" t="n"/>
      <c r="W656" s="594" t="n"/>
      <c r="X656" s="595" t="n"/>
      <c r="Z656" s="594" t="n"/>
      <c r="AA656" s="595" t="n"/>
      <c r="AC656" s="594" t="n"/>
      <c r="AD656" s="595" t="n"/>
      <c r="AF656" s="594" t="n"/>
      <c r="AG656" s="595" t="n"/>
      <c r="AI656" s="594" t="n"/>
      <c r="AJ656" s="595" t="n"/>
      <c r="AL656" s="594" t="n"/>
      <c r="AM656" s="595" t="n"/>
      <c r="AO656" s="594" t="n"/>
      <c r="AP656" s="595" t="n"/>
      <c r="AR656" s="594" t="n"/>
      <c r="AS656" s="595" t="n"/>
    </row>
    <row r="657" ht="15.75" customHeight="1" s="26">
      <c r="B657" s="593" t="n"/>
      <c r="E657" s="594" t="n"/>
      <c r="F657" s="595" t="n"/>
      <c r="H657" s="594" t="n"/>
      <c r="I657" s="595" t="n"/>
      <c r="K657" s="594" t="n"/>
      <c r="L657" s="595" t="n"/>
      <c r="N657" s="594" t="n"/>
      <c r="O657" s="595" t="n"/>
      <c r="Q657" s="594" t="n"/>
      <c r="R657" s="595" t="n"/>
      <c r="T657" s="594" t="n"/>
      <c r="U657" s="595" t="n"/>
      <c r="W657" s="594" t="n"/>
      <c r="X657" s="595" t="n"/>
      <c r="Z657" s="594" t="n"/>
      <c r="AA657" s="595" t="n"/>
      <c r="AC657" s="594" t="n"/>
      <c r="AD657" s="595" t="n"/>
      <c r="AF657" s="594" t="n"/>
      <c r="AG657" s="595" t="n"/>
      <c r="AI657" s="594" t="n"/>
      <c r="AJ657" s="595" t="n"/>
      <c r="AL657" s="594" t="n"/>
      <c r="AM657" s="595" t="n"/>
      <c r="AO657" s="594" t="n"/>
      <c r="AP657" s="595" t="n"/>
      <c r="AR657" s="594" t="n"/>
      <c r="AS657" s="595" t="n"/>
    </row>
    <row r="658" ht="15.75" customHeight="1" s="26">
      <c r="B658" s="593" t="n"/>
      <c r="E658" s="594" t="n"/>
      <c r="F658" s="595" t="n"/>
      <c r="H658" s="594" t="n"/>
      <c r="I658" s="595" t="n"/>
      <c r="K658" s="594" t="n"/>
      <c r="L658" s="595" t="n"/>
      <c r="N658" s="594" t="n"/>
      <c r="O658" s="595" t="n"/>
      <c r="Q658" s="594" t="n"/>
      <c r="R658" s="595" t="n"/>
      <c r="T658" s="594" t="n"/>
      <c r="U658" s="595" t="n"/>
      <c r="W658" s="594" t="n"/>
      <c r="X658" s="595" t="n"/>
      <c r="Z658" s="594" t="n"/>
      <c r="AA658" s="595" t="n"/>
      <c r="AC658" s="594" t="n"/>
      <c r="AD658" s="595" t="n"/>
      <c r="AF658" s="594" t="n"/>
      <c r="AG658" s="595" t="n"/>
      <c r="AI658" s="594" t="n"/>
      <c r="AJ658" s="595" t="n"/>
      <c r="AL658" s="594" t="n"/>
      <c r="AM658" s="595" t="n"/>
      <c r="AO658" s="594" t="n"/>
      <c r="AP658" s="595" t="n"/>
      <c r="AR658" s="594" t="n"/>
      <c r="AS658" s="595" t="n"/>
    </row>
    <row r="659" ht="15.75" customHeight="1" s="26">
      <c r="B659" s="593" t="n"/>
      <c r="E659" s="594" t="n"/>
      <c r="F659" s="595" t="n"/>
      <c r="H659" s="594" t="n"/>
      <c r="I659" s="595" t="n"/>
      <c r="K659" s="594" t="n"/>
      <c r="L659" s="595" t="n"/>
      <c r="N659" s="594" t="n"/>
      <c r="O659" s="595" t="n"/>
      <c r="Q659" s="594" t="n"/>
      <c r="R659" s="595" t="n"/>
      <c r="T659" s="594" t="n"/>
      <c r="U659" s="595" t="n"/>
      <c r="W659" s="594" t="n"/>
      <c r="X659" s="595" t="n"/>
      <c r="Z659" s="594" t="n"/>
      <c r="AA659" s="595" t="n"/>
      <c r="AC659" s="594" t="n"/>
      <c r="AD659" s="595" t="n"/>
      <c r="AF659" s="594" t="n"/>
      <c r="AG659" s="595" t="n"/>
      <c r="AI659" s="594" t="n"/>
      <c r="AJ659" s="595" t="n"/>
      <c r="AL659" s="594" t="n"/>
      <c r="AM659" s="595" t="n"/>
      <c r="AO659" s="594" t="n"/>
      <c r="AP659" s="595" t="n"/>
      <c r="AR659" s="594" t="n"/>
      <c r="AS659" s="595" t="n"/>
    </row>
    <row r="660" ht="15.75" customHeight="1" s="26">
      <c r="B660" s="593" t="n"/>
      <c r="E660" s="594" t="n"/>
      <c r="F660" s="595" t="n"/>
      <c r="H660" s="594" t="n"/>
      <c r="I660" s="595" t="n"/>
      <c r="K660" s="594" t="n"/>
      <c r="L660" s="595" t="n"/>
      <c r="N660" s="594" t="n"/>
      <c r="O660" s="595" t="n"/>
      <c r="Q660" s="594" t="n"/>
      <c r="R660" s="595" t="n"/>
      <c r="T660" s="594" t="n"/>
      <c r="U660" s="595" t="n"/>
      <c r="W660" s="594" t="n"/>
      <c r="X660" s="595" t="n"/>
      <c r="Z660" s="594" t="n"/>
      <c r="AA660" s="595" t="n"/>
      <c r="AC660" s="594" t="n"/>
      <c r="AD660" s="595" t="n"/>
      <c r="AF660" s="594" t="n"/>
      <c r="AG660" s="595" t="n"/>
      <c r="AI660" s="594" t="n"/>
      <c r="AJ660" s="595" t="n"/>
      <c r="AL660" s="594" t="n"/>
      <c r="AM660" s="595" t="n"/>
      <c r="AO660" s="594" t="n"/>
      <c r="AP660" s="595" t="n"/>
      <c r="AR660" s="594" t="n"/>
      <c r="AS660" s="595" t="n"/>
    </row>
    <row r="661" ht="15.75" customHeight="1" s="26">
      <c r="B661" s="593" t="n"/>
      <c r="E661" s="594" t="n"/>
      <c r="F661" s="595" t="n"/>
      <c r="H661" s="594" t="n"/>
      <c r="I661" s="595" t="n"/>
      <c r="K661" s="594" t="n"/>
      <c r="L661" s="595" t="n"/>
      <c r="N661" s="594" t="n"/>
      <c r="O661" s="595" t="n"/>
      <c r="Q661" s="594" t="n"/>
      <c r="R661" s="595" t="n"/>
      <c r="T661" s="594" t="n"/>
      <c r="U661" s="595" t="n"/>
      <c r="W661" s="594" t="n"/>
      <c r="X661" s="595" t="n"/>
      <c r="Z661" s="594" t="n"/>
      <c r="AA661" s="595" t="n"/>
      <c r="AC661" s="594" t="n"/>
      <c r="AD661" s="595" t="n"/>
      <c r="AF661" s="594" t="n"/>
      <c r="AG661" s="595" t="n"/>
      <c r="AI661" s="594" t="n"/>
      <c r="AJ661" s="595" t="n"/>
      <c r="AL661" s="594" t="n"/>
      <c r="AM661" s="595" t="n"/>
      <c r="AO661" s="594" t="n"/>
      <c r="AP661" s="595" t="n"/>
      <c r="AR661" s="594" t="n"/>
      <c r="AS661" s="595" t="n"/>
    </row>
    <row r="662" ht="15.75" customHeight="1" s="26">
      <c r="B662" s="593" t="n"/>
      <c r="E662" s="594" t="n"/>
      <c r="F662" s="595" t="n"/>
      <c r="H662" s="594" t="n"/>
      <c r="I662" s="595" t="n"/>
      <c r="K662" s="594" t="n"/>
      <c r="L662" s="595" t="n"/>
      <c r="N662" s="594" t="n"/>
      <c r="O662" s="595" t="n"/>
      <c r="Q662" s="594" t="n"/>
      <c r="R662" s="595" t="n"/>
      <c r="T662" s="594" t="n"/>
      <c r="U662" s="595" t="n"/>
      <c r="W662" s="594" t="n"/>
      <c r="X662" s="595" t="n"/>
      <c r="Z662" s="594" t="n"/>
      <c r="AA662" s="595" t="n"/>
      <c r="AC662" s="594" t="n"/>
      <c r="AD662" s="595" t="n"/>
      <c r="AF662" s="594" t="n"/>
      <c r="AG662" s="595" t="n"/>
      <c r="AI662" s="594" t="n"/>
      <c r="AJ662" s="595" t="n"/>
      <c r="AL662" s="594" t="n"/>
      <c r="AM662" s="595" t="n"/>
      <c r="AO662" s="594" t="n"/>
      <c r="AP662" s="595" t="n"/>
      <c r="AR662" s="594" t="n"/>
      <c r="AS662" s="595" t="n"/>
    </row>
    <row r="663" ht="15.75" customHeight="1" s="26">
      <c r="B663" s="593" t="n"/>
      <c r="E663" s="594" t="n"/>
      <c r="F663" s="595" t="n"/>
      <c r="H663" s="594" t="n"/>
      <c r="I663" s="595" t="n"/>
      <c r="K663" s="594" t="n"/>
      <c r="L663" s="595" t="n"/>
      <c r="N663" s="594" t="n"/>
      <c r="O663" s="595" t="n"/>
      <c r="Q663" s="594" t="n"/>
      <c r="R663" s="595" t="n"/>
      <c r="T663" s="594" t="n"/>
      <c r="U663" s="595" t="n"/>
      <c r="W663" s="594" t="n"/>
      <c r="X663" s="595" t="n"/>
      <c r="Z663" s="594" t="n"/>
      <c r="AA663" s="595" t="n"/>
      <c r="AC663" s="594" t="n"/>
      <c r="AD663" s="595" t="n"/>
      <c r="AF663" s="594" t="n"/>
      <c r="AG663" s="595" t="n"/>
      <c r="AI663" s="594" t="n"/>
      <c r="AJ663" s="595" t="n"/>
      <c r="AL663" s="594" t="n"/>
      <c r="AM663" s="595" t="n"/>
      <c r="AO663" s="594" t="n"/>
      <c r="AP663" s="595" t="n"/>
      <c r="AR663" s="594" t="n"/>
      <c r="AS663" s="595" t="n"/>
    </row>
    <row r="664" ht="15.75" customHeight="1" s="26">
      <c r="B664" s="593" t="n"/>
      <c r="E664" s="594" t="n"/>
      <c r="F664" s="595" t="n"/>
      <c r="H664" s="594" t="n"/>
      <c r="I664" s="595" t="n"/>
      <c r="K664" s="594" t="n"/>
      <c r="L664" s="595" t="n"/>
      <c r="N664" s="594" t="n"/>
      <c r="O664" s="595" t="n"/>
      <c r="Q664" s="594" t="n"/>
      <c r="R664" s="595" t="n"/>
      <c r="T664" s="594" t="n"/>
      <c r="U664" s="595" t="n"/>
      <c r="W664" s="594" t="n"/>
      <c r="X664" s="595" t="n"/>
      <c r="Z664" s="594" t="n"/>
      <c r="AA664" s="595" t="n"/>
      <c r="AC664" s="594" t="n"/>
      <c r="AD664" s="595" t="n"/>
      <c r="AF664" s="594" t="n"/>
      <c r="AG664" s="595" t="n"/>
      <c r="AI664" s="594" t="n"/>
      <c r="AJ664" s="595" t="n"/>
      <c r="AL664" s="594" t="n"/>
      <c r="AM664" s="595" t="n"/>
      <c r="AO664" s="594" t="n"/>
      <c r="AP664" s="595" t="n"/>
      <c r="AR664" s="594" t="n"/>
      <c r="AS664" s="595" t="n"/>
    </row>
    <row r="665" ht="15.75" customHeight="1" s="26">
      <c r="B665" s="593" t="n"/>
      <c r="E665" s="594" t="n"/>
      <c r="F665" s="595" t="n"/>
      <c r="H665" s="594" t="n"/>
      <c r="I665" s="595" t="n"/>
      <c r="K665" s="594" t="n"/>
      <c r="L665" s="595" t="n"/>
      <c r="N665" s="594" t="n"/>
      <c r="O665" s="595" t="n"/>
      <c r="Q665" s="594" t="n"/>
      <c r="R665" s="595" t="n"/>
      <c r="T665" s="594" t="n"/>
      <c r="U665" s="595" t="n"/>
      <c r="W665" s="594" t="n"/>
      <c r="X665" s="595" t="n"/>
      <c r="Z665" s="594" t="n"/>
      <c r="AA665" s="595" t="n"/>
      <c r="AC665" s="594" t="n"/>
      <c r="AD665" s="595" t="n"/>
      <c r="AF665" s="594" t="n"/>
      <c r="AG665" s="595" t="n"/>
      <c r="AI665" s="594" t="n"/>
      <c r="AJ665" s="595" t="n"/>
      <c r="AL665" s="594" t="n"/>
      <c r="AM665" s="595" t="n"/>
      <c r="AO665" s="594" t="n"/>
      <c r="AP665" s="595" t="n"/>
      <c r="AR665" s="594" t="n"/>
      <c r="AS665" s="595" t="n"/>
    </row>
    <row r="666" ht="15.75" customHeight="1" s="26">
      <c r="B666" s="593" t="n"/>
      <c r="E666" s="594" t="n"/>
      <c r="F666" s="595" t="n"/>
      <c r="H666" s="594" t="n"/>
      <c r="I666" s="595" t="n"/>
      <c r="K666" s="594" t="n"/>
      <c r="L666" s="595" t="n"/>
      <c r="N666" s="594" t="n"/>
      <c r="O666" s="595" t="n"/>
      <c r="Q666" s="594" t="n"/>
      <c r="R666" s="595" t="n"/>
      <c r="T666" s="594" t="n"/>
      <c r="U666" s="595" t="n"/>
      <c r="W666" s="594" t="n"/>
      <c r="X666" s="595" t="n"/>
      <c r="Z666" s="594" t="n"/>
      <c r="AA666" s="595" t="n"/>
      <c r="AC666" s="594" t="n"/>
      <c r="AD666" s="595" t="n"/>
      <c r="AF666" s="594" t="n"/>
      <c r="AG666" s="595" t="n"/>
      <c r="AI666" s="594" t="n"/>
      <c r="AJ666" s="595" t="n"/>
      <c r="AL666" s="594" t="n"/>
      <c r="AM666" s="595" t="n"/>
      <c r="AO666" s="594" t="n"/>
      <c r="AP666" s="595" t="n"/>
      <c r="AR666" s="594" t="n"/>
      <c r="AS666" s="595" t="n"/>
    </row>
    <row r="667" ht="15.75" customHeight="1" s="26">
      <c r="B667" s="593" t="n"/>
      <c r="E667" s="594" t="n"/>
      <c r="F667" s="595" t="n"/>
      <c r="H667" s="594" t="n"/>
      <c r="I667" s="595" t="n"/>
      <c r="K667" s="594" t="n"/>
      <c r="L667" s="595" t="n"/>
      <c r="N667" s="594" t="n"/>
      <c r="O667" s="595" t="n"/>
      <c r="Q667" s="594" t="n"/>
      <c r="R667" s="595" t="n"/>
      <c r="T667" s="594" t="n"/>
      <c r="U667" s="595" t="n"/>
      <c r="W667" s="594" t="n"/>
      <c r="X667" s="595" t="n"/>
      <c r="Z667" s="594" t="n"/>
      <c r="AA667" s="595" t="n"/>
      <c r="AC667" s="594" t="n"/>
      <c r="AD667" s="595" t="n"/>
      <c r="AF667" s="594" t="n"/>
      <c r="AG667" s="595" t="n"/>
      <c r="AI667" s="594" t="n"/>
      <c r="AJ667" s="595" t="n"/>
      <c r="AL667" s="594" t="n"/>
      <c r="AM667" s="595" t="n"/>
      <c r="AO667" s="594" t="n"/>
      <c r="AP667" s="595" t="n"/>
      <c r="AR667" s="594" t="n"/>
      <c r="AS667" s="595" t="n"/>
    </row>
    <row r="668" ht="15.75" customHeight="1" s="26">
      <c r="B668" s="593" t="n"/>
      <c r="E668" s="594" t="n"/>
      <c r="F668" s="595" t="n"/>
      <c r="H668" s="594" t="n"/>
      <c r="I668" s="595" t="n"/>
      <c r="K668" s="594" t="n"/>
      <c r="L668" s="595" t="n"/>
      <c r="N668" s="594" t="n"/>
      <c r="O668" s="595" t="n"/>
      <c r="Q668" s="594" t="n"/>
      <c r="R668" s="595" t="n"/>
      <c r="T668" s="594" t="n"/>
      <c r="U668" s="595" t="n"/>
      <c r="W668" s="594" t="n"/>
      <c r="X668" s="595" t="n"/>
      <c r="Z668" s="594" t="n"/>
      <c r="AA668" s="595" t="n"/>
      <c r="AC668" s="594" t="n"/>
      <c r="AD668" s="595" t="n"/>
      <c r="AF668" s="594" t="n"/>
      <c r="AG668" s="595" t="n"/>
      <c r="AI668" s="594" t="n"/>
      <c r="AJ668" s="595" t="n"/>
      <c r="AL668" s="594" t="n"/>
      <c r="AM668" s="595" t="n"/>
      <c r="AO668" s="594" t="n"/>
      <c r="AP668" s="595" t="n"/>
      <c r="AR668" s="594" t="n"/>
      <c r="AS668" s="595" t="n"/>
    </row>
    <row r="669" ht="15.75" customHeight="1" s="26">
      <c r="B669" s="593" t="n"/>
      <c r="E669" s="594" t="n"/>
      <c r="F669" s="595" t="n"/>
      <c r="H669" s="594" t="n"/>
      <c r="I669" s="595" t="n"/>
      <c r="K669" s="594" t="n"/>
      <c r="L669" s="595" t="n"/>
      <c r="N669" s="594" t="n"/>
      <c r="O669" s="595" t="n"/>
      <c r="Q669" s="594" t="n"/>
      <c r="R669" s="595" t="n"/>
      <c r="T669" s="594" t="n"/>
      <c r="U669" s="595" t="n"/>
      <c r="W669" s="594" t="n"/>
      <c r="X669" s="595" t="n"/>
      <c r="Z669" s="594" t="n"/>
      <c r="AA669" s="595" t="n"/>
      <c r="AC669" s="594" t="n"/>
      <c r="AD669" s="595" t="n"/>
      <c r="AF669" s="594" t="n"/>
      <c r="AG669" s="595" t="n"/>
      <c r="AI669" s="594" t="n"/>
      <c r="AJ669" s="595" t="n"/>
      <c r="AL669" s="594" t="n"/>
      <c r="AM669" s="595" t="n"/>
      <c r="AO669" s="594" t="n"/>
      <c r="AP669" s="595" t="n"/>
      <c r="AR669" s="594" t="n"/>
      <c r="AS669" s="595" t="n"/>
    </row>
    <row r="670" ht="15.75" customHeight="1" s="26">
      <c r="B670" s="593" t="n"/>
      <c r="E670" s="594" t="n"/>
      <c r="F670" s="595" t="n"/>
      <c r="H670" s="594" t="n"/>
      <c r="I670" s="595" t="n"/>
      <c r="K670" s="594" t="n"/>
      <c r="L670" s="595" t="n"/>
      <c r="N670" s="594" t="n"/>
      <c r="O670" s="595" t="n"/>
      <c r="Q670" s="594" t="n"/>
      <c r="R670" s="595" t="n"/>
      <c r="T670" s="594" t="n"/>
      <c r="U670" s="595" t="n"/>
      <c r="W670" s="594" t="n"/>
      <c r="X670" s="595" t="n"/>
      <c r="Z670" s="594" t="n"/>
      <c r="AA670" s="595" t="n"/>
      <c r="AC670" s="594" t="n"/>
      <c r="AD670" s="595" t="n"/>
      <c r="AF670" s="594" t="n"/>
      <c r="AG670" s="595" t="n"/>
      <c r="AI670" s="594" t="n"/>
      <c r="AJ670" s="595" t="n"/>
      <c r="AL670" s="594" t="n"/>
      <c r="AM670" s="595" t="n"/>
      <c r="AO670" s="594" t="n"/>
      <c r="AP670" s="595" t="n"/>
      <c r="AR670" s="594" t="n"/>
      <c r="AS670" s="595" t="n"/>
    </row>
    <row r="671" ht="15.75" customHeight="1" s="26">
      <c r="B671" s="593" t="n"/>
      <c r="E671" s="594" t="n"/>
      <c r="F671" s="595" t="n"/>
      <c r="H671" s="594" t="n"/>
      <c r="I671" s="595" t="n"/>
      <c r="K671" s="594" t="n"/>
      <c r="L671" s="595" t="n"/>
      <c r="N671" s="594" t="n"/>
      <c r="O671" s="595" t="n"/>
      <c r="Q671" s="594" t="n"/>
      <c r="R671" s="595" t="n"/>
      <c r="T671" s="594" t="n"/>
      <c r="U671" s="595" t="n"/>
      <c r="W671" s="594" t="n"/>
      <c r="X671" s="595" t="n"/>
      <c r="Z671" s="594" t="n"/>
      <c r="AA671" s="595" t="n"/>
      <c r="AC671" s="594" t="n"/>
      <c r="AD671" s="595" t="n"/>
      <c r="AF671" s="594" t="n"/>
      <c r="AG671" s="595" t="n"/>
      <c r="AI671" s="594" t="n"/>
      <c r="AJ671" s="595" t="n"/>
      <c r="AL671" s="594" t="n"/>
      <c r="AM671" s="595" t="n"/>
      <c r="AO671" s="594" t="n"/>
      <c r="AP671" s="595" t="n"/>
      <c r="AR671" s="594" t="n"/>
      <c r="AS671" s="595" t="n"/>
    </row>
    <row r="672" ht="15.75" customHeight="1" s="26">
      <c r="B672" s="593" t="n"/>
      <c r="E672" s="594" t="n"/>
      <c r="F672" s="595" t="n"/>
      <c r="H672" s="594" t="n"/>
      <c r="I672" s="595" t="n"/>
      <c r="K672" s="594" t="n"/>
      <c r="L672" s="595" t="n"/>
      <c r="N672" s="594" t="n"/>
      <c r="O672" s="595" t="n"/>
      <c r="Q672" s="594" t="n"/>
      <c r="R672" s="595" t="n"/>
      <c r="T672" s="594" t="n"/>
      <c r="U672" s="595" t="n"/>
      <c r="W672" s="594" t="n"/>
      <c r="X672" s="595" t="n"/>
      <c r="Z672" s="594" t="n"/>
      <c r="AA672" s="595" t="n"/>
      <c r="AC672" s="594" t="n"/>
      <c r="AD672" s="595" t="n"/>
      <c r="AF672" s="594" t="n"/>
      <c r="AG672" s="595" t="n"/>
      <c r="AI672" s="594" t="n"/>
      <c r="AJ672" s="595" t="n"/>
      <c r="AL672" s="594" t="n"/>
      <c r="AM672" s="595" t="n"/>
      <c r="AO672" s="594" t="n"/>
      <c r="AP672" s="595" t="n"/>
      <c r="AR672" s="594" t="n"/>
      <c r="AS672" s="595" t="n"/>
    </row>
    <row r="673" ht="15.75" customHeight="1" s="26">
      <c r="B673" s="593" t="n"/>
      <c r="E673" s="594" t="n"/>
      <c r="F673" s="595" t="n"/>
      <c r="H673" s="594" t="n"/>
      <c r="I673" s="595" t="n"/>
      <c r="K673" s="594" t="n"/>
      <c r="L673" s="595" t="n"/>
      <c r="N673" s="594" t="n"/>
      <c r="O673" s="595" t="n"/>
      <c r="Q673" s="594" t="n"/>
      <c r="R673" s="595" t="n"/>
      <c r="T673" s="594" t="n"/>
      <c r="U673" s="595" t="n"/>
      <c r="W673" s="594" t="n"/>
      <c r="X673" s="595" t="n"/>
      <c r="Z673" s="594" t="n"/>
      <c r="AA673" s="595" t="n"/>
      <c r="AC673" s="594" t="n"/>
      <c r="AD673" s="595" t="n"/>
      <c r="AF673" s="594" t="n"/>
      <c r="AG673" s="595" t="n"/>
      <c r="AI673" s="594" t="n"/>
      <c r="AJ673" s="595" t="n"/>
      <c r="AL673" s="594" t="n"/>
      <c r="AM673" s="595" t="n"/>
      <c r="AO673" s="594" t="n"/>
      <c r="AP673" s="595" t="n"/>
      <c r="AR673" s="594" t="n"/>
      <c r="AS673" s="595" t="n"/>
    </row>
    <row r="674" ht="15.75" customHeight="1" s="26">
      <c r="B674" s="593" t="n"/>
      <c r="E674" s="594" t="n"/>
      <c r="F674" s="595" t="n"/>
      <c r="H674" s="594" t="n"/>
      <c r="I674" s="595" t="n"/>
      <c r="K674" s="594" t="n"/>
      <c r="L674" s="595" t="n"/>
      <c r="N674" s="594" t="n"/>
      <c r="O674" s="595" t="n"/>
      <c r="Q674" s="594" t="n"/>
      <c r="R674" s="595" t="n"/>
      <c r="T674" s="594" t="n"/>
      <c r="U674" s="595" t="n"/>
      <c r="W674" s="594" t="n"/>
      <c r="X674" s="595" t="n"/>
      <c r="Z674" s="594" t="n"/>
      <c r="AA674" s="595" t="n"/>
      <c r="AC674" s="594" t="n"/>
      <c r="AD674" s="595" t="n"/>
      <c r="AF674" s="594" t="n"/>
      <c r="AG674" s="595" t="n"/>
      <c r="AI674" s="594" t="n"/>
      <c r="AJ674" s="595" t="n"/>
      <c r="AL674" s="594" t="n"/>
      <c r="AM674" s="595" t="n"/>
      <c r="AO674" s="594" t="n"/>
      <c r="AP674" s="595" t="n"/>
      <c r="AR674" s="594" t="n"/>
      <c r="AS674" s="595" t="n"/>
    </row>
    <row r="675" ht="15.75" customHeight="1" s="26">
      <c r="B675" s="593" t="n"/>
      <c r="E675" s="594" t="n"/>
      <c r="F675" s="595" t="n"/>
      <c r="H675" s="594" t="n"/>
      <c r="I675" s="595" t="n"/>
      <c r="K675" s="594" t="n"/>
      <c r="L675" s="595" t="n"/>
      <c r="N675" s="594" t="n"/>
      <c r="O675" s="595" t="n"/>
      <c r="Q675" s="594" t="n"/>
      <c r="R675" s="595" t="n"/>
      <c r="T675" s="594" t="n"/>
      <c r="U675" s="595" t="n"/>
      <c r="W675" s="594" t="n"/>
      <c r="X675" s="595" t="n"/>
      <c r="Z675" s="594" t="n"/>
      <c r="AA675" s="595" t="n"/>
      <c r="AC675" s="594" t="n"/>
      <c r="AD675" s="595" t="n"/>
      <c r="AF675" s="594" t="n"/>
      <c r="AG675" s="595" t="n"/>
      <c r="AI675" s="594" t="n"/>
      <c r="AJ675" s="595" t="n"/>
      <c r="AL675" s="594" t="n"/>
      <c r="AM675" s="595" t="n"/>
      <c r="AO675" s="594" t="n"/>
      <c r="AP675" s="595" t="n"/>
      <c r="AR675" s="594" t="n"/>
      <c r="AS675" s="595" t="n"/>
    </row>
    <row r="676" ht="15.75" customHeight="1" s="26">
      <c r="B676" s="593" t="n"/>
      <c r="E676" s="594" t="n"/>
      <c r="F676" s="595" t="n"/>
      <c r="H676" s="594" t="n"/>
      <c r="I676" s="595" t="n"/>
      <c r="K676" s="594" t="n"/>
      <c r="L676" s="595" t="n"/>
      <c r="N676" s="594" t="n"/>
      <c r="O676" s="595" t="n"/>
      <c r="Q676" s="594" t="n"/>
      <c r="R676" s="595" t="n"/>
      <c r="T676" s="594" t="n"/>
      <c r="U676" s="595" t="n"/>
      <c r="W676" s="594" t="n"/>
      <c r="X676" s="595" t="n"/>
      <c r="Z676" s="594" t="n"/>
      <c r="AA676" s="595" t="n"/>
      <c r="AC676" s="594" t="n"/>
      <c r="AD676" s="595" t="n"/>
      <c r="AF676" s="594" t="n"/>
      <c r="AG676" s="595" t="n"/>
      <c r="AI676" s="594" t="n"/>
      <c r="AJ676" s="595" t="n"/>
      <c r="AL676" s="594" t="n"/>
      <c r="AM676" s="595" t="n"/>
      <c r="AO676" s="594" t="n"/>
      <c r="AP676" s="595" t="n"/>
      <c r="AR676" s="594" t="n"/>
      <c r="AS676" s="595" t="n"/>
    </row>
    <row r="677" ht="15.75" customHeight="1" s="26">
      <c r="B677" s="593" t="n"/>
      <c r="E677" s="594" t="n"/>
      <c r="F677" s="595" t="n"/>
      <c r="H677" s="594" t="n"/>
      <c r="I677" s="595" t="n"/>
      <c r="K677" s="594" t="n"/>
      <c r="L677" s="595" t="n"/>
      <c r="N677" s="594" t="n"/>
      <c r="O677" s="595" t="n"/>
      <c r="Q677" s="594" t="n"/>
      <c r="R677" s="595" t="n"/>
      <c r="T677" s="594" t="n"/>
      <c r="U677" s="595" t="n"/>
      <c r="W677" s="594" t="n"/>
      <c r="X677" s="595" t="n"/>
      <c r="Z677" s="594" t="n"/>
      <c r="AA677" s="595" t="n"/>
      <c r="AC677" s="594" t="n"/>
      <c r="AD677" s="595" t="n"/>
      <c r="AF677" s="594" t="n"/>
      <c r="AG677" s="595" t="n"/>
      <c r="AI677" s="594" t="n"/>
      <c r="AJ677" s="595" t="n"/>
      <c r="AL677" s="594" t="n"/>
      <c r="AM677" s="595" t="n"/>
      <c r="AO677" s="594" t="n"/>
      <c r="AP677" s="595" t="n"/>
      <c r="AR677" s="594" t="n"/>
      <c r="AS677" s="595" t="n"/>
    </row>
    <row r="678" ht="15.75" customHeight="1" s="26">
      <c r="B678" s="593" t="n"/>
      <c r="E678" s="594" t="n"/>
      <c r="F678" s="595" t="n"/>
      <c r="H678" s="594" t="n"/>
      <c r="I678" s="595" t="n"/>
      <c r="K678" s="594" t="n"/>
      <c r="L678" s="595" t="n"/>
      <c r="N678" s="594" t="n"/>
      <c r="O678" s="595" t="n"/>
      <c r="Q678" s="594" t="n"/>
      <c r="R678" s="595" t="n"/>
      <c r="T678" s="594" t="n"/>
      <c r="U678" s="595" t="n"/>
      <c r="W678" s="594" t="n"/>
      <c r="X678" s="595" t="n"/>
      <c r="Z678" s="594" t="n"/>
      <c r="AA678" s="595" t="n"/>
      <c r="AC678" s="594" t="n"/>
      <c r="AD678" s="595" t="n"/>
      <c r="AF678" s="594" t="n"/>
      <c r="AG678" s="595" t="n"/>
      <c r="AI678" s="594" t="n"/>
      <c r="AJ678" s="595" t="n"/>
      <c r="AL678" s="594" t="n"/>
      <c r="AM678" s="595" t="n"/>
      <c r="AO678" s="594" t="n"/>
      <c r="AP678" s="595" t="n"/>
      <c r="AR678" s="594" t="n"/>
      <c r="AS678" s="595" t="n"/>
    </row>
    <row r="679" ht="15.75" customHeight="1" s="26">
      <c r="B679" s="593" t="n"/>
      <c r="E679" s="594" t="n"/>
      <c r="F679" s="595" t="n"/>
      <c r="H679" s="594" t="n"/>
      <c r="I679" s="595" t="n"/>
      <c r="K679" s="594" t="n"/>
      <c r="L679" s="595" t="n"/>
      <c r="N679" s="594" t="n"/>
      <c r="O679" s="595" t="n"/>
      <c r="Q679" s="594" t="n"/>
      <c r="R679" s="595" t="n"/>
      <c r="T679" s="594" t="n"/>
      <c r="U679" s="595" t="n"/>
      <c r="W679" s="594" t="n"/>
      <c r="X679" s="595" t="n"/>
      <c r="Z679" s="594" t="n"/>
      <c r="AA679" s="595" t="n"/>
      <c r="AC679" s="594" t="n"/>
      <c r="AD679" s="595" t="n"/>
      <c r="AF679" s="594" t="n"/>
      <c r="AG679" s="595" t="n"/>
      <c r="AI679" s="594" t="n"/>
      <c r="AJ679" s="595" t="n"/>
      <c r="AL679" s="594" t="n"/>
      <c r="AM679" s="595" t="n"/>
      <c r="AO679" s="594" t="n"/>
      <c r="AP679" s="595" t="n"/>
      <c r="AR679" s="594" t="n"/>
      <c r="AS679" s="595" t="n"/>
    </row>
    <row r="680" ht="15.75" customHeight="1" s="26">
      <c r="B680" s="593" t="n"/>
      <c r="E680" s="594" t="n"/>
      <c r="F680" s="595" t="n"/>
      <c r="H680" s="594" t="n"/>
      <c r="I680" s="595" t="n"/>
      <c r="K680" s="594" t="n"/>
      <c r="L680" s="595" t="n"/>
      <c r="N680" s="594" t="n"/>
      <c r="O680" s="595" t="n"/>
      <c r="Q680" s="594" t="n"/>
      <c r="R680" s="595" t="n"/>
      <c r="T680" s="594" t="n"/>
      <c r="U680" s="595" t="n"/>
      <c r="W680" s="594" t="n"/>
      <c r="X680" s="595" t="n"/>
      <c r="Z680" s="594" t="n"/>
      <c r="AA680" s="595" t="n"/>
      <c r="AC680" s="594" t="n"/>
      <c r="AD680" s="595" t="n"/>
      <c r="AF680" s="594" t="n"/>
      <c r="AG680" s="595" t="n"/>
      <c r="AI680" s="594" t="n"/>
      <c r="AJ680" s="595" t="n"/>
      <c r="AL680" s="594" t="n"/>
      <c r="AM680" s="595" t="n"/>
      <c r="AO680" s="594" t="n"/>
      <c r="AP680" s="595" t="n"/>
      <c r="AR680" s="594" t="n"/>
      <c r="AS680" s="595" t="n"/>
    </row>
    <row r="681" ht="15.75" customHeight="1" s="26">
      <c r="B681" s="593" t="n"/>
      <c r="E681" s="594" t="n"/>
      <c r="F681" s="595" t="n"/>
      <c r="H681" s="594" t="n"/>
      <c r="I681" s="595" t="n"/>
      <c r="K681" s="594" t="n"/>
      <c r="L681" s="595" t="n"/>
      <c r="N681" s="594" t="n"/>
      <c r="O681" s="595" t="n"/>
      <c r="Q681" s="594" t="n"/>
      <c r="R681" s="595" t="n"/>
      <c r="T681" s="594" t="n"/>
      <c r="U681" s="595" t="n"/>
      <c r="W681" s="594" t="n"/>
      <c r="X681" s="595" t="n"/>
      <c r="Z681" s="594" t="n"/>
      <c r="AA681" s="595" t="n"/>
      <c r="AC681" s="594" t="n"/>
      <c r="AD681" s="595" t="n"/>
      <c r="AF681" s="594" t="n"/>
      <c r="AG681" s="595" t="n"/>
      <c r="AI681" s="594" t="n"/>
      <c r="AJ681" s="595" t="n"/>
      <c r="AL681" s="594" t="n"/>
      <c r="AM681" s="595" t="n"/>
      <c r="AO681" s="594" t="n"/>
      <c r="AP681" s="595" t="n"/>
      <c r="AR681" s="594" t="n"/>
      <c r="AS681" s="595" t="n"/>
    </row>
    <row r="682" ht="15.75" customHeight="1" s="26">
      <c r="B682" s="593" t="n"/>
      <c r="E682" s="594" t="n"/>
      <c r="F682" s="595" t="n"/>
      <c r="H682" s="594" t="n"/>
      <c r="I682" s="595" t="n"/>
      <c r="K682" s="594" t="n"/>
      <c r="L682" s="595" t="n"/>
      <c r="N682" s="594" t="n"/>
      <c r="O682" s="595" t="n"/>
      <c r="Q682" s="594" t="n"/>
      <c r="R682" s="595" t="n"/>
      <c r="T682" s="594" t="n"/>
      <c r="U682" s="595" t="n"/>
      <c r="W682" s="594" t="n"/>
      <c r="X682" s="595" t="n"/>
      <c r="Z682" s="594" t="n"/>
      <c r="AA682" s="595" t="n"/>
      <c r="AC682" s="594" t="n"/>
      <c r="AD682" s="595" t="n"/>
      <c r="AF682" s="594" t="n"/>
      <c r="AG682" s="595" t="n"/>
      <c r="AI682" s="594" t="n"/>
      <c r="AJ682" s="595" t="n"/>
      <c r="AL682" s="594" t="n"/>
      <c r="AM682" s="595" t="n"/>
      <c r="AO682" s="594" t="n"/>
      <c r="AP682" s="595" t="n"/>
      <c r="AR682" s="594" t="n"/>
      <c r="AS682" s="595" t="n"/>
    </row>
    <row r="683" ht="15.75" customHeight="1" s="26">
      <c r="B683" s="593" t="n"/>
      <c r="E683" s="594" t="n"/>
      <c r="F683" s="595" t="n"/>
      <c r="H683" s="594" t="n"/>
      <c r="I683" s="595" t="n"/>
      <c r="K683" s="594" t="n"/>
      <c r="L683" s="595" t="n"/>
      <c r="N683" s="594" t="n"/>
      <c r="O683" s="595" t="n"/>
      <c r="Q683" s="594" t="n"/>
      <c r="R683" s="595" t="n"/>
      <c r="T683" s="594" t="n"/>
      <c r="U683" s="595" t="n"/>
      <c r="W683" s="594" t="n"/>
      <c r="X683" s="595" t="n"/>
      <c r="Z683" s="594" t="n"/>
      <c r="AA683" s="595" t="n"/>
      <c r="AC683" s="594" t="n"/>
      <c r="AD683" s="595" t="n"/>
      <c r="AF683" s="594" t="n"/>
      <c r="AG683" s="595" t="n"/>
      <c r="AI683" s="594" t="n"/>
      <c r="AJ683" s="595" t="n"/>
      <c r="AL683" s="594" t="n"/>
      <c r="AM683" s="595" t="n"/>
      <c r="AO683" s="594" t="n"/>
      <c r="AP683" s="595" t="n"/>
      <c r="AR683" s="594" t="n"/>
      <c r="AS683" s="595" t="n"/>
    </row>
    <row r="684" ht="15.75" customHeight="1" s="26">
      <c r="B684" s="593" t="n"/>
      <c r="E684" s="594" t="n"/>
      <c r="F684" s="595" t="n"/>
      <c r="H684" s="594" t="n"/>
      <c r="I684" s="595" t="n"/>
      <c r="K684" s="594" t="n"/>
      <c r="L684" s="595" t="n"/>
      <c r="N684" s="594" t="n"/>
      <c r="O684" s="595" t="n"/>
      <c r="Q684" s="594" t="n"/>
      <c r="R684" s="595" t="n"/>
      <c r="T684" s="594" t="n"/>
      <c r="U684" s="595" t="n"/>
      <c r="W684" s="594" t="n"/>
      <c r="X684" s="595" t="n"/>
      <c r="Z684" s="594" t="n"/>
      <c r="AA684" s="595" t="n"/>
      <c r="AC684" s="594" t="n"/>
      <c r="AD684" s="595" t="n"/>
      <c r="AF684" s="594" t="n"/>
      <c r="AG684" s="595" t="n"/>
      <c r="AI684" s="594" t="n"/>
      <c r="AJ684" s="595" t="n"/>
      <c r="AL684" s="594" t="n"/>
      <c r="AM684" s="595" t="n"/>
      <c r="AO684" s="594" t="n"/>
      <c r="AP684" s="595" t="n"/>
      <c r="AR684" s="594" t="n"/>
      <c r="AS684" s="595" t="n"/>
    </row>
    <row r="685" ht="15.75" customHeight="1" s="26">
      <c r="B685" s="593" t="n"/>
      <c r="E685" s="594" t="n"/>
      <c r="F685" s="595" t="n"/>
      <c r="H685" s="594" t="n"/>
      <c r="I685" s="595" t="n"/>
      <c r="K685" s="594" t="n"/>
      <c r="L685" s="595" t="n"/>
      <c r="N685" s="594" t="n"/>
      <c r="O685" s="595" t="n"/>
      <c r="Q685" s="594" t="n"/>
      <c r="R685" s="595" t="n"/>
      <c r="T685" s="594" t="n"/>
      <c r="U685" s="595" t="n"/>
      <c r="W685" s="594" t="n"/>
      <c r="X685" s="595" t="n"/>
      <c r="Z685" s="594" t="n"/>
      <c r="AA685" s="595" t="n"/>
      <c r="AC685" s="594" t="n"/>
      <c r="AD685" s="595" t="n"/>
      <c r="AF685" s="594" t="n"/>
      <c r="AG685" s="595" t="n"/>
      <c r="AI685" s="594" t="n"/>
      <c r="AJ685" s="595" t="n"/>
      <c r="AL685" s="594" t="n"/>
      <c r="AM685" s="595" t="n"/>
      <c r="AO685" s="594" t="n"/>
      <c r="AP685" s="595" t="n"/>
      <c r="AR685" s="594" t="n"/>
      <c r="AS685" s="595" t="n"/>
    </row>
    <row r="686" ht="15.75" customHeight="1" s="26">
      <c r="B686" s="593" t="n"/>
      <c r="E686" s="594" t="n"/>
      <c r="F686" s="595" t="n"/>
      <c r="H686" s="594" t="n"/>
      <c r="I686" s="595" t="n"/>
      <c r="K686" s="594" t="n"/>
      <c r="L686" s="595" t="n"/>
      <c r="N686" s="594" t="n"/>
      <c r="O686" s="595" t="n"/>
      <c r="Q686" s="594" t="n"/>
      <c r="R686" s="595" t="n"/>
      <c r="T686" s="594" t="n"/>
      <c r="U686" s="595" t="n"/>
      <c r="W686" s="594" t="n"/>
      <c r="X686" s="595" t="n"/>
      <c r="Z686" s="594" t="n"/>
      <c r="AA686" s="595" t="n"/>
      <c r="AC686" s="594" t="n"/>
      <c r="AD686" s="595" t="n"/>
      <c r="AF686" s="594" t="n"/>
      <c r="AG686" s="595" t="n"/>
      <c r="AI686" s="594" t="n"/>
      <c r="AJ686" s="595" t="n"/>
      <c r="AL686" s="594" t="n"/>
      <c r="AM686" s="595" t="n"/>
      <c r="AO686" s="594" t="n"/>
      <c r="AP686" s="595" t="n"/>
      <c r="AR686" s="594" t="n"/>
      <c r="AS686" s="595" t="n"/>
    </row>
    <row r="687" ht="15.75" customHeight="1" s="26">
      <c r="B687" s="593" t="n"/>
      <c r="E687" s="594" t="n"/>
      <c r="F687" s="595" t="n"/>
      <c r="H687" s="594" t="n"/>
      <c r="I687" s="595" t="n"/>
      <c r="K687" s="594" t="n"/>
      <c r="L687" s="595" t="n"/>
      <c r="N687" s="594" t="n"/>
      <c r="O687" s="595" t="n"/>
      <c r="Q687" s="594" t="n"/>
      <c r="R687" s="595" t="n"/>
      <c r="T687" s="594" t="n"/>
      <c r="U687" s="595" t="n"/>
      <c r="W687" s="594" t="n"/>
      <c r="X687" s="595" t="n"/>
      <c r="Z687" s="594" t="n"/>
      <c r="AA687" s="595" t="n"/>
      <c r="AC687" s="594" t="n"/>
      <c r="AD687" s="595" t="n"/>
      <c r="AF687" s="594" t="n"/>
      <c r="AG687" s="595" t="n"/>
      <c r="AI687" s="594" t="n"/>
      <c r="AJ687" s="595" t="n"/>
      <c r="AL687" s="594" t="n"/>
      <c r="AM687" s="595" t="n"/>
      <c r="AO687" s="594" t="n"/>
      <c r="AP687" s="595" t="n"/>
      <c r="AR687" s="594" t="n"/>
      <c r="AS687" s="595" t="n"/>
    </row>
    <row r="688" ht="15.75" customHeight="1" s="26">
      <c r="B688" s="593" t="n"/>
      <c r="E688" s="594" t="n"/>
      <c r="F688" s="595" t="n"/>
      <c r="H688" s="594" t="n"/>
      <c r="I688" s="595" t="n"/>
      <c r="K688" s="594" t="n"/>
      <c r="L688" s="595" t="n"/>
      <c r="N688" s="594" t="n"/>
      <c r="O688" s="595" t="n"/>
      <c r="Q688" s="594" t="n"/>
      <c r="R688" s="595" t="n"/>
      <c r="T688" s="594" t="n"/>
      <c r="U688" s="595" t="n"/>
      <c r="W688" s="594" t="n"/>
      <c r="X688" s="595" t="n"/>
      <c r="Z688" s="594" t="n"/>
      <c r="AA688" s="595" t="n"/>
      <c r="AC688" s="594" t="n"/>
      <c r="AD688" s="595" t="n"/>
      <c r="AF688" s="594" t="n"/>
      <c r="AG688" s="595" t="n"/>
      <c r="AI688" s="594" t="n"/>
      <c r="AJ688" s="595" t="n"/>
      <c r="AL688" s="594" t="n"/>
      <c r="AM688" s="595" t="n"/>
      <c r="AO688" s="594" t="n"/>
      <c r="AP688" s="595" t="n"/>
      <c r="AR688" s="594" t="n"/>
      <c r="AS688" s="595" t="n"/>
    </row>
    <row r="689" ht="15.75" customHeight="1" s="26">
      <c r="B689" s="593" t="n"/>
      <c r="E689" s="594" t="n"/>
      <c r="F689" s="595" t="n"/>
      <c r="H689" s="594" t="n"/>
      <c r="I689" s="595" t="n"/>
      <c r="K689" s="594" t="n"/>
      <c r="L689" s="595" t="n"/>
      <c r="N689" s="594" t="n"/>
      <c r="O689" s="595" t="n"/>
      <c r="Q689" s="594" t="n"/>
      <c r="R689" s="595" t="n"/>
      <c r="T689" s="594" t="n"/>
      <c r="U689" s="595" t="n"/>
      <c r="W689" s="594" t="n"/>
      <c r="X689" s="595" t="n"/>
      <c r="Z689" s="594" t="n"/>
      <c r="AA689" s="595" t="n"/>
      <c r="AC689" s="594" t="n"/>
      <c r="AD689" s="595" t="n"/>
      <c r="AF689" s="594" t="n"/>
      <c r="AG689" s="595" t="n"/>
      <c r="AI689" s="594" t="n"/>
      <c r="AJ689" s="595" t="n"/>
      <c r="AL689" s="594" t="n"/>
      <c r="AM689" s="595" t="n"/>
      <c r="AO689" s="594" t="n"/>
      <c r="AP689" s="595" t="n"/>
      <c r="AR689" s="594" t="n"/>
      <c r="AS689" s="595" t="n"/>
    </row>
    <row r="690" ht="15.75" customHeight="1" s="26">
      <c r="B690" s="593" t="n"/>
      <c r="E690" s="594" t="n"/>
      <c r="F690" s="595" t="n"/>
      <c r="H690" s="594" t="n"/>
      <c r="I690" s="595" t="n"/>
      <c r="K690" s="594" t="n"/>
      <c r="L690" s="595" t="n"/>
      <c r="N690" s="594" t="n"/>
      <c r="O690" s="595" t="n"/>
      <c r="Q690" s="594" t="n"/>
      <c r="R690" s="595" t="n"/>
      <c r="T690" s="594" t="n"/>
      <c r="U690" s="595" t="n"/>
      <c r="W690" s="594" t="n"/>
      <c r="X690" s="595" t="n"/>
      <c r="Z690" s="594" t="n"/>
      <c r="AA690" s="595" t="n"/>
      <c r="AC690" s="594" t="n"/>
      <c r="AD690" s="595" t="n"/>
      <c r="AF690" s="594" t="n"/>
      <c r="AG690" s="595" t="n"/>
      <c r="AI690" s="594" t="n"/>
      <c r="AJ690" s="595" t="n"/>
      <c r="AL690" s="594" t="n"/>
      <c r="AM690" s="595" t="n"/>
      <c r="AO690" s="594" t="n"/>
      <c r="AP690" s="595" t="n"/>
      <c r="AR690" s="594" t="n"/>
      <c r="AS690" s="595" t="n"/>
    </row>
    <row r="691" ht="15.75" customHeight="1" s="26">
      <c r="B691" s="593" t="n"/>
      <c r="E691" s="594" t="n"/>
      <c r="F691" s="595" t="n"/>
      <c r="H691" s="594" t="n"/>
      <c r="I691" s="595" t="n"/>
      <c r="K691" s="594" t="n"/>
      <c r="L691" s="595" t="n"/>
      <c r="N691" s="594" t="n"/>
      <c r="O691" s="595" t="n"/>
      <c r="Q691" s="594" t="n"/>
      <c r="R691" s="595" t="n"/>
      <c r="T691" s="594" t="n"/>
      <c r="U691" s="595" t="n"/>
      <c r="W691" s="594" t="n"/>
      <c r="X691" s="595" t="n"/>
      <c r="Z691" s="594" t="n"/>
      <c r="AA691" s="595" t="n"/>
      <c r="AC691" s="594" t="n"/>
      <c r="AD691" s="595" t="n"/>
      <c r="AF691" s="594" t="n"/>
      <c r="AG691" s="595" t="n"/>
      <c r="AI691" s="594" t="n"/>
      <c r="AJ691" s="595" t="n"/>
      <c r="AL691" s="594" t="n"/>
      <c r="AM691" s="595" t="n"/>
      <c r="AO691" s="594" t="n"/>
      <c r="AP691" s="595" t="n"/>
      <c r="AR691" s="594" t="n"/>
      <c r="AS691" s="595" t="n"/>
    </row>
    <row r="692" ht="15.75" customHeight="1" s="26">
      <c r="B692" s="593" t="n"/>
      <c r="E692" s="594" t="n"/>
      <c r="F692" s="595" t="n"/>
      <c r="H692" s="594" t="n"/>
      <c r="I692" s="595" t="n"/>
      <c r="K692" s="594" t="n"/>
      <c r="L692" s="595" t="n"/>
      <c r="N692" s="594" t="n"/>
      <c r="O692" s="595" t="n"/>
      <c r="Q692" s="594" t="n"/>
      <c r="R692" s="595" t="n"/>
      <c r="T692" s="594" t="n"/>
      <c r="U692" s="595" t="n"/>
      <c r="W692" s="594" t="n"/>
      <c r="X692" s="595" t="n"/>
      <c r="Z692" s="594" t="n"/>
      <c r="AA692" s="595" t="n"/>
      <c r="AC692" s="594" t="n"/>
      <c r="AD692" s="595" t="n"/>
      <c r="AF692" s="594" t="n"/>
      <c r="AG692" s="595" t="n"/>
      <c r="AI692" s="594" t="n"/>
      <c r="AJ692" s="595" t="n"/>
      <c r="AL692" s="594" t="n"/>
      <c r="AM692" s="595" t="n"/>
      <c r="AO692" s="594" t="n"/>
      <c r="AP692" s="595" t="n"/>
      <c r="AR692" s="594" t="n"/>
      <c r="AS692" s="595" t="n"/>
    </row>
    <row r="693" ht="15.75" customHeight="1" s="26">
      <c r="B693" s="593" t="n"/>
      <c r="E693" s="594" t="n"/>
      <c r="F693" s="595" t="n"/>
      <c r="H693" s="594" t="n"/>
      <c r="I693" s="595" t="n"/>
      <c r="K693" s="594" t="n"/>
      <c r="L693" s="595" t="n"/>
      <c r="N693" s="594" t="n"/>
      <c r="O693" s="595" t="n"/>
      <c r="Q693" s="594" t="n"/>
      <c r="R693" s="595" t="n"/>
      <c r="T693" s="594" t="n"/>
      <c r="U693" s="595" t="n"/>
      <c r="W693" s="594" t="n"/>
      <c r="X693" s="595" t="n"/>
      <c r="Z693" s="594" t="n"/>
      <c r="AA693" s="595" t="n"/>
      <c r="AC693" s="594" t="n"/>
      <c r="AD693" s="595" t="n"/>
      <c r="AF693" s="594" t="n"/>
      <c r="AG693" s="595" t="n"/>
      <c r="AI693" s="594" t="n"/>
      <c r="AJ693" s="595" t="n"/>
      <c r="AL693" s="594" t="n"/>
      <c r="AM693" s="595" t="n"/>
      <c r="AO693" s="594" t="n"/>
      <c r="AP693" s="595" t="n"/>
      <c r="AR693" s="594" t="n"/>
      <c r="AS693" s="595" t="n"/>
    </row>
    <row r="694" ht="15.75" customHeight="1" s="26">
      <c r="B694" s="593" t="n"/>
      <c r="E694" s="594" t="n"/>
      <c r="F694" s="595" t="n"/>
      <c r="H694" s="594" t="n"/>
      <c r="I694" s="595" t="n"/>
      <c r="K694" s="594" t="n"/>
      <c r="L694" s="595" t="n"/>
      <c r="N694" s="594" t="n"/>
      <c r="O694" s="595" t="n"/>
      <c r="Q694" s="594" t="n"/>
      <c r="R694" s="595" t="n"/>
      <c r="T694" s="594" t="n"/>
      <c r="U694" s="595" t="n"/>
      <c r="W694" s="594" t="n"/>
      <c r="X694" s="595" t="n"/>
      <c r="Z694" s="594" t="n"/>
      <c r="AA694" s="595" t="n"/>
      <c r="AC694" s="594" t="n"/>
      <c r="AD694" s="595" t="n"/>
      <c r="AF694" s="594" t="n"/>
      <c r="AG694" s="595" t="n"/>
      <c r="AI694" s="594" t="n"/>
      <c r="AJ694" s="595" t="n"/>
      <c r="AL694" s="594" t="n"/>
      <c r="AM694" s="595" t="n"/>
      <c r="AO694" s="594" t="n"/>
      <c r="AP694" s="595" t="n"/>
      <c r="AR694" s="594" t="n"/>
      <c r="AS694" s="595" t="n"/>
    </row>
    <row r="695" ht="15.75" customHeight="1" s="26">
      <c r="B695" s="593" t="n"/>
      <c r="E695" s="594" t="n"/>
      <c r="F695" s="595" t="n"/>
      <c r="H695" s="594" t="n"/>
      <c r="I695" s="595" t="n"/>
      <c r="K695" s="594" t="n"/>
      <c r="L695" s="595" t="n"/>
      <c r="N695" s="594" t="n"/>
      <c r="O695" s="595" t="n"/>
      <c r="Q695" s="594" t="n"/>
      <c r="R695" s="595" t="n"/>
      <c r="T695" s="594" t="n"/>
      <c r="U695" s="595" t="n"/>
      <c r="W695" s="594" t="n"/>
      <c r="X695" s="595" t="n"/>
      <c r="Z695" s="594" t="n"/>
      <c r="AA695" s="595" t="n"/>
      <c r="AC695" s="594" t="n"/>
      <c r="AD695" s="595" t="n"/>
      <c r="AF695" s="594" t="n"/>
      <c r="AG695" s="595" t="n"/>
      <c r="AI695" s="594" t="n"/>
      <c r="AJ695" s="595" t="n"/>
      <c r="AL695" s="594" t="n"/>
      <c r="AM695" s="595" t="n"/>
      <c r="AO695" s="594" t="n"/>
      <c r="AP695" s="595" t="n"/>
      <c r="AR695" s="594" t="n"/>
      <c r="AS695" s="595" t="n"/>
    </row>
    <row r="696" ht="15.75" customHeight="1" s="26">
      <c r="B696" s="593" t="n"/>
      <c r="E696" s="594" t="n"/>
      <c r="F696" s="595" t="n"/>
      <c r="H696" s="594" t="n"/>
      <c r="I696" s="595" t="n"/>
      <c r="K696" s="594" t="n"/>
      <c r="L696" s="595" t="n"/>
      <c r="N696" s="594" t="n"/>
      <c r="O696" s="595" t="n"/>
      <c r="Q696" s="594" t="n"/>
      <c r="R696" s="595" t="n"/>
      <c r="T696" s="594" t="n"/>
      <c r="U696" s="595" t="n"/>
      <c r="W696" s="594" t="n"/>
      <c r="X696" s="595" t="n"/>
      <c r="Z696" s="594" t="n"/>
      <c r="AA696" s="595" t="n"/>
      <c r="AC696" s="594" t="n"/>
      <c r="AD696" s="595" t="n"/>
      <c r="AF696" s="594" t="n"/>
      <c r="AG696" s="595" t="n"/>
      <c r="AI696" s="594" t="n"/>
      <c r="AJ696" s="595" t="n"/>
      <c r="AL696" s="594" t="n"/>
      <c r="AM696" s="595" t="n"/>
      <c r="AO696" s="594" t="n"/>
      <c r="AP696" s="595" t="n"/>
      <c r="AR696" s="594" t="n"/>
      <c r="AS696" s="595" t="n"/>
    </row>
    <row r="697" ht="15.75" customHeight="1" s="26">
      <c r="B697" s="593" t="n"/>
      <c r="E697" s="594" t="n"/>
      <c r="F697" s="595" t="n"/>
      <c r="H697" s="594" t="n"/>
      <c r="I697" s="595" t="n"/>
      <c r="K697" s="594" t="n"/>
      <c r="L697" s="595" t="n"/>
      <c r="N697" s="594" t="n"/>
      <c r="O697" s="595" t="n"/>
      <c r="Q697" s="594" t="n"/>
      <c r="R697" s="595" t="n"/>
      <c r="T697" s="594" t="n"/>
      <c r="U697" s="595" t="n"/>
      <c r="W697" s="594" t="n"/>
      <c r="X697" s="595" t="n"/>
      <c r="Z697" s="594" t="n"/>
      <c r="AA697" s="595" t="n"/>
      <c r="AC697" s="594" t="n"/>
      <c r="AD697" s="595" t="n"/>
      <c r="AF697" s="594" t="n"/>
      <c r="AG697" s="595" t="n"/>
      <c r="AI697" s="594" t="n"/>
      <c r="AJ697" s="595" t="n"/>
      <c r="AL697" s="594" t="n"/>
      <c r="AM697" s="595" t="n"/>
      <c r="AO697" s="594" t="n"/>
      <c r="AP697" s="595" t="n"/>
      <c r="AR697" s="594" t="n"/>
      <c r="AS697" s="595" t="n"/>
    </row>
    <row r="698" ht="15.75" customHeight="1" s="26">
      <c r="B698" s="593" t="n"/>
      <c r="E698" s="594" t="n"/>
      <c r="F698" s="595" t="n"/>
      <c r="H698" s="594" t="n"/>
      <c r="I698" s="595" t="n"/>
      <c r="K698" s="594" t="n"/>
      <c r="L698" s="595" t="n"/>
      <c r="N698" s="594" t="n"/>
      <c r="O698" s="595" t="n"/>
      <c r="Q698" s="594" t="n"/>
      <c r="R698" s="595" t="n"/>
      <c r="T698" s="594" t="n"/>
      <c r="U698" s="595" t="n"/>
      <c r="W698" s="594" t="n"/>
      <c r="X698" s="595" t="n"/>
      <c r="Z698" s="594" t="n"/>
      <c r="AA698" s="595" t="n"/>
      <c r="AC698" s="594" t="n"/>
      <c r="AD698" s="595" t="n"/>
      <c r="AF698" s="594" t="n"/>
      <c r="AG698" s="595" t="n"/>
      <c r="AI698" s="594" t="n"/>
      <c r="AJ698" s="595" t="n"/>
      <c r="AL698" s="594" t="n"/>
      <c r="AM698" s="595" t="n"/>
      <c r="AO698" s="594" t="n"/>
      <c r="AP698" s="595" t="n"/>
      <c r="AR698" s="594" t="n"/>
      <c r="AS698" s="595" t="n"/>
    </row>
    <row r="699" ht="15.75" customHeight="1" s="26">
      <c r="B699" s="593" t="n"/>
      <c r="E699" s="594" t="n"/>
      <c r="F699" s="595" t="n"/>
      <c r="H699" s="594" t="n"/>
      <c r="I699" s="595" t="n"/>
      <c r="K699" s="594" t="n"/>
      <c r="L699" s="595" t="n"/>
      <c r="N699" s="594" t="n"/>
      <c r="O699" s="595" t="n"/>
      <c r="Q699" s="594" t="n"/>
      <c r="R699" s="595" t="n"/>
      <c r="T699" s="594" t="n"/>
      <c r="U699" s="595" t="n"/>
      <c r="W699" s="594" t="n"/>
      <c r="X699" s="595" t="n"/>
      <c r="Z699" s="594" t="n"/>
      <c r="AA699" s="595" t="n"/>
      <c r="AC699" s="594" t="n"/>
      <c r="AD699" s="595" t="n"/>
      <c r="AF699" s="594" t="n"/>
      <c r="AG699" s="595" t="n"/>
      <c r="AI699" s="594" t="n"/>
      <c r="AJ699" s="595" t="n"/>
      <c r="AL699" s="594" t="n"/>
      <c r="AM699" s="595" t="n"/>
      <c r="AO699" s="594" t="n"/>
      <c r="AP699" s="595" t="n"/>
      <c r="AR699" s="594" t="n"/>
      <c r="AS699" s="595" t="n"/>
    </row>
    <row r="700" ht="15.75" customHeight="1" s="26">
      <c r="B700" s="593" t="n"/>
      <c r="E700" s="594" t="n"/>
      <c r="F700" s="595" t="n"/>
      <c r="H700" s="594" t="n"/>
      <c r="I700" s="595" t="n"/>
      <c r="K700" s="594" t="n"/>
      <c r="L700" s="595" t="n"/>
      <c r="N700" s="594" t="n"/>
      <c r="O700" s="595" t="n"/>
      <c r="Q700" s="594" t="n"/>
      <c r="R700" s="595" t="n"/>
      <c r="T700" s="594" t="n"/>
      <c r="U700" s="595" t="n"/>
      <c r="W700" s="594" t="n"/>
      <c r="X700" s="595" t="n"/>
      <c r="Z700" s="594" t="n"/>
      <c r="AA700" s="595" t="n"/>
      <c r="AC700" s="594" t="n"/>
      <c r="AD700" s="595" t="n"/>
      <c r="AF700" s="594" t="n"/>
      <c r="AG700" s="595" t="n"/>
      <c r="AI700" s="594" t="n"/>
      <c r="AJ700" s="595" t="n"/>
      <c r="AL700" s="594" t="n"/>
      <c r="AM700" s="595" t="n"/>
      <c r="AO700" s="594" t="n"/>
      <c r="AP700" s="595" t="n"/>
      <c r="AR700" s="594" t="n"/>
      <c r="AS700" s="595" t="n"/>
    </row>
    <row r="701" ht="15.75" customHeight="1" s="26">
      <c r="B701" s="593" t="n"/>
      <c r="E701" s="594" t="n"/>
      <c r="F701" s="595" t="n"/>
      <c r="H701" s="594" t="n"/>
      <c r="I701" s="595" t="n"/>
      <c r="K701" s="594" t="n"/>
      <c r="L701" s="595" t="n"/>
      <c r="N701" s="594" t="n"/>
      <c r="O701" s="595" t="n"/>
      <c r="Q701" s="594" t="n"/>
      <c r="R701" s="595" t="n"/>
      <c r="T701" s="594" t="n"/>
      <c r="U701" s="595" t="n"/>
      <c r="W701" s="594" t="n"/>
      <c r="X701" s="595" t="n"/>
      <c r="Z701" s="594" t="n"/>
      <c r="AA701" s="595" t="n"/>
      <c r="AC701" s="594" t="n"/>
      <c r="AD701" s="595" t="n"/>
      <c r="AF701" s="594" t="n"/>
      <c r="AG701" s="595" t="n"/>
      <c r="AI701" s="594" t="n"/>
      <c r="AJ701" s="595" t="n"/>
      <c r="AL701" s="594" t="n"/>
      <c r="AM701" s="595" t="n"/>
      <c r="AO701" s="594" t="n"/>
      <c r="AP701" s="595" t="n"/>
      <c r="AR701" s="594" t="n"/>
      <c r="AS701" s="595" t="n"/>
    </row>
    <row r="702" ht="15.75" customHeight="1" s="26">
      <c r="B702" s="593" t="n"/>
      <c r="E702" s="594" t="n"/>
      <c r="F702" s="595" t="n"/>
      <c r="H702" s="594" t="n"/>
      <c r="I702" s="595" t="n"/>
      <c r="K702" s="594" t="n"/>
      <c r="L702" s="595" t="n"/>
      <c r="N702" s="594" t="n"/>
      <c r="O702" s="595" t="n"/>
      <c r="Q702" s="594" t="n"/>
      <c r="R702" s="595" t="n"/>
      <c r="T702" s="594" t="n"/>
      <c r="U702" s="595" t="n"/>
      <c r="W702" s="594" t="n"/>
      <c r="X702" s="595" t="n"/>
      <c r="Z702" s="594" t="n"/>
      <c r="AA702" s="595" t="n"/>
      <c r="AC702" s="594" t="n"/>
      <c r="AD702" s="595" t="n"/>
      <c r="AF702" s="594" t="n"/>
      <c r="AG702" s="595" t="n"/>
      <c r="AI702" s="594" t="n"/>
      <c r="AJ702" s="595" t="n"/>
      <c r="AL702" s="594" t="n"/>
      <c r="AM702" s="595" t="n"/>
      <c r="AO702" s="594" t="n"/>
      <c r="AP702" s="595" t="n"/>
      <c r="AR702" s="594" t="n"/>
      <c r="AS702" s="595" t="n"/>
    </row>
    <row r="703" ht="15.75" customHeight="1" s="26">
      <c r="B703" s="593" t="n"/>
      <c r="E703" s="594" t="n"/>
      <c r="F703" s="595" t="n"/>
      <c r="H703" s="594" t="n"/>
      <c r="I703" s="595" t="n"/>
      <c r="K703" s="594" t="n"/>
      <c r="L703" s="595" t="n"/>
      <c r="N703" s="594" t="n"/>
      <c r="O703" s="595" t="n"/>
      <c r="Q703" s="594" t="n"/>
      <c r="R703" s="595" t="n"/>
      <c r="T703" s="594" t="n"/>
      <c r="U703" s="595" t="n"/>
      <c r="W703" s="594" t="n"/>
      <c r="X703" s="595" t="n"/>
      <c r="Z703" s="594" t="n"/>
      <c r="AA703" s="595" t="n"/>
      <c r="AC703" s="594" t="n"/>
      <c r="AD703" s="595" t="n"/>
      <c r="AF703" s="594" t="n"/>
      <c r="AG703" s="595" t="n"/>
      <c r="AI703" s="594" t="n"/>
      <c r="AJ703" s="595" t="n"/>
      <c r="AL703" s="594" t="n"/>
      <c r="AM703" s="595" t="n"/>
      <c r="AO703" s="594" t="n"/>
      <c r="AP703" s="595" t="n"/>
      <c r="AR703" s="594" t="n"/>
      <c r="AS703" s="595" t="n"/>
    </row>
    <row r="704" ht="15.75" customHeight="1" s="26">
      <c r="B704" s="593" t="n"/>
      <c r="E704" s="594" t="n"/>
      <c r="F704" s="595" t="n"/>
      <c r="H704" s="594" t="n"/>
      <c r="I704" s="595" t="n"/>
      <c r="K704" s="594" t="n"/>
      <c r="L704" s="595" t="n"/>
      <c r="N704" s="594" t="n"/>
      <c r="O704" s="595" t="n"/>
      <c r="Q704" s="594" t="n"/>
      <c r="R704" s="595" t="n"/>
      <c r="T704" s="594" t="n"/>
      <c r="U704" s="595" t="n"/>
      <c r="W704" s="594" t="n"/>
      <c r="X704" s="595" t="n"/>
      <c r="Z704" s="594" t="n"/>
      <c r="AA704" s="595" t="n"/>
      <c r="AC704" s="594" t="n"/>
      <c r="AD704" s="595" t="n"/>
      <c r="AF704" s="594" t="n"/>
      <c r="AG704" s="595" t="n"/>
      <c r="AI704" s="594" t="n"/>
      <c r="AJ704" s="595" t="n"/>
      <c r="AL704" s="594" t="n"/>
      <c r="AM704" s="595" t="n"/>
      <c r="AO704" s="594" t="n"/>
      <c r="AP704" s="595" t="n"/>
      <c r="AR704" s="594" t="n"/>
      <c r="AS704" s="595" t="n"/>
    </row>
    <row r="705" ht="15.75" customHeight="1" s="26">
      <c r="B705" s="593" t="n"/>
      <c r="E705" s="594" t="n"/>
      <c r="F705" s="595" t="n"/>
      <c r="H705" s="594" t="n"/>
      <c r="I705" s="595" t="n"/>
      <c r="K705" s="594" t="n"/>
      <c r="L705" s="595" t="n"/>
      <c r="N705" s="594" t="n"/>
      <c r="O705" s="595" t="n"/>
      <c r="Q705" s="594" t="n"/>
      <c r="R705" s="595" t="n"/>
      <c r="T705" s="594" t="n"/>
      <c r="U705" s="595" t="n"/>
      <c r="W705" s="594" t="n"/>
      <c r="X705" s="595" t="n"/>
      <c r="Z705" s="594" t="n"/>
      <c r="AA705" s="595" t="n"/>
      <c r="AC705" s="594" t="n"/>
      <c r="AD705" s="595" t="n"/>
      <c r="AF705" s="594" t="n"/>
      <c r="AG705" s="595" t="n"/>
      <c r="AI705" s="594" t="n"/>
      <c r="AJ705" s="595" t="n"/>
      <c r="AL705" s="594" t="n"/>
      <c r="AM705" s="595" t="n"/>
      <c r="AO705" s="594" t="n"/>
      <c r="AP705" s="595" t="n"/>
      <c r="AR705" s="594" t="n"/>
      <c r="AS705" s="595" t="n"/>
    </row>
    <row r="706" ht="15.75" customHeight="1" s="26">
      <c r="B706" s="593" t="n"/>
      <c r="E706" s="594" t="n"/>
      <c r="F706" s="595" t="n"/>
      <c r="H706" s="594" t="n"/>
      <c r="I706" s="595" t="n"/>
      <c r="K706" s="594" t="n"/>
      <c r="L706" s="595" t="n"/>
      <c r="N706" s="594" t="n"/>
      <c r="O706" s="595" t="n"/>
      <c r="Q706" s="594" t="n"/>
      <c r="R706" s="595" t="n"/>
      <c r="T706" s="594" t="n"/>
      <c r="U706" s="595" t="n"/>
      <c r="W706" s="594" t="n"/>
      <c r="X706" s="595" t="n"/>
      <c r="Z706" s="594" t="n"/>
      <c r="AA706" s="595" t="n"/>
      <c r="AC706" s="594" t="n"/>
      <c r="AD706" s="595" t="n"/>
      <c r="AF706" s="594" t="n"/>
      <c r="AG706" s="595" t="n"/>
      <c r="AI706" s="594" t="n"/>
      <c r="AJ706" s="595" t="n"/>
      <c r="AL706" s="594" t="n"/>
      <c r="AM706" s="595" t="n"/>
      <c r="AO706" s="594" t="n"/>
      <c r="AP706" s="595" t="n"/>
      <c r="AR706" s="594" t="n"/>
      <c r="AS706" s="595" t="n"/>
    </row>
    <row r="707" ht="15.75" customHeight="1" s="26">
      <c r="B707" s="593" t="n"/>
      <c r="E707" s="594" t="n"/>
      <c r="F707" s="595" t="n"/>
      <c r="H707" s="594" t="n"/>
      <c r="I707" s="595" t="n"/>
      <c r="K707" s="594" t="n"/>
      <c r="L707" s="595" t="n"/>
      <c r="N707" s="594" t="n"/>
      <c r="O707" s="595" t="n"/>
      <c r="Q707" s="594" t="n"/>
      <c r="R707" s="595" t="n"/>
      <c r="T707" s="594" t="n"/>
      <c r="U707" s="595" t="n"/>
      <c r="W707" s="594" t="n"/>
      <c r="X707" s="595" t="n"/>
      <c r="Z707" s="594" t="n"/>
      <c r="AA707" s="595" t="n"/>
      <c r="AC707" s="594" t="n"/>
      <c r="AD707" s="595" t="n"/>
      <c r="AF707" s="594" t="n"/>
      <c r="AG707" s="595" t="n"/>
      <c r="AI707" s="594" t="n"/>
      <c r="AJ707" s="595" t="n"/>
      <c r="AL707" s="594" t="n"/>
      <c r="AM707" s="595" t="n"/>
      <c r="AO707" s="594" t="n"/>
      <c r="AP707" s="595" t="n"/>
      <c r="AR707" s="594" t="n"/>
      <c r="AS707" s="595" t="n"/>
    </row>
    <row r="708" ht="15.75" customHeight="1" s="26">
      <c r="B708" s="593" t="n"/>
      <c r="E708" s="594" t="n"/>
      <c r="F708" s="595" t="n"/>
      <c r="H708" s="594" t="n"/>
      <c r="I708" s="595" t="n"/>
      <c r="K708" s="594" t="n"/>
      <c r="L708" s="595" t="n"/>
      <c r="N708" s="594" t="n"/>
      <c r="O708" s="595" t="n"/>
      <c r="Q708" s="594" t="n"/>
      <c r="R708" s="595" t="n"/>
      <c r="T708" s="594" t="n"/>
      <c r="U708" s="595" t="n"/>
      <c r="W708" s="594" t="n"/>
      <c r="X708" s="595" t="n"/>
      <c r="Z708" s="594" t="n"/>
      <c r="AA708" s="595" t="n"/>
      <c r="AC708" s="594" t="n"/>
      <c r="AD708" s="595" t="n"/>
      <c r="AF708" s="594" t="n"/>
      <c r="AG708" s="595" t="n"/>
      <c r="AI708" s="594" t="n"/>
      <c r="AJ708" s="595" t="n"/>
      <c r="AL708" s="594" t="n"/>
      <c r="AM708" s="595" t="n"/>
      <c r="AO708" s="594" t="n"/>
      <c r="AP708" s="595" t="n"/>
      <c r="AR708" s="594" t="n"/>
      <c r="AS708" s="595" t="n"/>
    </row>
    <row r="709" ht="15.75" customHeight="1" s="26">
      <c r="B709" s="593" t="n"/>
      <c r="E709" s="594" t="n"/>
      <c r="F709" s="595" t="n"/>
      <c r="H709" s="594" t="n"/>
      <c r="I709" s="595" t="n"/>
      <c r="K709" s="594" t="n"/>
      <c r="L709" s="595" t="n"/>
      <c r="N709" s="594" t="n"/>
      <c r="O709" s="595" t="n"/>
      <c r="Q709" s="594" t="n"/>
      <c r="R709" s="595" t="n"/>
      <c r="T709" s="594" t="n"/>
      <c r="U709" s="595" t="n"/>
      <c r="W709" s="594" t="n"/>
      <c r="X709" s="595" t="n"/>
      <c r="Z709" s="594" t="n"/>
      <c r="AA709" s="595" t="n"/>
      <c r="AC709" s="594" t="n"/>
      <c r="AD709" s="595" t="n"/>
      <c r="AF709" s="594" t="n"/>
      <c r="AG709" s="595" t="n"/>
      <c r="AI709" s="594" t="n"/>
      <c r="AJ709" s="595" t="n"/>
      <c r="AL709" s="594" t="n"/>
      <c r="AM709" s="595" t="n"/>
      <c r="AO709" s="594" t="n"/>
      <c r="AP709" s="595" t="n"/>
      <c r="AR709" s="594" t="n"/>
      <c r="AS709" s="595" t="n"/>
    </row>
    <row r="710" ht="15.75" customHeight="1" s="26">
      <c r="B710" s="593" t="n"/>
      <c r="E710" s="594" t="n"/>
      <c r="F710" s="595" t="n"/>
      <c r="H710" s="594" t="n"/>
      <c r="I710" s="595" t="n"/>
      <c r="K710" s="594" t="n"/>
      <c r="L710" s="595" t="n"/>
      <c r="N710" s="594" t="n"/>
      <c r="O710" s="595" t="n"/>
      <c r="Q710" s="594" t="n"/>
      <c r="R710" s="595" t="n"/>
      <c r="T710" s="594" t="n"/>
      <c r="U710" s="595" t="n"/>
      <c r="W710" s="594" t="n"/>
      <c r="X710" s="595" t="n"/>
      <c r="Z710" s="594" t="n"/>
      <c r="AA710" s="595" t="n"/>
      <c r="AC710" s="594" t="n"/>
      <c r="AD710" s="595" t="n"/>
      <c r="AF710" s="594" t="n"/>
      <c r="AG710" s="595" t="n"/>
      <c r="AI710" s="594" t="n"/>
      <c r="AJ710" s="595" t="n"/>
      <c r="AL710" s="594" t="n"/>
      <c r="AM710" s="595" t="n"/>
      <c r="AO710" s="594" t="n"/>
      <c r="AP710" s="595" t="n"/>
      <c r="AR710" s="594" t="n"/>
      <c r="AS710" s="595" t="n"/>
    </row>
    <row r="711" ht="15.75" customHeight="1" s="26">
      <c r="B711" s="593" t="n"/>
      <c r="E711" s="594" t="n"/>
      <c r="F711" s="595" t="n"/>
      <c r="H711" s="594" t="n"/>
      <c r="I711" s="595" t="n"/>
      <c r="K711" s="594" t="n"/>
      <c r="L711" s="595" t="n"/>
      <c r="N711" s="594" t="n"/>
      <c r="O711" s="595" t="n"/>
      <c r="Q711" s="594" t="n"/>
      <c r="R711" s="595" t="n"/>
      <c r="T711" s="594" t="n"/>
      <c r="U711" s="595" t="n"/>
      <c r="W711" s="594" t="n"/>
      <c r="X711" s="595" t="n"/>
      <c r="Z711" s="594" t="n"/>
      <c r="AA711" s="595" t="n"/>
      <c r="AC711" s="594" t="n"/>
      <c r="AD711" s="595" t="n"/>
      <c r="AF711" s="594" t="n"/>
      <c r="AG711" s="595" t="n"/>
      <c r="AI711" s="594" t="n"/>
      <c r="AJ711" s="595" t="n"/>
      <c r="AL711" s="594" t="n"/>
      <c r="AM711" s="595" t="n"/>
      <c r="AO711" s="594" t="n"/>
      <c r="AP711" s="595" t="n"/>
      <c r="AR711" s="594" t="n"/>
      <c r="AS711" s="595" t="n"/>
    </row>
    <row r="712" ht="15.75" customHeight="1" s="26">
      <c r="B712" s="593" t="n"/>
      <c r="E712" s="594" t="n"/>
      <c r="F712" s="595" t="n"/>
      <c r="H712" s="594" t="n"/>
      <c r="I712" s="595" t="n"/>
      <c r="K712" s="594" t="n"/>
      <c r="L712" s="595" t="n"/>
      <c r="N712" s="594" t="n"/>
      <c r="O712" s="595" t="n"/>
      <c r="Q712" s="594" t="n"/>
      <c r="R712" s="595" t="n"/>
      <c r="T712" s="594" t="n"/>
      <c r="U712" s="595" t="n"/>
      <c r="W712" s="594" t="n"/>
      <c r="X712" s="595" t="n"/>
      <c r="Z712" s="594" t="n"/>
      <c r="AA712" s="595" t="n"/>
      <c r="AC712" s="594" t="n"/>
      <c r="AD712" s="595" t="n"/>
      <c r="AF712" s="594" t="n"/>
      <c r="AG712" s="595" t="n"/>
      <c r="AI712" s="594" t="n"/>
      <c r="AJ712" s="595" t="n"/>
      <c r="AL712" s="594" t="n"/>
      <c r="AM712" s="595" t="n"/>
      <c r="AO712" s="594" t="n"/>
      <c r="AP712" s="595" t="n"/>
      <c r="AR712" s="594" t="n"/>
      <c r="AS712" s="595" t="n"/>
    </row>
    <row r="713" ht="15.75" customHeight="1" s="26">
      <c r="B713" s="593" t="n"/>
      <c r="E713" s="594" t="n"/>
      <c r="F713" s="595" t="n"/>
      <c r="H713" s="594" t="n"/>
      <c r="I713" s="595" t="n"/>
      <c r="K713" s="594" t="n"/>
      <c r="L713" s="595" t="n"/>
      <c r="N713" s="594" t="n"/>
      <c r="O713" s="595" t="n"/>
      <c r="Q713" s="594" t="n"/>
      <c r="R713" s="595" t="n"/>
      <c r="T713" s="594" t="n"/>
      <c r="U713" s="595" t="n"/>
      <c r="W713" s="594" t="n"/>
      <c r="X713" s="595" t="n"/>
      <c r="Z713" s="594" t="n"/>
      <c r="AA713" s="595" t="n"/>
      <c r="AC713" s="594" t="n"/>
      <c r="AD713" s="595" t="n"/>
      <c r="AF713" s="594" t="n"/>
      <c r="AG713" s="595" t="n"/>
      <c r="AI713" s="594" t="n"/>
      <c r="AJ713" s="595" t="n"/>
      <c r="AL713" s="594" t="n"/>
      <c r="AM713" s="595" t="n"/>
      <c r="AO713" s="594" t="n"/>
      <c r="AP713" s="595" t="n"/>
      <c r="AR713" s="594" t="n"/>
      <c r="AS713" s="595" t="n"/>
    </row>
    <row r="714" ht="15.75" customHeight="1" s="26">
      <c r="B714" s="593" t="n"/>
      <c r="E714" s="594" t="n"/>
      <c r="F714" s="595" t="n"/>
      <c r="H714" s="594" t="n"/>
      <c r="I714" s="595" t="n"/>
      <c r="K714" s="594" t="n"/>
      <c r="L714" s="595" t="n"/>
      <c r="N714" s="594" t="n"/>
      <c r="O714" s="595" t="n"/>
      <c r="Q714" s="594" t="n"/>
      <c r="R714" s="595" t="n"/>
      <c r="T714" s="594" t="n"/>
      <c r="U714" s="595" t="n"/>
      <c r="W714" s="594" t="n"/>
      <c r="X714" s="595" t="n"/>
      <c r="Z714" s="594" t="n"/>
      <c r="AA714" s="595" t="n"/>
      <c r="AC714" s="594" t="n"/>
      <c r="AD714" s="595" t="n"/>
      <c r="AF714" s="594" t="n"/>
      <c r="AG714" s="595" t="n"/>
      <c r="AI714" s="594" t="n"/>
      <c r="AJ714" s="595" t="n"/>
      <c r="AL714" s="594" t="n"/>
      <c r="AM714" s="595" t="n"/>
      <c r="AO714" s="594" t="n"/>
      <c r="AP714" s="595" t="n"/>
      <c r="AR714" s="594" t="n"/>
      <c r="AS714" s="595" t="n"/>
    </row>
    <row r="715" ht="15.75" customHeight="1" s="26">
      <c r="B715" s="593" t="n"/>
      <c r="E715" s="594" t="n"/>
      <c r="F715" s="595" t="n"/>
      <c r="H715" s="594" t="n"/>
      <c r="I715" s="595" t="n"/>
      <c r="K715" s="594" t="n"/>
      <c r="L715" s="595" t="n"/>
      <c r="N715" s="594" t="n"/>
      <c r="O715" s="595" t="n"/>
      <c r="Q715" s="594" t="n"/>
      <c r="R715" s="595" t="n"/>
      <c r="T715" s="594" t="n"/>
      <c r="U715" s="595" t="n"/>
      <c r="W715" s="594" t="n"/>
      <c r="X715" s="595" t="n"/>
      <c r="Z715" s="594" t="n"/>
      <c r="AA715" s="595" t="n"/>
      <c r="AC715" s="594" t="n"/>
      <c r="AD715" s="595" t="n"/>
      <c r="AF715" s="594" t="n"/>
      <c r="AG715" s="595" t="n"/>
      <c r="AI715" s="594" t="n"/>
      <c r="AJ715" s="595" t="n"/>
      <c r="AL715" s="594" t="n"/>
      <c r="AM715" s="595" t="n"/>
      <c r="AO715" s="594" t="n"/>
      <c r="AP715" s="595" t="n"/>
      <c r="AR715" s="594" t="n"/>
      <c r="AS715" s="595" t="n"/>
    </row>
    <row r="716" ht="15.75" customHeight="1" s="26">
      <c r="B716" s="593" t="n"/>
      <c r="E716" s="594" t="n"/>
      <c r="F716" s="595" t="n"/>
      <c r="H716" s="594" t="n"/>
      <c r="I716" s="595" t="n"/>
      <c r="K716" s="594" t="n"/>
      <c r="L716" s="595" t="n"/>
      <c r="N716" s="594" t="n"/>
      <c r="O716" s="595" t="n"/>
      <c r="Q716" s="594" t="n"/>
      <c r="R716" s="595" t="n"/>
      <c r="T716" s="594" t="n"/>
      <c r="U716" s="595" t="n"/>
      <c r="W716" s="594" t="n"/>
      <c r="X716" s="595" t="n"/>
      <c r="Z716" s="594" t="n"/>
      <c r="AA716" s="595" t="n"/>
      <c r="AC716" s="594" t="n"/>
      <c r="AD716" s="595" t="n"/>
      <c r="AF716" s="594" t="n"/>
      <c r="AG716" s="595" t="n"/>
      <c r="AI716" s="594" t="n"/>
      <c r="AJ716" s="595" t="n"/>
      <c r="AL716" s="594" t="n"/>
      <c r="AM716" s="595" t="n"/>
      <c r="AO716" s="594" t="n"/>
      <c r="AP716" s="595" t="n"/>
      <c r="AR716" s="594" t="n"/>
      <c r="AS716" s="595" t="n"/>
    </row>
    <row r="717" ht="15.75" customHeight="1" s="26">
      <c r="B717" s="593" t="n"/>
      <c r="E717" s="594" t="n"/>
      <c r="F717" s="595" t="n"/>
      <c r="H717" s="594" t="n"/>
      <c r="I717" s="595" t="n"/>
      <c r="K717" s="594" t="n"/>
      <c r="L717" s="595" t="n"/>
      <c r="N717" s="594" t="n"/>
      <c r="O717" s="595" t="n"/>
      <c r="Q717" s="594" t="n"/>
      <c r="R717" s="595" t="n"/>
      <c r="T717" s="594" t="n"/>
      <c r="U717" s="595" t="n"/>
      <c r="W717" s="594" t="n"/>
      <c r="X717" s="595" t="n"/>
      <c r="Z717" s="594" t="n"/>
      <c r="AA717" s="595" t="n"/>
      <c r="AC717" s="594" t="n"/>
      <c r="AD717" s="595" t="n"/>
      <c r="AF717" s="594" t="n"/>
      <c r="AG717" s="595" t="n"/>
      <c r="AI717" s="594" t="n"/>
      <c r="AJ717" s="595" t="n"/>
      <c r="AL717" s="594" t="n"/>
      <c r="AM717" s="595" t="n"/>
      <c r="AO717" s="594" t="n"/>
      <c r="AP717" s="595" t="n"/>
      <c r="AR717" s="594" t="n"/>
      <c r="AS717" s="595" t="n"/>
    </row>
    <row r="718" ht="15.75" customHeight="1" s="26">
      <c r="B718" s="593" t="n"/>
      <c r="E718" s="594" t="n"/>
      <c r="F718" s="595" t="n"/>
      <c r="H718" s="594" t="n"/>
      <c r="I718" s="595" t="n"/>
      <c r="K718" s="594" t="n"/>
      <c r="L718" s="595" t="n"/>
      <c r="N718" s="594" t="n"/>
      <c r="O718" s="595" t="n"/>
      <c r="Q718" s="594" t="n"/>
      <c r="R718" s="595" t="n"/>
      <c r="T718" s="594" t="n"/>
      <c r="U718" s="595" t="n"/>
      <c r="W718" s="594" t="n"/>
      <c r="X718" s="595" t="n"/>
      <c r="Z718" s="594" t="n"/>
      <c r="AA718" s="595" t="n"/>
      <c r="AC718" s="594" t="n"/>
      <c r="AD718" s="595" t="n"/>
      <c r="AF718" s="594" t="n"/>
      <c r="AG718" s="595" t="n"/>
      <c r="AI718" s="594" t="n"/>
      <c r="AJ718" s="595" t="n"/>
      <c r="AL718" s="594" t="n"/>
      <c r="AM718" s="595" t="n"/>
      <c r="AO718" s="594" t="n"/>
      <c r="AP718" s="595" t="n"/>
      <c r="AR718" s="594" t="n"/>
      <c r="AS718" s="595" t="n"/>
    </row>
    <row r="719" ht="15.75" customHeight="1" s="26">
      <c r="B719" s="593" t="n"/>
      <c r="E719" s="594" t="n"/>
      <c r="F719" s="595" t="n"/>
      <c r="H719" s="594" t="n"/>
      <c r="I719" s="595" t="n"/>
      <c r="K719" s="594" t="n"/>
      <c r="L719" s="595" t="n"/>
      <c r="N719" s="594" t="n"/>
      <c r="O719" s="595" t="n"/>
      <c r="Q719" s="594" t="n"/>
      <c r="R719" s="595" t="n"/>
      <c r="T719" s="594" t="n"/>
      <c r="U719" s="595" t="n"/>
      <c r="W719" s="594" t="n"/>
      <c r="X719" s="595" t="n"/>
      <c r="Z719" s="594" t="n"/>
      <c r="AA719" s="595" t="n"/>
      <c r="AC719" s="594" t="n"/>
      <c r="AD719" s="595" t="n"/>
      <c r="AF719" s="594" t="n"/>
      <c r="AG719" s="595" t="n"/>
      <c r="AI719" s="594" t="n"/>
      <c r="AJ719" s="595" t="n"/>
      <c r="AL719" s="594" t="n"/>
      <c r="AM719" s="595" t="n"/>
      <c r="AO719" s="594" t="n"/>
      <c r="AP719" s="595" t="n"/>
      <c r="AR719" s="594" t="n"/>
      <c r="AS719" s="595" t="n"/>
    </row>
    <row r="720" ht="15.75" customHeight="1" s="26">
      <c r="B720" s="593" t="n"/>
      <c r="E720" s="594" t="n"/>
      <c r="F720" s="595" t="n"/>
      <c r="H720" s="594" t="n"/>
      <c r="I720" s="595" t="n"/>
      <c r="K720" s="594" t="n"/>
      <c r="L720" s="595" t="n"/>
      <c r="N720" s="594" t="n"/>
      <c r="O720" s="595" t="n"/>
      <c r="Q720" s="594" t="n"/>
      <c r="R720" s="595" t="n"/>
      <c r="T720" s="594" t="n"/>
      <c r="U720" s="595" t="n"/>
      <c r="W720" s="594" t="n"/>
      <c r="X720" s="595" t="n"/>
      <c r="Z720" s="594" t="n"/>
      <c r="AA720" s="595" t="n"/>
      <c r="AC720" s="594" t="n"/>
      <c r="AD720" s="595" t="n"/>
      <c r="AF720" s="594" t="n"/>
      <c r="AG720" s="595" t="n"/>
      <c r="AI720" s="594" t="n"/>
      <c r="AJ720" s="595" t="n"/>
      <c r="AL720" s="594" t="n"/>
      <c r="AM720" s="595" t="n"/>
      <c r="AO720" s="594" t="n"/>
      <c r="AP720" s="595" t="n"/>
      <c r="AR720" s="594" t="n"/>
      <c r="AS720" s="595" t="n"/>
    </row>
    <row r="721" ht="15.75" customHeight="1" s="26">
      <c r="B721" s="593" t="n"/>
      <c r="E721" s="594" t="n"/>
      <c r="F721" s="595" t="n"/>
      <c r="H721" s="594" t="n"/>
      <c r="I721" s="595" t="n"/>
      <c r="K721" s="594" t="n"/>
      <c r="L721" s="595" t="n"/>
      <c r="N721" s="594" t="n"/>
      <c r="O721" s="595" t="n"/>
      <c r="Q721" s="594" t="n"/>
      <c r="R721" s="595" t="n"/>
      <c r="T721" s="594" t="n"/>
      <c r="U721" s="595" t="n"/>
      <c r="W721" s="594" t="n"/>
      <c r="X721" s="595" t="n"/>
      <c r="Z721" s="594" t="n"/>
      <c r="AA721" s="595" t="n"/>
      <c r="AC721" s="594" t="n"/>
      <c r="AD721" s="595" t="n"/>
      <c r="AF721" s="594" t="n"/>
      <c r="AG721" s="595" t="n"/>
      <c r="AI721" s="594" t="n"/>
      <c r="AJ721" s="595" t="n"/>
      <c r="AL721" s="594" t="n"/>
      <c r="AM721" s="595" t="n"/>
      <c r="AO721" s="594" t="n"/>
      <c r="AP721" s="595" t="n"/>
      <c r="AR721" s="594" t="n"/>
      <c r="AS721" s="595" t="n"/>
    </row>
    <row r="722" ht="15.75" customHeight="1" s="26">
      <c r="B722" s="593" t="n"/>
      <c r="E722" s="594" t="n"/>
      <c r="F722" s="595" t="n"/>
      <c r="H722" s="594" t="n"/>
      <c r="I722" s="595" t="n"/>
      <c r="K722" s="594" t="n"/>
      <c r="L722" s="595" t="n"/>
      <c r="N722" s="594" t="n"/>
      <c r="O722" s="595" t="n"/>
      <c r="Q722" s="594" t="n"/>
      <c r="R722" s="595" t="n"/>
      <c r="T722" s="594" t="n"/>
      <c r="U722" s="595" t="n"/>
      <c r="W722" s="594" t="n"/>
      <c r="X722" s="595" t="n"/>
      <c r="Z722" s="594" t="n"/>
      <c r="AA722" s="595" t="n"/>
      <c r="AC722" s="594" t="n"/>
      <c r="AD722" s="595" t="n"/>
      <c r="AF722" s="594" t="n"/>
      <c r="AG722" s="595" t="n"/>
      <c r="AI722" s="594" t="n"/>
      <c r="AJ722" s="595" t="n"/>
      <c r="AL722" s="594" t="n"/>
      <c r="AM722" s="595" t="n"/>
      <c r="AO722" s="594" t="n"/>
      <c r="AP722" s="595" t="n"/>
      <c r="AR722" s="594" t="n"/>
      <c r="AS722" s="595" t="n"/>
    </row>
    <row r="723" ht="15.75" customHeight="1" s="26">
      <c r="B723" s="593" t="n"/>
      <c r="E723" s="594" t="n"/>
      <c r="F723" s="595" t="n"/>
      <c r="H723" s="594" t="n"/>
      <c r="I723" s="595" t="n"/>
      <c r="K723" s="594" t="n"/>
      <c r="L723" s="595" t="n"/>
      <c r="N723" s="594" t="n"/>
      <c r="O723" s="595" t="n"/>
      <c r="Q723" s="594" t="n"/>
      <c r="R723" s="595" t="n"/>
      <c r="T723" s="594" t="n"/>
      <c r="U723" s="595" t="n"/>
      <c r="W723" s="594" t="n"/>
      <c r="X723" s="595" t="n"/>
      <c r="Z723" s="594" t="n"/>
      <c r="AA723" s="595" t="n"/>
      <c r="AC723" s="594" t="n"/>
      <c r="AD723" s="595" t="n"/>
      <c r="AF723" s="594" t="n"/>
      <c r="AG723" s="595" t="n"/>
      <c r="AI723" s="594" t="n"/>
      <c r="AJ723" s="595" t="n"/>
      <c r="AL723" s="594" t="n"/>
      <c r="AM723" s="595" t="n"/>
      <c r="AO723" s="594" t="n"/>
      <c r="AP723" s="595" t="n"/>
      <c r="AR723" s="594" t="n"/>
      <c r="AS723" s="595" t="n"/>
    </row>
    <row r="724" ht="15.75" customHeight="1" s="26">
      <c r="B724" s="593" t="n"/>
      <c r="E724" s="594" t="n"/>
      <c r="F724" s="595" t="n"/>
      <c r="H724" s="594" t="n"/>
      <c r="I724" s="595" t="n"/>
      <c r="K724" s="594" t="n"/>
      <c r="L724" s="595" t="n"/>
      <c r="N724" s="594" t="n"/>
      <c r="O724" s="595" t="n"/>
      <c r="Q724" s="594" t="n"/>
      <c r="R724" s="595" t="n"/>
      <c r="T724" s="594" t="n"/>
      <c r="U724" s="595" t="n"/>
      <c r="W724" s="594" t="n"/>
      <c r="X724" s="595" t="n"/>
      <c r="Z724" s="594" t="n"/>
      <c r="AA724" s="595" t="n"/>
      <c r="AC724" s="594" t="n"/>
      <c r="AD724" s="595" t="n"/>
      <c r="AF724" s="594" t="n"/>
      <c r="AG724" s="595" t="n"/>
      <c r="AI724" s="594" t="n"/>
      <c r="AJ724" s="595" t="n"/>
      <c r="AL724" s="594" t="n"/>
      <c r="AM724" s="595" t="n"/>
      <c r="AO724" s="594" t="n"/>
      <c r="AP724" s="595" t="n"/>
      <c r="AR724" s="594" t="n"/>
      <c r="AS724" s="595" t="n"/>
    </row>
    <row r="725" ht="15.75" customHeight="1" s="26">
      <c r="B725" s="593" t="n"/>
      <c r="E725" s="594" t="n"/>
      <c r="F725" s="595" t="n"/>
      <c r="H725" s="594" t="n"/>
      <c r="I725" s="595" t="n"/>
      <c r="K725" s="594" t="n"/>
      <c r="L725" s="595" t="n"/>
      <c r="N725" s="594" t="n"/>
      <c r="O725" s="595" t="n"/>
      <c r="Q725" s="594" t="n"/>
      <c r="R725" s="595" t="n"/>
      <c r="T725" s="594" t="n"/>
      <c r="U725" s="595" t="n"/>
      <c r="W725" s="594" t="n"/>
      <c r="X725" s="595" t="n"/>
      <c r="Z725" s="594" t="n"/>
      <c r="AA725" s="595" t="n"/>
      <c r="AC725" s="594" t="n"/>
      <c r="AD725" s="595" t="n"/>
      <c r="AF725" s="594" t="n"/>
      <c r="AG725" s="595" t="n"/>
      <c r="AI725" s="594" t="n"/>
      <c r="AJ725" s="595" t="n"/>
      <c r="AL725" s="594" t="n"/>
      <c r="AM725" s="595" t="n"/>
      <c r="AO725" s="594" t="n"/>
      <c r="AP725" s="595" t="n"/>
      <c r="AR725" s="594" t="n"/>
      <c r="AS725" s="595" t="n"/>
    </row>
    <row r="726" ht="15.75" customHeight="1" s="26">
      <c r="B726" s="593" t="n"/>
      <c r="E726" s="594" t="n"/>
      <c r="F726" s="595" t="n"/>
      <c r="H726" s="594" t="n"/>
      <c r="I726" s="595" t="n"/>
      <c r="K726" s="594" t="n"/>
      <c r="L726" s="595" t="n"/>
      <c r="N726" s="594" t="n"/>
      <c r="O726" s="595" t="n"/>
      <c r="Q726" s="594" t="n"/>
      <c r="R726" s="595" t="n"/>
      <c r="T726" s="594" t="n"/>
      <c r="U726" s="595" t="n"/>
      <c r="W726" s="594" t="n"/>
      <c r="X726" s="595" t="n"/>
      <c r="Z726" s="594" t="n"/>
      <c r="AA726" s="595" t="n"/>
      <c r="AC726" s="594" t="n"/>
      <c r="AD726" s="595" t="n"/>
      <c r="AF726" s="594" t="n"/>
      <c r="AG726" s="595" t="n"/>
      <c r="AI726" s="594" t="n"/>
      <c r="AJ726" s="595" t="n"/>
      <c r="AL726" s="594" t="n"/>
      <c r="AM726" s="595" t="n"/>
      <c r="AO726" s="594" t="n"/>
      <c r="AP726" s="595" t="n"/>
      <c r="AR726" s="594" t="n"/>
      <c r="AS726" s="595" t="n"/>
    </row>
    <row r="727" ht="15.75" customHeight="1" s="26">
      <c r="B727" s="593" t="n"/>
      <c r="E727" s="594" t="n"/>
      <c r="F727" s="595" t="n"/>
      <c r="H727" s="594" t="n"/>
      <c r="I727" s="595" t="n"/>
      <c r="K727" s="594" t="n"/>
      <c r="L727" s="595" t="n"/>
      <c r="N727" s="594" t="n"/>
      <c r="O727" s="595" t="n"/>
      <c r="Q727" s="594" t="n"/>
      <c r="R727" s="595" t="n"/>
      <c r="T727" s="594" t="n"/>
      <c r="U727" s="595" t="n"/>
      <c r="W727" s="594" t="n"/>
      <c r="X727" s="595" t="n"/>
      <c r="Z727" s="594" t="n"/>
      <c r="AA727" s="595" t="n"/>
      <c r="AC727" s="594" t="n"/>
      <c r="AD727" s="595" t="n"/>
      <c r="AF727" s="594" t="n"/>
      <c r="AG727" s="595" t="n"/>
      <c r="AI727" s="594" t="n"/>
      <c r="AJ727" s="595" t="n"/>
      <c r="AL727" s="594" t="n"/>
      <c r="AM727" s="595" t="n"/>
      <c r="AO727" s="594" t="n"/>
      <c r="AP727" s="595" t="n"/>
      <c r="AR727" s="594" t="n"/>
      <c r="AS727" s="595" t="n"/>
    </row>
    <row r="728" ht="15.75" customHeight="1" s="26">
      <c r="B728" s="593" t="n"/>
      <c r="E728" s="594" t="n"/>
      <c r="F728" s="595" t="n"/>
      <c r="H728" s="594" t="n"/>
      <c r="I728" s="595" t="n"/>
      <c r="K728" s="594" t="n"/>
      <c r="L728" s="595" t="n"/>
      <c r="N728" s="594" t="n"/>
      <c r="O728" s="595" t="n"/>
      <c r="Q728" s="594" t="n"/>
      <c r="R728" s="595" t="n"/>
      <c r="T728" s="594" t="n"/>
      <c r="U728" s="595" t="n"/>
      <c r="W728" s="594" t="n"/>
      <c r="X728" s="595" t="n"/>
      <c r="Z728" s="594" t="n"/>
      <c r="AA728" s="595" t="n"/>
      <c r="AC728" s="594" t="n"/>
      <c r="AD728" s="595" t="n"/>
      <c r="AF728" s="594" t="n"/>
      <c r="AG728" s="595" t="n"/>
      <c r="AI728" s="594" t="n"/>
      <c r="AJ728" s="595" t="n"/>
      <c r="AL728" s="594" t="n"/>
      <c r="AM728" s="595" t="n"/>
      <c r="AO728" s="594" t="n"/>
      <c r="AP728" s="595" t="n"/>
      <c r="AR728" s="594" t="n"/>
      <c r="AS728" s="595" t="n"/>
    </row>
    <row r="729" ht="15.75" customHeight="1" s="26">
      <c r="B729" s="593" t="n"/>
      <c r="E729" s="594" t="n"/>
      <c r="F729" s="595" t="n"/>
      <c r="H729" s="594" t="n"/>
      <c r="I729" s="595" t="n"/>
      <c r="K729" s="594" t="n"/>
      <c r="L729" s="595" t="n"/>
      <c r="N729" s="594" t="n"/>
      <c r="O729" s="595" t="n"/>
      <c r="Q729" s="594" t="n"/>
      <c r="R729" s="595" t="n"/>
      <c r="T729" s="594" t="n"/>
      <c r="U729" s="595" t="n"/>
      <c r="W729" s="594" t="n"/>
      <c r="X729" s="595" t="n"/>
      <c r="Z729" s="594" t="n"/>
      <c r="AA729" s="595" t="n"/>
      <c r="AC729" s="594" t="n"/>
      <c r="AD729" s="595" t="n"/>
      <c r="AF729" s="594" t="n"/>
      <c r="AG729" s="595" t="n"/>
      <c r="AI729" s="594" t="n"/>
      <c r="AJ729" s="595" t="n"/>
      <c r="AL729" s="594" t="n"/>
      <c r="AM729" s="595" t="n"/>
      <c r="AO729" s="594" t="n"/>
      <c r="AP729" s="595" t="n"/>
      <c r="AR729" s="594" t="n"/>
      <c r="AS729" s="595" t="n"/>
    </row>
    <row r="730" ht="15.75" customHeight="1" s="26">
      <c r="B730" s="593" t="n"/>
      <c r="E730" s="594" t="n"/>
      <c r="F730" s="595" t="n"/>
      <c r="H730" s="594" t="n"/>
      <c r="I730" s="595" t="n"/>
      <c r="K730" s="594" t="n"/>
      <c r="L730" s="595" t="n"/>
      <c r="N730" s="594" t="n"/>
      <c r="O730" s="595" t="n"/>
      <c r="Q730" s="594" t="n"/>
      <c r="R730" s="595" t="n"/>
      <c r="T730" s="594" t="n"/>
      <c r="U730" s="595" t="n"/>
      <c r="W730" s="594" t="n"/>
      <c r="X730" s="595" t="n"/>
      <c r="Z730" s="594" t="n"/>
      <c r="AA730" s="595" t="n"/>
      <c r="AC730" s="594" t="n"/>
      <c r="AD730" s="595" t="n"/>
      <c r="AF730" s="594" t="n"/>
      <c r="AG730" s="595" t="n"/>
      <c r="AI730" s="594" t="n"/>
      <c r="AJ730" s="595" t="n"/>
      <c r="AL730" s="594" t="n"/>
      <c r="AM730" s="595" t="n"/>
      <c r="AO730" s="594" t="n"/>
      <c r="AP730" s="595" t="n"/>
      <c r="AR730" s="594" t="n"/>
      <c r="AS730" s="595" t="n"/>
    </row>
    <row r="731" ht="15.75" customHeight="1" s="26">
      <c r="B731" s="593" t="n"/>
      <c r="E731" s="594" t="n"/>
      <c r="F731" s="595" t="n"/>
      <c r="H731" s="594" t="n"/>
      <c r="I731" s="595" t="n"/>
      <c r="K731" s="594" t="n"/>
      <c r="L731" s="595" t="n"/>
      <c r="N731" s="594" t="n"/>
      <c r="O731" s="595" t="n"/>
      <c r="Q731" s="594" t="n"/>
      <c r="R731" s="595" t="n"/>
      <c r="T731" s="594" t="n"/>
      <c r="U731" s="595" t="n"/>
      <c r="W731" s="594" t="n"/>
      <c r="X731" s="595" t="n"/>
      <c r="Z731" s="594" t="n"/>
      <c r="AA731" s="595" t="n"/>
      <c r="AC731" s="594" t="n"/>
      <c r="AD731" s="595" t="n"/>
      <c r="AF731" s="594" t="n"/>
      <c r="AG731" s="595" t="n"/>
      <c r="AI731" s="594" t="n"/>
      <c r="AJ731" s="595" t="n"/>
      <c r="AL731" s="594" t="n"/>
      <c r="AM731" s="595" t="n"/>
      <c r="AO731" s="594" t="n"/>
      <c r="AP731" s="595" t="n"/>
      <c r="AR731" s="594" t="n"/>
      <c r="AS731" s="595" t="n"/>
    </row>
    <row r="732" ht="15.75" customHeight="1" s="26">
      <c r="B732" s="593" t="n"/>
      <c r="E732" s="594" t="n"/>
      <c r="F732" s="595" t="n"/>
      <c r="H732" s="594" t="n"/>
      <c r="I732" s="595" t="n"/>
      <c r="K732" s="594" t="n"/>
      <c r="L732" s="595" t="n"/>
      <c r="N732" s="594" t="n"/>
      <c r="O732" s="595" t="n"/>
      <c r="Q732" s="594" t="n"/>
      <c r="R732" s="595" t="n"/>
      <c r="T732" s="594" t="n"/>
      <c r="U732" s="595" t="n"/>
      <c r="W732" s="594" t="n"/>
      <c r="X732" s="595" t="n"/>
      <c r="Z732" s="594" t="n"/>
      <c r="AA732" s="595" t="n"/>
      <c r="AC732" s="594" t="n"/>
      <c r="AD732" s="595" t="n"/>
      <c r="AF732" s="594" t="n"/>
      <c r="AG732" s="595" t="n"/>
      <c r="AI732" s="594" t="n"/>
      <c r="AJ732" s="595" t="n"/>
      <c r="AL732" s="594" t="n"/>
      <c r="AM732" s="595" t="n"/>
      <c r="AO732" s="594" t="n"/>
      <c r="AP732" s="595" t="n"/>
      <c r="AR732" s="594" t="n"/>
      <c r="AS732" s="595" t="n"/>
    </row>
    <row r="733" ht="15.75" customHeight="1" s="26">
      <c r="B733" s="593" t="n"/>
      <c r="E733" s="594" t="n"/>
      <c r="F733" s="595" t="n"/>
      <c r="H733" s="594" t="n"/>
      <c r="I733" s="595" t="n"/>
      <c r="K733" s="594" t="n"/>
      <c r="L733" s="595" t="n"/>
      <c r="N733" s="594" t="n"/>
      <c r="O733" s="595" t="n"/>
      <c r="Q733" s="594" t="n"/>
      <c r="R733" s="595" t="n"/>
      <c r="T733" s="594" t="n"/>
      <c r="U733" s="595" t="n"/>
      <c r="W733" s="594" t="n"/>
      <c r="X733" s="595" t="n"/>
      <c r="Z733" s="594" t="n"/>
      <c r="AA733" s="595" t="n"/>
      <c r="AC733" s="594" t="n"/>
      <c r="AD733" s="595" t="n"/>
      <c r="AF733" s="594" t="n"/>
      <c r="AG733" s="595" t="n"/>
      <c r="AI733" s="594" t="n"/>
      <c r="AJ733" s="595" t="n"/>
      <c r="AL733" s="594" t="n"/>
      <c r="AM733" s="595" t="n"/>
      <c r="AO733" s="594" t="n"/>
      <c r="AP733" s="595" t="n"/>
      <c r="AR733" s="594" t="n"/>
      <c r="AS733" s="595" t="n"/>
    </row>
    <row r="734" ht="15.75" customHeight="1" s="26">
      <c r="B734" s="593" t="n"/>
      <c r="E734" s="594" t="n"/>
      <c r="F734" s="595" t="n"/>
      <c r="H734" s="594" t="n"/>
      <c r="I734" s="595" t="n"/>
      <c r="K734" s="594" t="n"/>
      <c r="L734" s="595" t="n"/>
      <c r="N734" s="594" t="n"/>
      <c r="O734" s="595" t="n"/>
      <c r="Q734" s="594" t="n"/>
      <c r="R734" s="595" t="n"/>
      <c r="T734" s="594" t="n"/>
      <c r="U734" s="595" t="n"/>
      <c r="W734" s="594" t="n"/>
      <c r="X734" s="595" t="n"/>
      <c r="Z734" s="594" t="n"/>
      <c r="AA734" s="595" t="n"/>
      <c r="AC734" s="594" t="n"/>
      <c r="AD734" s="595" t="n"/>
      <c r="AF734" s="594" t="n"/>
      <c r="AG734" s="595" t="n"/>
      <c r="AI734" s="594" t="n"/>
      <c r="AJ734" s="595" t="n"/>
      <c r="AL734" s="594" t="n"/>
      <c r="AM734" s="595" t="n"/>
      <c r="AO734" s="594" t="n"/>
      <c r="AP734" s="595" t="n"/>
      <c r="AR734" s="594" t="n"/>
      <c r="AS734" s="595" t="n"/>
    </row>
    <row r="735" ht="15.75" customHeight="1" s="26">
      <c r="B735" s="593" t="n"/>
      <c r="E735" s="594" t="n"/>
      <c r="F735" s="595" t="n"/>
      <c r="H735" s="594" t="n"/>
      <c r="I735" s="595" t="n"/>
      <c r="K735" s="594" t="n"/>
      <c r="L735" s="595" t="n"/>
      <c r="N735" s="594" t="n"/>
      <c r="O735" s="595" t="n"/>
      <c r="Q735" s="594" t="n"/>
      <c r="R735" s="595" t="n"/>
      <c r="T735" s="594" t="n"/>
      <c r="U735" s="595" t="n"/>
      <c r="W735" s="594" t="n"/>
      <c r="X735" s="595" t="n"/>
      <c r="Z735" s="594" t="n"/>
      <c r="AA735" s="595" t="n"/>
      <c r="AC735" s="594" t="n"/>
      <c r="AD735" s="595" t="n"/>
      <c r="AF735" s="594" t="n"/>
      <c r="AG735" s="595" t="n"/>
      <c r="AI735" s="594" t="n"/>
      <c r="AJ735" s="595" t="n"/>
      <c r="AL735" s="594" t="n"/>
      <c r="AM735" s="595" t="n"/>
      <c r="AO735" s="594" t="n"/>
      <c r="AP735" s="595" t="n"/>
      <c r="AR735" s="594" t="n"/>
      <c r="AS735" s="595" t="n"/>
    </row>
    <row r="736" ht="15.75" customHeight="1" s="26">
      <c r="B736" s="593" t="n"/>
      <c r="E736" s="594" t="n"/>
      <c r="F736" s="595" t="n"/>
      <c r="H736" s="594" t="n"/>
      <c r="I736" s="595" t="n"/>
      <c r="K736" s="594" t="n"/>
      <c r="L736" s="595" t="n"/>
      <c r="N736" s="594" t="n"/>
      <c r="O736" s="595" t="n"/>
      <c r="Q736" s="594" t="n"/>
      <c r="R736" s="595" t="n"/>
      <c r="T736" s="594" t="n"/>
      <c r="U736" s="595" t="n"/>
      <c r="W736" s="594" t="n"/>
      <c r="X736" s="595" t="n"/>
      <c r="Z736" s="594" t="n"/>
      <c r="AA736" s="595" t="n"/>
      <c r="AC736" s="594" t="n"/>
      <c r="AD736" s="595" t="n"/>
      <c r="AF736" s="594" t="n"/>
      <c r="AG736" s="595" t="n"/>
      <c r="AI736" s="594" t="n"/>
      <c r="AJ736" s="595" t="n"/>
      <c r="AL736" s="594" t="n"/>
      <c r="AM736" s="595" t="n"/>
      <c r="AO736" s="594" t="n"/>
      <c r="AP736" s="595" t="n"/>
      <c r="AR736" s="594" t="n"/>
      <c r="AS736" s="595" t="n"/>
    </row>
    <row r="737" ht="15.75" customHeight="1" s="26">
      <c r="B737" s="593" t="n"/>
      <c r="E737" s="594" t="n"/>
      <c r="F737" s="595" t="n"/>
      <c r="H737" s="594" t="n"/>
      <c r="I737" s="595" t="n"/>
      <c r="K737" s="594" t="n"/>
      <c r="L737" s="595" t="n"/>
      <c r="N737" s="594" t="n"/>
      <c r="O737" s="595" t="n"/>
      <c r="Q737" s="594" t="n"/>
      <c r="R737" s="595" t="n"/>
      <c r="T737" s="594" t="n"/>
      <c r="U737" s="595" t="n"/>
      <c r="W737" s="594" t="n"/>
      <c r="X737" s="595" t="n"/>
      <c r="Z737" s="594" t="n"/>
      <c r="AA737" s="595" t="n"/>
      <c r="AC737" s="594" t="n"/>
      <c r="AD737" s="595" t="n"/>
      <c r="AF737" s="594" t="n"/>
      <c r="AG737" s="595" t="n"/>
      <c r="AI737" s="594" t="n"/>
      <c r="AJ737" s="595" t="n"/>
      <c r="AL737" s="594" t="n"/>
      <c r="AM737" s="595" t="n"/>
      <c r="AO737" s="594" t="n"/>
      <c r="AP737" s="595" t="n"/>
      <c r="AR737" s="594" t="n"/>
      <c r="AS737" s="595" t="n"/>
    </row>
    <row r="738" ht="15.75" customHeight="1" s="26">
      <c r="B738" s="593" t="n"/>
      <c r="E738" s="594" t="n"/>
      <c r="F738" s="595" t="n"/>
      <c r="H738" s="594" t="n"/>
      <c r="I738" s="595" t="n"/>
      <c r="K738" s="594" t="n"/>
      <c r="L738" s="595" t="n"/>
      <c r="N738" s="594" t="n"/>
      <c r="O738" s="595" t="n"/>
      <c r="Q738" s="594" t="n"/>
      <c r="R738" s="595" t="n"/>
      <c r="T738" s="594" t="n"/>
      <c r="U738" s="595" t="n"/>
      <c r="W738" s="594" t="n"/>
      <c r="X738" s="595" t="n"/>
      <c r="Z738" s="594" t="n"/>
      <c r="AA738" s="595" t="n"/>
      <c r="AC738" s="594" t="n"/>
      <c r="AD738" s="595" t="n"/>
      <c r="AF738" s="594" t="n"/>
      <c r="AG738" s="595" t="n"/>
      <c r="AI738" s="594" t="n"/>
      <c r="AJ738" s="595" t="n"/>
      <c r="AL738" s="594" t="n"/>
      <c r="AM738" s="595" t="n"/>
      <c r="AO738" s="594" t="n"/>
      <c r="AP738" s="595" t="n"/>
      <c r="AR738" s="594" t="n"/>
      <c r="AS738" s="595" t="n"/>
    </row>
    <row r="739" ht="15.75" customHeight="1" s="26">
      <c r="B739" s="593" t="n"/>
      <c r="E739" s="594" t="n"/>
      <c r="F739" s="595" t="n"/>
      <c r="H739" s="594" t="n"/>
      <c r="I739" s="595" t="n"/>
      <c r="K739" s="594" t="n"/>
      <c r="L739" s="595" t="n"/>
      <c r="N739" s="594" t="n"/>
      <c r="O739" s="595" t="n"/>
      <c r="Q739" s="594" t="n"/>
      <c r="R739" s="595" t="n"/>
      <c r="T739" s="594" t="n"/>
      <c r="U739" s="595" t="n"/>
      <c r="W739" s="594" t="n"/>
      <c r="X739" s="595" t="n"/>
      <c r="Z739" s="594" t="n"/>
      <c r="AA739" s="595" t="n"/>
      <c r="AC739" s="594" t="n"/>
      <c r="AD739" s="595" t="n"/>
      <c r="AF739" s="594" t="n"/>
      <c r="AG739" s="595" t="n"/>
      <c r="AI739" s="594" t="n"/>
      <c r="AJ739" s="595" t="n"/>
      <c r="AL739" s="594" t="n"/>
      <c r="AM739" s="595" t="n"/>
      <c r="AO739" s="594" t="n"/>
      <c r="AP739" s="595" t="n"/>
      <c r="AR739" s="594" t="n"/>
      <c r="AS739" s="595" t="n"/>
    </row>
    <row r="740" ht="15.75" customHeight="1" s="26">
      <c r="B740" s="593" t="n"/>
      <c r="E740" s="594" t="n"/>
      <c r="F740" s="595" t="n"/>
      <c r="H740" s="594" t="n"/>
      <c r="I740" s="595" t="n"/>
      <c r="K740" s="594" t="n"/>
      <c r="L740" s="595" t="n"/>
      <c r="N740" s="594" t="n"/>
      <c r="O740" s="595" t="n"/>
      <c r="Q740" s="594" t="n"/>
      <c r="R740" s="595" t="n"/>
      <c r="T740" s="594" t="n"/>
      <c r="U740" s="595" t="n"/>
      <c r="W740" s="594" t="n"/>
      <c r="X740" s="595" t="n"/>
      <c r="Z740" s="594" t="n"/>
      <c r="AA740" s="595" t="n"/>
      <c r="AC740" s="594" t="n"/>
      <c r="AD740" s="595" t="n"/>
      <c r="AF740" s="594" t="n"/>
      <c r="AG740" s="595" t="n"/>
      <c r="AI740" s="594" t="n"/>
      <c r="AJ740" s="595" t="n"/>
      <c r="AL740" s="594" t="n"/>
      <c r="AM740" s="595" t="n"/>
      <c r="AO740" s="594" t="n"/>
      <c r="AP740" s="595" t="n"/>
      <c r="AR740" s="594" t="n"/>
      <c r="AS740" s="595" t="n"/>
    </row>
    <row r="741" ht="15.75" customHeight="1" s="26">
      <c r="B741" s="593" t="n"/>
      <c r="E741" s="594" t="n"/>
      <c r="F741" s="595" t="n"/>
      <c r="H741" s="594" t="n"/>
      <c r="I741" s="595" t="n"/>
      <c r="K741" s="594" t="n"/>
      <c r="L741" s="595" t="n"/>
      <c r="N741" s="594" t="n"/>
      <c r="O741" s="595" t="n"/>
      <c r="Q741" s="594" t="n"/>
      <c r="R741" s="595" t="n"/>
      <c r="T741" s="594" t="n"/>
      <c r="U741" s="595" t="n"/>
      <c r="W741" s="594" t="n"/>
      <c r="X741" s="595" t="n"/>
      <c r="Z741" s="594" t="n"/>
      <c r="AA741" s="595" t="n"/>
      <c r="AC741" s="594" t="n"/>
      <c r="AD741" s="595" t="n"/>
      <c r="AF741" s="594" t="n"/>
      <c r="AG741" s="595" t="n"/>
      <c r="AI741" s="594" t="n"/>
      <c r="AJ741" s="595" t="n"/>
      <c r="AL741" s="594" t="n"/>
      <c r="AM741" s="595" t="n"/>
      <c r="AO741" s="594" t="n"/>
      <c r="AP741" s="595" t="n"/>
      <c r="AR741" s="594" t="n"/>
      <c r="AS741" s="595" t="n"/>
    </row>
    <row r="742" ht="15.75" customHeight="1" s="26">
      <c r="B742" s="593" t="n"/>
      <c r="E742" s="594" t="n"/>
      <c r="F742" s="595" t="n"/>
      <c r="H742" s="594" t="n"/>
      <c r="I742" s="595" t="n"/>
      <c r="K742" s="594" t="n"/>
      <c r="L742" s="595" t="n"/>
      <c r="N742" s="594" t="n"/>
      <c r="O742" s="595" t="n"/>
      <c r="Q742" s="594" t="n"/>
      <c r="R742" s="595" t="n"/>
      <c r="T742" s="594" t="n"/>
      <c r="U742" s="595" t="n"/>
      <c r="W742" s="594" t="n"/>
      <c r="X742" s="595" t="n"/>
      <c r="Z742" s="594" t="n"/>
      <c r="AA742" s="595" t="n"/>
      <c r="AC742" s="594" t="n"/>
      <c r="AD742" s="595" t="n"/>
      <c r="AF742" s="594" t="n"/>
      <c r="AG742" s="595" t="n"/>
      <c r="AI742" s="594" t="n"/>
      <c r="AJ742" s="595" t="n"/>
      <c r="AL742" s="594" t="n"/>
      <c r="AM742" s="595" t="n"/>
      <c r="AO742" s="594" t="n"/>
      <c r="AP742" s="595" t="n"/>
      <c r="AR742" s="594" t="n"/>
      <c r="AS742" s="595" t="n"/>
    </row>
    <row r="743" ht="15.75" customHeight="1" s="26">
      <c r="B743" s="593" t="n"/>
      <c r="E743" s="594" t="n"/>
      <c r="F743" s="595" t="n"/>
      <c r="H743" s="594" t="n"/>
      <c r="I743" s="595" t="n"/>
      <c r="K743" s="594" t="n"/>
      <c r="L743" s="595" t="n"/>
      <c r="N743" s="594" t="n"/>
      <c r="O743" s="595" t="n"/>
      <c r="Q743" s="594" t="n"/>
      <c r="R743" s="595" t="n"/>
      <c r="T743" s="594" t="n"/>
      <c r="U743" s="595" t="n"/>
      <c r="W743" s="594" t="n"/>
      <c r="X743" s="595" t="n"/>
      <c r="Z743" s="594" t="n"/>
      <c r="AA743" s="595" t="n"/>
      <c r="AC743" s="594" t="n"/>
      <c r="AD743" s="595" t="n"/>
      <c r="AF743" s="594" t="n"/>
      <c r="AG743" s="595" t="n"/>
      <c r="AI743" s="594" t="n"/>
      <c r="AJ743" s="595" t="n"/>
      <c r="AL743" s="594" t="n"/>
      <c r="AM743" s="595" t="n"/>
      <c r="AO743" s="594" t="n"/>
      <c r="AP743" s="595" t="n"/>
      <c r="AR743" s="594" t="n"/>
      <c r="AS743" s="595" t="n"/>
    </row>
    <row r="744" ht="15.75" customHeight="1" s="26">
      <c r="B744" s="593" t="n"/>
      <c r="E744" s="594" t="n"/>
      <c r="F744" s="595" t="n"/>
      <c r="H744" s="594" t="n"/>
      <c r="I744" s="595" t="n"/>
      <c r="K744" s="594" t="n"/>
      <c r="L744" s="595" t="n"/>
      <c r="N744" s="594" t="n"/>
      <c r="O744" s="595" t="n"/>
      <c r="Q744" s="594" t="n"/>
      <c r="R744" s="595" t="n"/>
      <c r="T744" s="594" t="n"/>
      <c r="U744" s="595" t="n"/>
      <c r="W744" s="594" t="n"/>
      <c r="X744" s="595" t="n"/>
      <c r="Z744" s="594" t="n"/>
      <c r="AA744" s="595" t="n"/>
      <c r="AC744" s="594" t="n"/>
      <c r="AD744" s="595" t="n"/>
      <c r="AF744" s="594" t="n"/>
      <c r="AG744" s="595" t="n"/>
      <c r="AI744" s="594" t="n"/>
      <c r="AJ744" s="595" t="n"/>
      <c r="AL744" s="594" t="n"/>
      <c r="AM744" s="595" t="n"/>
      <c r="AO744" s="594" t="n"/>
      <c r="AP744" s="595" t="n"/>
      <c r="AR744" s="594" t="n"/>
      <c r="AS744" s="595" t="n"/>
    </row>
    <row r="745" ht="15.75" customHeight="1" s="26">
      <c r="B745" s="593" t="n"/>
      <c r="E745" s="594" t="n"/>
      <c r="F745" s="595" t="n"/>
      <c r="H745" s="594" t="n"/>
      <c r="I745" s="595" t="n"/>
      <c r="K745" s="594" t="n"/>
      <c r="L745" s="595" t="n"/>
      <c r="N745" s="594" t="n"/>
      <c r="O745" s="595" t="n"/>
      <c r="Q745" s="594" t="n"/>
      <c r="R745" s="595" t="n"/>
      <c r="T745" s="594" t="n"/>
      <c r="U745" s="595" t="n"/>
      <c r="W745" s="594" t="n"/>
      <c r="X745" s="595" t="n"/>
      <c r="Z745" s="594" t="n"/>
      <c r="AA745" s="595" t="n"/>
      <c r="AC745" s="594" t="n"/>
      <c r="AD745" s="595" t="n"/>
      <c r="AF745" s="594" t="n"/>
      <c r="AG745" s="595" t="n"/>
      <c r="AI745" s="594" t="n"/>
      <c r="AJ745" s="595" t="n"/>
      <c r="AL745" s="594" t="n"/>
      <c r="AM745" s="595" t="n"/>
      <c r="AO745" s="594" t="n"/>
      <c r="AP745" s="595" t="n"/>
      <c r="AR745" s="594" t="n"/>
      <c r="AS745" s="595" t="n"/>
    </row>
    <row r="746" ht="15.75" customHeight="1" s="26">
      <c r="B746" s="593" t="n"/>
      <c r="E746" s="594" t="n"/>
      <c r="F746" s="595" t="n"/>
      <c r="H746" s="594" t="n"/>
      <c r="I746" s="595" t="n"/>
      <c r="K746" s="594" t="n"/>
      <c r="L746" s="595" t="n"/>
      <c r="N746" s="594" t="n"/>
      <c r="O746" s="595" t="n"/>
      <c r="Q746" s="594" t="n"/>
      <c r="R746" s="595" t="n"/>
      <c r="T746" s="594" t="n"/>
      <c r="U746" s="595" t="n"/>
      <c r="W746" s="594" t="n"/>
      <c r="X746" s="595" t="n"/>
      <c r="Z746" s="594" t="n"/>
      <c r="AA746" s="595" t="n"/>
      <c r="AC746" s="594" t="n"/>
      <c r="AD746" s="595" t="n"/>
      <c r="AF746" s="594" t="n"/>
      <c r="AG746" s="595" t="n"/>
      <c r="AI746" s="594" t="n"/>
      <c r="AJ746" s="595" t="n"/>
      <c r="AL746" s="594" t="n"/>
      <c r="AM746" s="595" t="n"/>
      <c r="AO746" s="594" t="n"/>
      <c r="AP746" s="595" t="n"/>
      <c r="AR746" s="594" t="n"/>
      <c r="AS746" s="595" t="n"/>
    </row>
    <row r="747" ht="15.75" customHeight="1" s="26">
      <c r="B747" s="593" t="n"/>
      <c r="E747" s="594" t="n"/>
      <c r="F747" s="595" t="n"/>
      <c r="H747" s="594" t="n"/>
      <c r="I747" s="595" t="n"/>
      <c r="K747" s="594" t="n"/>
      <c r="L747" s="595" t="n"/>
      <c r="N747" s="594" t="n"/>
      <c r="O747" s="595" t="n"/>
      <c r="Q747" s="594" t="n"/>
      <c r="R747" s="595" t="n"/>
      <c r="T747" s="594" t="n"/>
      <c r="U747" s="595" t="n"/>
      <c r="W747" s="594" t="n"/>
      <c r="X747" s="595" t="n"/>
      <c r="Z747" s="594" t="n"/>
      <c r="AA747" s="595" t="n"/>
      <c r="AC747" s="594" t="n"/>
      <c r="AD747" s="595" t="n"/>
      <c r="AF747" s="594" t="n"/>
      <c r="AG747" s="595" t="n"/>
      <c r="AI747" s="594" t="n"/>
      <c r="AJ747" s="595" t="n"/>
      <c r="AL747" s="594" t="n"/>
      <c r="AM747" s="595" t="n"/>
      <c r="AO747" s="594" t="n"/>
      <c r="AP747" s="595" t="n"/>
      <c r="AR747" s="594" t="n"/>
      <c r="AS747" s="595" t="n"/>
    </row>
    <row r="748" ht="15.75" customHeight="1" s="26">
      <c r="B748" s="593" t="n"/>
      <c r="E748" s="594" t="n"/>
      <c r="F748" s="595" t="n"/>
      <c r="H748" s="594" t="n"/>
      <c r="I748" s="595" t="n"/>
      <c r="K748" s="594" t="n"/>
      <c r="L748" s="595" t="n"/>
      <c r="N748" s="594" t="n"/>
      <c r="O748" s="595" t="n"/>
      <c r="Q748" s="594" t="n"/>
      <c r="R748" s="595" t="n"/>
      <c r="T748" s="594" t="n"/>
      <c r="U748" s="595" t="n"/>
      <c r="W748" s="594" t="n"/>
      <c r="X748" s="595" t="n"/>
      <c r="Z748" s="594" t="n"/>
      <c r="AA748" s="595" t="n"/>
      <c r="AC748" s="594" t="n"/>
      <c r="AD748" s="595" t="n"/>
      <c r="AF748" s="594" t="n"/>
      <c r="AG748" s="595" t="n"/>
      <c r="AI748" s="594" t="n"/>
      <c r="AJ748" s="595" t="n"/>
      <c r="AL748" s="594" t="n"/>
      <c r="AM748" s="595" t="n"/>
      <c r="AO748" s="594" t="n"/>
      <c r="AP748" s="595" t="n"/>
      <c r="AR748" s="594" t="n"/>
      <c r="AS748" s="595" t="n"/>
    </row>
    <row r="749" ht="15.75" customHeight="1" s="26">
      <c r="B749" s="593" t="n"/>
      <c r="E749" s="594" t="n"/>
      <c r="F749" s="595" t="n"/>
      <c r="H749" s="594" t="n"/>
      <c r="I749" s="595" t="n"/>
      <c r="K749" s="594" t="n"/>
      <c r="L749" s="595" t="n"/>
      <c r="N749" s="594" t="n"/>
      <c r="O749" s="595" t="n"/>
      <c r="Q749" s="594" t="n"/>
      <c r="R749" s="595" t="n"/>
      <c r="T749" s="594" t="n"/>
      <c r="U749" s="595" t="n"/>
      <c r="W749" s="594" t="n"/>
      <c r="X749" s="595" t="n"/>
      <c r="Z749" s="594" t="n"/>
      <c r="AA749" s="595" t="n"/>
      <c r="AC749" s="594" t="n"/>
      <c r="AD749" s="595" t="n"/>
      <c r="AF749" s="594" t="n"/>
      <c r="AG749" s="595" t="n"/>
      <c r="AI749" s="594" t="n"/>
      <c r="AJ749" s="595" t="n"/>
      <c r="AL749" s="594" t="n"/>
      <c r="AM749" s="595" t="n"/>
      <c r="AO749" s="594" t="n"/>
      <c r="AP749" s="595" t="n"/>
      <c r="AR749" s="594" t="n"/>
      <c r="AS749" s="595" t="n"/>
    </row>
    <row r="750" ht="15.75" customHeight="1" s="26">
      <c r="B750" s="593" t="n"/>
      <c r="E750" s="594" t="n"/>
      <c r="F750" s="595" t="n"/>
      <c r="H750" s="594" t="n"/>
      <c r="I750" s="595" t="n"/>
      <c r="K750" s="594" t="n"/>
      <c r="L750" s="595" t="n"/>
      <c r="N750" s="594" t="n"/>
      <c r="O750" s="595" t="n"/>
      <c r="Q750" s="594" t="n"/>
      <c r="R750" s="595" t="n"/>
      <c r="T750" s="594" t="n"/>
      <c r="U750" s="595" t="n"/>
      <c r="W750" s="594" t="n"/>
      <c r="X750" s="595" t="n"/>
      <c r="Z750" s="594" t="n"/>
      <c r="AA750" s="595" t="n"/>
      <c r="AC750" s="594" t="n"/>
      <c r="AD750" s="595" t="n"/>
      <c r="AF750" s="594" t="n"/>
      <c r="AG750" s="595" t="n"/>
      <c r="AI750" s="594" t="n"/>
      <c r="AJ750" s="595" t="n"/>
      <c r="AL750" s="594" t="n"/>
      <c r="AM750" s="595" t="n"/>
      <c r="AO750" s="594" t="n"/>
      <c r="AP750" s="595" t="n"/>
      <c r="AR750" s="594" t="n"/>
      <c r="AS750" s="595" t="n"/>
    </row>
    <row r="751" ht="15.75" customHeight="1" s="26">
      <c r="B751" s="593" t="n"/>
      <c r="E751" s="594" t="n"/>
      <c r="F751" s="595" t="n"/>
      <c r="H751" s="594" t="n"/>
      <c r="I751" s="595" t="n"/>
      <c r="K751" s="594" t="n"/>
      <c r="L751" s="595" t="n"/>
      <c r="N751" s="594" t="n"/>
      <c r="O751" s="595" t="n"/>
      <c r="Q751" s="594" t="n"/>
      <c r="R751" s="595" t="n"/>
      <c r="T751" s="594" t="n"/>
      <c r="U751" s="595" t="n"/>
      <c r="W751" s="594" t="n"/>
      <c r="X751" s="595" t="n"/>
      <c r="Z751" s="594" t="n"/>
      <c r="AA751" s="595" t="n"/>
      <c r="AC751" s="594" t="n"/>
      <c r="AD751" s="595" t="n"/>
      <c r="AF751" s="594" t="n"/>
      <c r="AG751" s="595" t="n"/>
      <c r="AI751" s="594" t="n"/>
      <c r="AJ751" s="595" t="n"/>
      <c r="AL751" s="594" t="n"/>
      <c r="AM751" s="595" t="n"/>
      <c r="AO751" s="594" t="n"/>
      <c r="AP751" s="595" t="n"/>
      <c r="AR751" s="594" t="n"/>
      <c r="AS751" s="595" t="n"/>
    </row>
    <row r="752" ht="15.75" customHeight="1" s="26">
      <c r="B752" s="593" t="n"/>
      <c r="E752" s="594" t="n"/>
      <c r="F752" s="595" t="n"/>
      <c r="H752" s="594" t="n"/>
      <c r="I752" s="595" t="n"/>
      <c r="K752" s="594" t="n"/>
      <c r="L752" s="595" t="n"/>
      <c r="N752" s="594" t="n"/>
      <c r="O752" s="595" t="n"/>
      <c r="Q752" s="594" t="n"/>
      <c r="R752" s="595" t="n"/>
      <c r="T752" s="594" t="n"/>
      <c r="U752" s="595" t="n"/>
      <c r="W752" s="594" t="n"/>
      <c r="X752" s="595" t="n"/>
      <c r="Z752" s="594" t="n"/>
      <c r="AA752" s="595" t="n"/>
      <c r="AC752" s="594" t="n"/>
      <c r="AD752" s="595" t="n"/>
      <c r="AF752" s="594" t="n"/>
      <c r="AG752" s="595" t="n"/>
      <c r="AI752" s="594" t="n"/>
      <c r="AJ752" s="595" t="n"/>
      <c r="AL752" s="594" t="n"/>
      <c r="AM752" s="595" t="n"/>
      <c r="AO752" s="594" t="n"/>
      <c r="AP752" s="595" t="n"/>
      <c r="AR752" s="594" t="n"/>
      <c r="AS752" s="595" t="n"/>
    </row>
    <row r="753" ht="15.75" customHeight="1" s="26">
      <c r="B753" s="593" t="n"/>
      <c r="E753" s="594" t="n"/>
      <c r="F753" s="595" t="n"/>
      <c r="H753" s="594" t="n"/>
      <c r="I753" s="595" t="n"/>
      <c r="K753" s="594" t="n"/>
      <c r="L753" s="595" t="n"/>
      <c r="N753" s="594" t="n"/>
      <c r="O753" s="595" t="n"/>
      <c r="Q753" s="594" t="n"/>
      <c r="R753" s="595" t="n"/>
      <c r="T753" s="594" t="n"/>
      <c r="U753" s="595" t="n"/>
      <c r="W753" s="594" t="n"/>
      <c r="X753" s="595" t="n"/>
      <c r="Z753" s="594" t="n"/>
      <c r="AA753" s="595" t="n"/>
      <c r="AC753" s="594" t="n"/>
      <c r="AD753" s="595" t="n"/>
      <c r="AF753" s="594" t="n"/>
      <c r="AG753" s="595" t="n"/>
      <c r="AI753" s="594" t="n"/>
      <c r="AJ753" s="595" t="n"/>
      <c r="AL753" s="594" t="n"/>
      <c r="AM753" s="595" t="n"/>
      <c r="AO753" s="594" t="n"/>
      <c r="AP753" s="595" t="n"/>
      <c r="AR753" s="594" t="n"/>
      <c r="AS753" s="595" t="n"/>
    </row>
    <row r="754" ht="15.75" customHeight="1" s="26">
      <c r="B754" s="593" t="n"/>
      <c r="E754" s="594" t="n"/>
      <c r="F754" s="595" t="n"/>
      <c r="H754" s="594" t="n"/>
      <c r="I754" s="595" t="n"/>
      <c r="K754" s="594" t="n"/>
      <c r="L754" s="595" t="n"/>
      <c r="N754" s="594" t="n"/>
      <c r="O754" s="595" t="n"/>
      <c r="Q754" s="594" t="n"/>
      <c r="R754" s="595" t="n"/>
      <c r="T754" s="594" t="n"/>
      <c r="U754" s="595" t="n"/>
      <c r="W754" s="594" t="n"/>
      <c r="X754" s="595" t="n"/>
      <c r="Z754" s="594" t="n"/>
      <c r="AA754" s="595" t="n"/>
      <c r="AC754" s="594" t="n"/>
      <c r="AD754" s="595" t="n"/>
      <c r="AF754" s="594" t="n"/>
      <c r="AG754" s="595" t="n"/>
      <c r="AI754" s="594" t="n"/>
      <c r="AJ754" s="595" t="n"/>
      <c r="AL754" s="594" t="n"/>
      <c r="AM754" s="595" t="n"/>
      <c r="AO754" s="594" t="n"/>
      <c r="AP754" s="595" t="n"/>
      <c r="AR754" s="594" t="n"/>
      <c r="AS754" s="595" t="n"/>
    </row>
    <row r="755" ht="15.75" customHeight="1" s="26">
      <c r="B755" s="593" t="n"/>
      <c r="E755" s="594" t="n"/>
      <c r="F755" s="595" t="n"/>
      <c r="H755" s="594" t="n"/>
      <c r="I755" s="595" t="n"/>
      <c r="K755" s="594" t="n"/>
      <c r="L755" s="595" t="n"/>
      <c r="N755" s="594" t="n"/>
      <c r="O755" s="595" t="n"/>
      <c r="Q755" s="594" t="n"/>
      <c r="R755" s="595" t="n"/>
      <c r="T755" s="594" t="n"/>
      <c r="U755" s="595" t="n"/>
      <c r="W755" s="594" t="n"/>
      <c r="X755" s="595" t="n"/>
      <c r="Z755" s="594" t="n"/>
      <c r="AA755" s="595" t="n"/>
      <c r="AC755" s="594" t="n"/>
      <c r="AD755" s="595" t="n"/>
      <c r="AF755" s="594" t="n"/>
      <c r="AG755" s="595" t="n"/>
      <c r="AI755" s="594" t="n"/>
      <c r="AJ755" s="595" t="n"/>
      <c r="AL755" s="594" t="n"/>
      <c r="AM755" s="595" t="n"/>
      <c r="AO755" s="594" t="n"/>
      <c r="AP755" s="595" t="n"/>
      <c r="AR755" s="594" t="n"/>
      <c r="AS755" s="595" t="n"/>
    </row>
    <row r="756" ht="15.75" customHeight="1" s="26">
      <c r="B756" s="593" t="n"/>
      <c r="E756" s="594" t="n"/>
      <c r="F756" s="595" t="n"/>
      <c r="H756" s="594" t="n"/>
      <c r="I756" s="595" t="n"/>
      <c r="K756" s="594" t="n"/>
      <c r="L756" s="595" t="n"/>
      <c r="N756" s="594" t="n"/>
      <c r="O756" s="595" t="n"/>
      <c r="Q756" s="594" t="n"/>
      <c r="R756" s="595" t="n"/>
      <c r="T756" s="594" t="n"/>
      <c r="U756" s="595" t="n"/>
      <c r="W756" s="594" t="n"/>
      <c r="X756" s="595" t="n"/>
      <c r="Z756" s="594" t="n"/>
      <c r="AA756" s="595" t="n"/>
      <c r="AC756" s="594" t="n"/>
      <c r="AD756" s="595" t="n"/>
      <c r="AF756" s="594" t="n"/>
      <c r="AG756" s="595" t="n"/>
      <c r="AI756" s="594" t="n"/>
      <c r="AJ756" s="595" t="n"/>
      <c r="AL756" s="594" t="n"/>
      <c r="AM756" s="595" t="n"/>
      <c r="AO756" s="594" t="n"/>
      <c r="AP756" s="595" t="n"/>
      <c r="AR756" s="594" t="n"/>
      <c r="AS756" s="595" t="n"/>
    </row>
    <row r="757" ht="15.75" customHeight="1" s="26">
      <c r="B757" s="593" t="n"/>
      <c r="E757" s="594" t="n"/>
      <c r="F757" s="595" t="n"/>
      <c r="H757" s="594" t="n"/>
      <c r="I757" s="595" t="n"/>
      <c r="K757" s="594" t="n"/>
      <c r="L757" s="595" t="n"/>
      <c r="N757" s="594" t="n"/>
      <c r="O757" s="595" t="n"/>
      <c r="Q757" s="594" t="n"/>
      <c r="R757" s="595" t="n"/>
      <c r="T757" s="594" t="n"/>
      <c r="U757" s="595" t="n"/>
      <c r="W757" s="594" t="n"/>
      <c r="X757" s="595" t="n"/>
      <c r="Z757" s="594" t="n"/>
      <c r="AA757" s="595" t="n"/>
      <c r="AC757" s="594" t="n"/>
      <c r="AD757" s="595" t="n"/>
      <c r="AF757" s="594" t="n"/>
      <c r="AG757" s="595" t="n"/>
      <c r="AI757" s="594" t="n"/>
      <c r="AJ757" s="595" t="n"/>
      <c r="AL757" s="594" t="n"/>
      <c r="AM757" s="595" t="n"/>
      <c r="AO757" s="594" t="n"/>
      <c r="AP757" s="595" t="n"/>
      <c r="AR757" s="594" t="n"/>
      <c r="AS757" s="595" t="n"/>
    </row>
    <row r="758" ht="15.75" customHeight="1" s="26">
      <c r="B758" s="593" t="n"/>
      <c r="E758" s="594" t="n"/>
      <c r="F758" s="595" t="n"/>
      <c r="H758" s="594" t="n"/>
      <c r="I758" s="595" t="n"/>
      <c r="K758" s="594" t="n"/>
      <c r="L758" s="595" t="n"/>
      <c r="N758" s="594" t="n"/>
      <c r="O758" s="595" t="n"/>
      <c r="Q758" s="594" t="n"/>
      <c r="R758" s="595" t="n"/>
      <c r="T758" s="594" t="n"/>
      <c r="U758" s="595" t="n"/>
      <c r="W758" s="594" t="n"/>
      <c r="X758" s="595" t="n"/>
      <c r="Z758" s="594" t="n"/>
      <c r="AA758" s="595" t="n"/>
      <c r="AC758" s="594" t="n"/>
      <c r="AD758" s="595" t="n"/>
      <c r="AF758" s="594" t="n"/>
      <c r="AG758" s="595" t="n"/>
      <c r="AI758" s="594" t="n"/>
      <c r="AJ758" s="595" t="n"/>
      <c r="AL758" s="594" t="n"/>
      <c r="AM758" s="595" t="n"/>
      <c r="AO758" s="594" t="n"/>
      <c r="AP758" s="595" t="n"/>
      <c r="AR758" s="594" t="n"/>
      <c r="AS758" s="595" t="n"/>
    </row>
    <row r="759" ht="15.75" customHeight="1" s="26">
      <c r="B759" s="593" t="n"/>
      <c r="E759" s="594" t="n"/>
      <c r="F759" s="595" t="n"/>
      <c r="H759" s="594" t="n"/>
      <c r="I759" s="595" t="n"/>
      <c r="K759" s="594" t="n"/>
      <c r="L759" s="595" t="n"/>
      <c r="N759" s="594" t="n"/>
      <c r="O759" s="595" t="n"/>
      <c r="Q759" s="594" t="n"/>
      <c r="R759" s="595" t="n"/>
      <c r="T759" s="594" t="n"/>
      <c r="U759" s="595" t="n"/>
      <c r="W759" s="594" t="n"/>
      <c r="X759" s="595" t="n"/>
      <c r="Z759" s="594" t="n"/>
      <c r="AA759" s="595" t="n"/>
      <c r="AC759" s="594" t="n"/>
      <c r="AD759" s="595" t="n"/>
      <c r="AF759" s="594" t="n"/>
      <c r="AG759" s="595" t="n"/>
      <c r="AI759" s="594" t="n"/>
      <c r="AJ759" s="595" t="n"/>
      <c r="AL759" s="594" t="n"/>
      <c r="AM759" s="595" t="n"/>
      <c r="AO759" s="594" t="n"/>
      <c r="AP759" s="595" t="n"/>
      <c r="AR759" s="594" t="n"/>
      <c r="AS759" s="595" t="n"/>
    </row>
    <row r="760" ht="15.75" customHeight="1" s="26">
      <c r="B760" s="593" t="n"/>
      <c r="E760" s="594" t="n"/>
      <c r="F760" s="595" t="n"/>
      <c r="H760" s="594" t="n"/>
      <c r="I760" s="595" t="n"/>
      <c r="K760" s="594" t="n"/>
      <c r="L760" s="595" t="n"/>
      <c r="N760" s="594" t="n"/>
      <c r="O760" s="595" t="n"/>
      <c r="Q760" s="594" t="n"/>
      <c r="R760" s="595" t="n"/>
      <c r="T760" s="594" t="n"/>
      <c r="U760" s="595" t="n"/>
      <c r="W760" s="594" t="n"/>
      <c r="X760" s="595" t="n"/>
      <c r="Z760" s="594" t="n"/>
      <c r="AA760" s="595" t="n"/>
      <c r="AC760" s="594" t="n"/>
      <c r="AD760" s="595" t="n"/>
      <c r="AF760" s="594" t="n"/>
      <c r="AG760" s="595" t="n"/>
      <c r="AI760" s="594" t="n"/>
      <c r="AJ760" s="595" t="n"/>
      <c r="AL760" s="594" t="n"/>
      <c r="AM760" s="595" t="n"/>
      <c r="AO760" s="594" t="n"/>
      <c r="AP760" s="595" t="n"/>
      <c r="AR760" s="594" t="n"/>
      <c r="AS760" s="595" t="n"/>
    </row>
    <row r="761" ht="15.75" customHeight="1" s="26">
      <c r="B761" s="593" t="n"/>
      <c r="E761" s="594" t="n"/>
      <c r="F761" s="595" t="n"/>
      <c r="H761" s="594" t="n"/>
      <c r="I761" s="595" t="n"/>
      <c r="K761" s="594" t="n"/>
      <c r="L761" s="595" t="n"/>
      <c r="N761" s="594" t="n"/>
      <c r="O761" s="595" t="n"/>
      <c r="Q761" s="594" t="n"/>
      <c r="R761" s="595" t="n"/>
      <c r="T761" s="594" t="n"/>
      <c r="U761" s="595" t="n"/>
      <c r="W761" s="594" t="n"/>
      <c r="X761" s="595" t="n"/>
      <c r="Z761" s="594" t="n"/>
      <c r="AA761" s="595" t="n"/>
      <c r="AC761" s="594" t="n"/>
      <c r="AD761" s="595" t="n"/>
      <c r="AF761" s="594" t="n"/>
      <c r="AG761" s="595" t="n"/>
      <c r="AI761" s="594" t="n"/>
      <c r="AJ761" s="595" t="n"/>
      <c r="AL761" s="594" t="n"/>
      <c r="AM761" s="595" t="n"/>
      <c r="AO761" s="594" t="n"/>
      <c r="AP761" s="595" t="n"/>
      <c r="AR761" s="594" t="n"/>
      <c r="AS761" s="595" t="n"/>
    </row>
    <row r="762" ht="15.75" customHeight="1" s="26">
      <c r="B762" s="593" t="n"/>
      <c r="E762" s="594" t="n"/>
      <c r="F762" s="595" t="n"/>
      <c r="H762" s="594" t="n"/>
      <c r="I762" s="595" t="n"/>
      <c r="K762" s="594" t="n"/>
      <c r="L762" s="595" t="n"/>
      <c r="N762" s="594" t="n"/>
      <c r="O762" s="595" t="n"/>
      <c r="Q762" s="594" t="n"/>
      <c r="R762" s="595" t="n"/>
      <c r="T762" s="594" t="n"/>
      <c r="U762" s="595" t="n"/>
      <c r="W762" s="594" t="n"/>
      <c r="X762" s="595" t="n"/>
      <c r="Z762" s="594" t="n"/>
      <c r="AA762" s="595" t="n"/>
      <c r="AC762" s="594" t="n"/>
      <c r="AD762" s="595" t="n"/>
      <c r="AF762" s="594" t="n"/>
      <c r="AG762" s="595" t="n"/>
      <c r="AI762" s="594" t="n"/>
      <c r="AJ762" s="595" t="n"/>
      <c r="AL762" s="594" t="n"/>
      <c r="AM762" s="595" t="n"/>
      <c r="AO762" s="594" t="n"/>
      <c r="AP762" s="595" t="n"/>
      <c r="AR762" s="594" t="n"/>
      <c r="AS762" s="595" t="n"/>
    </row>
    <row r="763" ht="15.75" customHeight="1" s="26">
      <c r="B763" s="593" t="n"/>
      <c r="E763" s="594" t="n"/>
      <c r="F763" s="595" t="n"/>
      <c r="H763" s="594" t="n"/>
      <c r="I763" s="595" t="n"/>
      <c r="K763" s="594" t="n"/>
      <c r="L763" s="595" t="n"/>
      <c r="N763" s="594" t="n"/>
      <c r="O763" s="595" t="n"/>
      <c r="Q763" s="594" t="n"/>
      <c r="R763" s="595" t="n"/>
      <c r="T763" s="594" t="n"/>
      <c r="U763" s="595" t="n"/>
      <c r="W763" s="594" t="n"/>
      <c r="X763" s="595" t="n"/>
      <c r="Z763" s="594" t="n"/>
      <c r="AA763" s="595" t="n"/>
      <c r="AC763" s="594" t="n"/>
      <c r="AD763" s="595" t="n"/>
      <c r="AF763" s="594" t="n"/>
      <c r="AG763" s="595" t="n"/>
      <c r="AI763" s="594" t="n"/>
      <c r="AJ763" s="595" t="n"/>
      <c r="AL763" s="594" t="n"/>
      <c r="AM763" s="595" t="n"/>
      <c r="AO763" s="594" t="n"/>
      <c r="AP763" s="595" t="n"/>
      <c r="AR763" s="594" t="n"/>
      <c r="AS763" s="595" t="n"/>
    </row>
    <row r="764" ht="15.75" customHeight="1" s="26">
      <c r="B764" s="593" t="n"/>
      <c r="E764" s="594" t="n"/>
      <c r="F764" s="595" t="n"/>
      <c r="H764" s="594" t="n"/>
      <c r="I764" s="595" t="n"/>
      <c r="K764" s="594" t="n"/>
      <c r="L764" s="595" t="n"/>
      <c r="N764" s="594" t="n"/>
      <c r="O764" s="595" t="n"/>
      <c r="Q764" s="594" t="n"/>
      <c r="R764" s="595" t="n"/>
      <c r="T764" s="594" t="n"/>
      <c r="U764" s="595" t="n"/>
      <c r="W764" s="594" t="n"/>
      <c r="X764" s="595" t="n"/>
      <c r="Z764" s="594" t="n"/>
      <c r="AA764" s="595" t="n"/>
      <c r="AC764" s="594" t="n"/>
      <c r="AD764" s="595" t="n"/>
      <c r="AF764" s="594" t="n"/>
      <c r="AG764" s="595" t="n"/>
      <c r="AI764" s="594" t="n"/>
      <c r="AJ764" s="595" t="n"/>
      <c r="AL764" s="594" t="n"/>
      <c r="AM764" s="595" t="n"/>
      <c r="AO764" s="594" t="n"/>
      <c r="AP764" s="595" t="n"/>
      <c r="AR764" s="594" t="n"/>
      <c r="AS764" s="595" t="n"/>
    </row>
    <row r="765" ht="15.75" customHeight="1" s="26">
      <c r="B765" s="593" t="n"/>
      <c r="E765" s="594" t="n"/>
      <c r="F765" s="595" t="n"/>
      <c r="H765" s="594" t="n"/>
      <c r="I765" s="595" t="n"/>
      <c r="K765" s="594" t="n"/>
      <c r="L765" s="595" t="n"/>
      <c r="N765" s="594" t="n"/>
      <c r="O765" s="595" t="n"/>
      <c r="Q765" s="594" t="n"/>
      <c r="R765" s="595" t="n"/>
      <c r="T765" s="594" t="n"/>
      <c r="U765" s="595" t="n"/>
      <c r="W765" s="594" t="n"/>
      <c r="X765" s="595" t="n"/>
      <c r="Z765" s="594" t="n"/>
      <c r="AA765" s="595" t="n"/>
      <c r="AC765" s="594" t="n"/>
      <c r="AD765" s="595" t="n"/>
      <c r="AF765" s="594" t="n"/>
      <c r="AG765" s="595" t="n"/>
      <c r="AI765" s="594" t="n"/>
      <c r="AJ765" s="595" t="n"/>
      <c r="AL765" s="594" t="n"/>
      <c r="AM765" s="595" t="n"/>
      <c r="AO765" s="594" t="n"/>
      <c r="AP765" s="595" t="n"/>
      <c r="AR765" s="594" t="n"/>
      <c r="AS765" s="595" t="n"/>
    </row>
    <row r="766" ht="15.75" customHeight="1" s="26">
      <c r="B766" s="593" t="n"/>
      <c r="E766" s="594" t="n"/>
      <c r="F766" s="595" t="n"/>
      <c r="H766" s="594" t="n"/>
      <c r="I766" s="595" t="n"/>
      <c r="K766" s="594" t="n"/>
      <c r="L766" s="595" t="n"/>
      <c r="N766" s="594" t="n"/>
      <c r="O766" s="595" t="n"/>
      <c r="Q766" s="594" t="n"/>
      <c r="R766" s="595" t="n"/>
      <c r="T766" s="594" t="n"/>
      <c r="U766" s="595" t="n"/>
      <c r="W766" s="594" t="n"/>
      <c r="X766" s="595" t="n"/>
      <c r="Z766" s="594" t="n"/>
      <c r="AA766" s="595" t="n"/>
      <c r="AC766" s="594" t="n"/>
      <c r="AD766" s="595" t="n"/>
      <c r="AF766" s="594" t="n"/>
      <c r="AG766" s="595" t="n"/>
      <c r="AI766" s="594" t="n"/>
      <c r="AJ766" s="595" t="n"/>
      <c r="AL766" s="594" t="n"/>
      <c r="AM766" s="595" t="n"/>
      <c r="AO766" s="594" t="n"/>
      <c r="AP766" s="595" t="n"/>
      <c r="AR766" s="594" t="n"/>
      <c r="AS766" s="595" t="n"/>
    </row>
    <row r="767" ht="15.75" customHeight="1" s="26">
      <c r="B767" s="593" t="n"/>
      <c r="E767" s="594" t="n"/>
      <c r="F767" s="595" t="n"/>
      <c r="H767" s="594" t="n"/>
      <c r="I767" s="595" t="n"/>
      <c r="K767" s="594" t="n"/>
      <c r="L767" s="595" t="n"/>
      <c r="N767" s="594" t="n"/>
      <c r="O767" s="595" t="n"/>
      <c r="Q767" s="594" t="n"/>
      <c r="R767" s="595" t="n"/>
      <c r="T767" s="594" t="n"/>
      <c r="U767" s="595" t="n"/>
      <c r="W767" s="594" t="n"/>
      <c r="X767" s="595" t="n"/>
      <c r="Z767" s="594" t="n"/>
      <c r="AA767" s="595" t="n"/>
      <c r="AC767" s="594" t="n"/>
      <c r="AD767" s="595" t="n"/>
      <c r="AF767" s="594" t="n"/>
      <c r="AG767" s="595" t="n"/>
      <c r="AI767" s="594" t="n"/>
      <c r="AJ767" s="595" t="n"/>
      <c r="AL767" s="594" t="n"/>
      <c r="AM767" s="595" t="n"/>
      <c r="AO767" s="594" t="n"/>
      <c r="AP767" s="595" t="n"/>
      <c r="AR767" s="594" t="n"/>
      <c r="AS767" s="595" t="n"/>
    </row>
    <row r="768" ht="15.75" customHeight="1" s="26">
      <c r="B768" s="593" t="n"/>
      <c r="E768" s="594" t="n"/>
      <c r="F768" s="595" t="n"/>
      <c r="H768" s="594" t="n"/>
      <c r="I768" s="595" t="n"/>
      <c r="K768" s="594" t="n"/>
      <c r="L768" s="595" t="n"/>
      <c r="N768" s="594" t="n"/>
      <c r="O768" s="595" t="n"/>
      <c r="Q768" s="594" t="n"/>
      <c r="R768" s="595" t="n"/>
      <c r="T768" s="594" t="n"/>
      <c r="U768" s="595" t="n"/>
      <c r="W768" s="594" t="n"/>
      <c r="X768" s="595" t="n"/>
      <c r="Z768" s="594" t="n"/>
      <c r="AA768" s="595" t="n"/>
      <c r="AC768" s="594" t="n"/>
      <c r="AD768" s="595" t="n"/>
      <c r="AF768" s="594" t="n"/>
      <c r="AG768" s="595" t="n"/>
      <c r="AI768" s="594" t="n"/>
      <c r="AJ768" s="595" t="n"/>
      <c r="AL768" s="594" t="n"/>
      <c r="AM768" s="595" t="n"/>
      <c r="AO768" s="594" t="n"/>
      <c r="AP768" s="595" t="n"/>
      <c r="AR768" s="594" t="n"/>
      <c r="AS768" s="595" t="n"/>
    </row>
    <row r="769" ht="15.75" customHeight="1" s="26">
      <c r="B769" s="593" t="n"/>
      <c r="E769" s="594" t="n"/>
      <c r="F769" s="595" t="n"/>
      <c r="H769" s="594" t="n"/>
      <c r="I769" s="595" t="n"/>
      <c r="K769" s="594" t="n"/>
      <c r="L769" s="595" t="n"/>
      <c r="N769" s="594" t="n"/>
      <c r="O769" s="595" t="n"/>
      <c r="Q769" s="594" t="n"/>
      <c r="R769" s="595" t="n"/>
      <c r="T769" s="594" t="n"/>
      <c r="U769" s="595" t="n"/>
      <c r="W769" s="594" t="n"/>
      <c r="X769" s="595" t="n"/>
      <c r="Z769" s="594" t="n"/>
      <c r="AA769" s="595" t="n"/>
      <c r="AC769" s="594" t="n"/>
      <c r="AD769" s="595" t="n"/>
      <c r="AF769" s="594" t="n"/>
      <c r="AG769" s="595" t="n"/>
      <c r="AI769" s="594" t="n"/>
      <c r="AJ769" s="595" t="n"/>
      <c r="AL769" s="594" t="n"/>
      <c r="AM769" s="595" t="n"/>
      <c r="AO769" s="594" t="n"/>
      <c r="AP769" s="595" t="n"/>
      <c r="AR769" s="594" t="n"/>
      <c r="AS769" s="595" t="n"/>
    </row>
    <row r="770" ht="15.75" customHeight="1" s="26">
      <c r="B770" s="593" t="n"/>
      <c r="E770" s="594" t="n"/>
      <c r="F770" s="595" t="n"/>
      <c r="H770" s="594" t="n"/>
      <c r="I770" s="595" t="n"/>
      <c r="K770" s="594" t="n"/>
      <c r="L770" s="595" t="n"/>
      <c r="N770" s="594" t="n"/>
      <c r="O770" s="595" t="n"/>
      <c r="Q770" s="594" t="n"/>
      <c r="R770" s="595" t="n"/>
      <c r="T770" s="594" t="n"/>
      <c r="U770" s="595" t="n"/>
      <c r="W770" s="594" t="n"/>
      <c r="X770" s="595" t="n"/>
      <c r="Z770" s="594" t="n"/>
      <c r="AA770" s="595" t="n"/>
      <c r="AC770" s="594" t="n"/>
      <c r="AD770" s="595" t="n"/>
      <c r="AF770" s="594" t="n"/>
      <c r="AG770" s="595" t="n"/>
      <c r="AI770" s="594" t="n"/>
      <c r="AJ770" s="595" t="n"/>
      <c r="AL770" s="594" t="n"/>
      <c r="AM770" s="595" t="n"/>
      <c r="AO770" s="594" t="n"/>
      <c r="AP770" s="595" t="n"/>
      <c r="AR770" s="594" t="n"/>
      <c r="AS770" s="595" t="n"/>
    </row>
    <row r="771" ht="15.75" customHeight="1" s="26">
      <c r="B771" s="593" t="n"/>
      <c r="E771" s="594" t="n"/>
      <c r="F771" s="595" t="n"/>
      <c r="H771" s="594" t="n"/>
      <c r="I771" s="595" t="n"/>
      <c r="K771" s="594" t="n"/>
      <c r="L771" s="595" t="n"/>
      <c r="N771" s="594" t="n"/>
      <c r="O771" s="595" t="n"/>
      <c r="Q771" s="594" t="n"/>
      <c r="R771" s="595" t="n"/>
      <c r="T771" s="594" t="n"/>
      <c r="U771" s="595" t="n"/>
      <c r="W771" s="594" t="n"/>
      <c r="X771" s="595" t="n"/>
      <c r="Z771" s="594" t="n"/>
      <c r="AA771" s="595" t="n"/>
      <c r="AC771" s="594" t="n"/>
      <c r="AD771" s="595" t="n"/>
      <c r="AF771" s="594" t="n"/>
      <c r="AG771" s="595" t="n"/>
      <c r="AI771" s="594" t="n"/>
      <c r="AJ771" s="595" t="n"/>
      <c r="AL771" s="594" t="n"/>
      <c r="AM771" s="595" t="n"/>
      <c r="AO771" s="594" t="n"/>
      <c r="AP771" s="595" t="n"/>
      <c r="AR771" s="594" t="n"/>
      <c r="AS771" s="595" t="n"/>
    </row>
    <row r="772" ht="15.75" customHeight="1" s="26">
      <c r="B772" s="593" t="n"/>
      <c r="E772" s="594" t="n"/>
      <c r="F772" s="595" t="n"/>
      <c r="H772" s="594" t="n"/>
      <c r="I772" s="595" t="n"/>
      <c r="K772" s="594" t="n"/>
      <c r="L772" s="595" t="n"/>
      <c r="N772" s="594" t="n"/>
      <c r="O772" s="595" t="n"/>
      <c r="Q772" s="594" t="n"/>
      <c r="R772" s="595" t="n"/>
      <c r="T772" s="594" t="n"/>
      <c r="U772" s="595" t="n"/>
      <c r="W772" s="594" t="n"/>
      <c r="X772" s="595" t="n"/>
      <c r="Z772" s="594" t="n"/>
      <c r="AA772" s="595" t="n"/>
      <c r="AC772" s="594" t="n"/>
      <c r="AD772" s="595" t="n"/>
      <c r="AF772" s="594" t="n"/>
      <c r="AG772" s="595" t="n"/>
      <c r="AI772" s="594" t="n"/>
      <c r="AJ772" s="595" t="n"/>
      <c r="AL772" s="594" t="n"/>
      <c r="AM772" s="595" t="n"/>
      <c r="AO772" s="594" t="n"/>
      <c r="AP772" s="595" t="n"/>
      <c r="AR772" s="594" t="n"/>
      <c r="AS772" s="595" t="n"/>
    </row>
    <row r="773" ht="15.75" customHeight="1" s="26">
      <c r="B773" s="593" t="n"/>
      <c r="E773" s="594" t="n"/>
      <c r="F773" s="595" t="n"/>
      <c r="H773" s="594" t="n"/>
      <c r="I773" s="595" t="n"/>
      <c r="K773" s="594" t="n"/>
      <c r="L773" s="595" t="n"/>
      <c r="N773" s="594" t="n"/>
      <c r="O773" s="595" t="n"/>
      <c r="Q773" s="594" t="n"/>
      <c r="R773" s="595" t="n"/>
      <c r="T773" s="594" t="n"/>
      <c r="U773" s="595" t="n"/>
      <c r="W773" s="594" t="n"/>
      <c r="X773" s="595" t="n"/>
      <c r="Z773" s="594" t="n"/>
      <c r="AA773" s="595" t="n"/>
      <c r="AC773" s="594" t="n"/>
      <c r="AD773" s="595" t="n"/>
      <c r="AF773" s="594" t="n"/>
      <c r="AG773" s="595" t="n"/>
      <c r="AI773" s="594" t="n"/>
      <c r="AJ773" s="595" t="n"/>
      <c r="AL773" s="594" t="n"/>
      <c r="AM773" s="595" t="n"/>
      <c r="AO773" s="594" t="n"/>
      <c r="AP773" s="595" t="n"/>
      <c r="AR773" s="594" t="n"/>
      <c r="AS773" s="595" t="n"/>
    </row>
    <row r="774" ht="15.75" customHeight="1" s="26">
      <c r="B774" s="593" t="n"/>
      <c r="E774" s="594" t="n"/>
      <c r="F774" s="595" t="n"/>
      <c r="H774" s="594" t="n"/>
      <c r="I774" s="595" t="n"/>
      <c r="K774" s="594" t="n"/>
      <c r="L774" s="595" t="n"/>
      <c r="N774" s="594" t="n"/>
      <c r="O774" s="595" t="n"/>
      <c r="Q774" s="594" t="n"/>
      <c r="R774" s="595" t="n"/>
      <c r="T774" s="594" t="n"/>
      <c r="U774" s="595" t="n"/>
      <c r="W774" s="594" t="n"/>
      <c r="X774" s="595" t="n"/>
      <c r="Z774" s="594" t="n"/>
      <c r="AA774" s="595" t="n"/>
      <c r="AC774" s="594" t="n"/>
      <c r="AD774" s="595" t="n"/>
      <c r="AF774" s="594" t="n"/>
      <c r="AG774" s="595" t="n"/>
      <c r="AI774" s="594" t="n"/>
      <c r="AJ774" s="595" t="n"/>
      <c r="AL774" s="594" t="n"/>
      <c r="AM774" s="595" t="n"/>
      <c r="AO774" s="594" t="n"/>
      <c r="AP774" s="595" t="n"/>
      <c r="AR774" s="594" t="n"/>
      <c r="AS774" s="595" t="n"/>
    </row>
    <row r="775" ht="15.75" customHeight="1" s="26">
      <c r="B775" s="593" t="n"/>
      <c r="E775" s="594" t="n"/>
      <c r="F775" s="595" t="n"/>
      <c r="H775" s="594" t="n"/>
      <c r="I775" s="595" t="n"/>
      <c r="K775" s="594" t="n"/>
      <c r="L775" s="595" t="n"/>
      <c r="N775" s="594" t="n"/>
      <c r="O775" s="595" t="n"/>
      <c r="Q775" s="594" t="n"/>
      <c r="R775" s="595" t="n"/>
      <c r="T775" s="594" t="n"/>
      <c r="U775" s="595" t="n"/>
      <c r="W775" s="594" t="n"/>
      <c r="X775" s="595" t="n"/>
      <c r="Z775" s="594" t="n"/>
      <c r="AA775" s="595" t="n"/>
      <c r="AC775" s="594" t="n"/>
      <c r="AD775" s="595" t="n"/>
      <c r="AF775" s="594" t="n"/>
      <c r="AG775" s="595" t="n"/>
      <c r="AI775" s="594" t="n"/>
      <c r="AJ775" s="595" t="n"/>
      <c r="AL775" s="594" t="n"/>
      <c r="AM775" s="595" t="n"/>
      <c r="AO775" s="594" t="n"/>
      <c r="AP775" s="595" t="n"/>
      <c r="AR775" s="594" t="n"/>
      <c r="AS775" s="595" t="n"/>
    </row>
    <row r="776" ht="15.75" customHeight="1" s="26">
      <c r="B776" s="593" t="n"/>
      <c r="E776" s="594" t="n"/>
      <c r="F776" s="595" t="n"/>
      <c r="H776" s="594" t="n"/>
      <c r="I776" s="595" t="n"/>
      <c r="K776" s="594" t="n"/>
      <c r="L776" s="595" t="n"/>
      <c r="N776" s="594" t="n"/>
      <c r="O776" s="595" t="n"/>
      <c r="Q776" s="594" t="n"/>
      <c r="R776" s="595" t="n"/>
      <c r="T776" s="594" t="n"/>
      <c r="U776" s="595" t="n"/>
      <c r="W776" s="594" t="n"/>
      <c r="X776" s="595" t="n"/>
      <c r="Z776" s="594" t="n"/>
      <c r="AA776" s="595" t="n"/>
      <c r="AC776" s="594" t="n"/>
      <c r="AD776" s="595" t="n"/>
      <c r="AF776" s="594" t="n"/>
      <c r="AG776" s="595" t="n"/>
      <c r="AI776" s="594" t="n"/>
      <c r="AJ776" s="595" t="n"/>
      <c r="AL776" s="594" t="n"/>
      <c r="AM776" s="595" t="n"/>
      <c r="AO776" s="594" t="n"/>
      <c r="AP776" s="595" t="n"/>
      <c r="AR776" s="594" t="n"/>
      <c r="AS776" s="595" t="n"/>
    </row>
    <row r="777" ht="15.75" customHeight="1" s="26">
      <c r="B777" s="593" t="n"/>
      <c r="E777" s="594" t="n"/>
      <c r="F777" s="595" t="n"/>
      <c r="H777" s="594" t="n"/>
      <c r="I777" s="595" t="n"/>
      <c r="K777" s="594" t="n"/>
      <c r="L777" s="595" t="n"/>
      <c r="N777" s="594" t="n"/>
      <c r="O777" s="595" t="n"/>
      <c r="Q777" s="594" t="n"/>
      <c r="R777" s="595" t="n"/>
      <c r="T777" s="594" t="n"/>
      <c r="U777" s="595" t="n"/>
      <c r="W777" s="594" t="n"/>
      <c r="X777" s="595" t="n"/>
      <c r="Z777" s="594" t="n"/>
      <c r="AA777" s="595" t="n"/>
      <c r="AC777" s="594" t="n"/>
      <c r="AD777" s="595" t="n"/>
      <c r="AF777" s="594" t="n"/>
      <c r="AG777" s="595" t="n"/>
      <c r="AI777" s="594" t="n"/>
      <c r="AJ777" s="595" t="n"/>
      <c r="AL777" s="594" t="n"/>
      <c r="AM777" s="595" t="n"/>
      <c r="AO777" s="594" t="n"/>
      <c r="AP777" s="595" t="n"/>
      <c r="AR777" s="594" t="n"/>
      <c r="AS777" s="595" t="n"/>
    </row>
    <row r="778" ht="15.75" customHeight="1" s="26">
      <c r="B778" s="593" t="n"/>
      <c r="E778" s="594" t="n"/>
      <c r="F778" s="595" t="n"/>
      <c r="H778" s="594" t="n"/>
      <c r="I778" s="595" t="n"/>
      <c r="K778" s="594" t="n"/>
      <c r="L778" s="595" t="n"/>
      <c r="N778" s="594" t="n"/>
      <c r="O778" s="595" t="n"/>
      <c r="Q778" s="594" t="n"/>
      <c r="R778" s="595" t="n"/>
      <c r="T778" s="594" t="n"/>
      <c r="U778" s="595" t="n"/>
      <c r="W778" s="594" t="n"/>
      <c r="X778" s="595" t="n"/>
      <c r="Z778" s="594" t="n"/>
      <c r="AA778" s="595" t="n"/>
      <c r="AC778" s="594" t="n"/>
      <c r="AD778" s="595" t="n"/>
      <c r="AF778" s="594" t="n"/>
      <c r="AG778" s="595" t="n"/>
      <c r="AI778" s="594" t="n"/>
      <c r="AJ778" s="595" t="n"/>
      <c r="AL778" s="594" t="n"/>
      <c r="AM778" s="595" t="n"/>
      <c r="AO778" s="594" t="n"/>
      <c r="AP778" s="595" t="n"/>
      <c r="AR778" s="594" t="n"/>
      <c r="AS778" s="595" t="n"/>
    </row>
    <row r="779" ht="15.75" customHeight="1" s="26">
      <c r="B779" s="593" t="n"/>
      <c r="E779" s="594" t="n"/>
      <c r="F779" s="595" t="n"/>
      <c r="H779" s="594" t="n"/>
      <c r="I779" s="595" t="n"/>
      <c r="K779" s="594" t="n"/>
      <c r="L779" s="595" t="n"/>
      <c r="N779" s="594" t="n"/>
      <c r="O779" s="595" t="n"/>
      <c r="Q779" s="594" t="n"/>
      <c r="R779" s="595" t="n"/>
      <c r="T779" s="594" t="n"/>
      <c r="U779" s="595" t="n"/>
      <c r="W779" s="594" t="n"/>
      <c r="X779" s="595" t="n"/>
      <c r="Z779" s="594" t="n"/>
      <c r="AA779" s="595" t="n"/>
      <c r="AC779" s="594" t="n"/>
      <c r="AD779" s="595" t="n"/>
      <c r="AF779" s="594" t="n"/>
      <c r="AG779" s="595" t="n"/>
      <c r="AI779" s="594" t="n"/>
      <c r="AJ779" s="595" t="n"/>
      <c r="AL779" s="594" t="n"/>
      <c r="AM779" s="595" t="n"/>
      <c r="AO779" s="594" t="n"/>
      <c r="AP779" s="595" t="n"/>
      <c r="AR779" s="594" t="n"/>
      <c r="AS779" s="595" t="n"/>
    </row>
    <row r="780" ht="15.75" customHeight="1" s="26">
      <c r="B780" s="593" t="n"/>
      <c r="E780" s="594" t="n"/>
      <c r="F780" s="595" t="n"/>
      <c r="H780" s="594" t="n"/>
      <c r="I780" s="595" t="n"/>
      <c r="K780" s="594" t="n"/>
      <c r="L780" s="595" t="n"/>
      <c r="N780" s="594" t="n"/>
      <c r="O780" s="595" t="n"/>
      <c r="Q780" s="594" t="n"/>
      <c r="R780" s="595" t="n"/>
      <c r="T780" s="594" t="n"/>
      <c r="U780" s="595" t="n"/>
      <c r="W780" s="594" t="n"/>
      <c r="X780" s="595" t="n"/>
      <c r="Z780" s="594" t="n"/>
      <c r="AA780" s="595" t="n"/>
      <c r="AC780" s="594" t="n"/>
      <c r="AD780" s="595" t="n"/>
      <c r="AF780" s="594" t="n"/>
      <c r="AG780" s="595" t="n"/>
      <c r="AI780" s="594" t="n"/>
      <c r="AJ780" s="595" t="n"/>
      <c r="AL780" s="594" t="n"/>
      <c r="AM780" s="595" t="n"/>
      <c r="AO780" s="594" t="n"/>
      <c r="AP780" s="595" t="n"/>
      <c r="AR780" s="594" t="n"/>
      <c r="AS780" s="595" t="n"/>
    </row>
    <row r="781" ht="15.75" customHeight="1" s="26">
      <c r="B781" s="593" t="n"/>
      <c r="E781" s="594" t="n"/>
      <c r="F781" s="595" t="n"/>
      <c r="H781" s="594" t="n"/>
      <c r="I781" s="595" t="n"/>
      <c r="K781" s="594" t="n"/>
      <c r="L781" s="595" t="n"/>
      <c r="N781" s="594" t="n"/>
      <c r="O781" s="595" t="n"/>
      <c r="Q781" s="594" t="n"/>
      <c r="R781" s="595" t="n"/>
      <c r="T781" s="594" t="n"/>
      <c r="U781" s="595" t="n"/>
      <c r="W781" s="594" t="n"/>
      <c r="X781" s="595" t="n"/>
      <c r="Z781" s="594" t="n"/>
      <c r="AA781" s="595" t="n"/>
      <c r="AC781" s="594" t="n"/>
      <c r="AD781" s="595" t="n"/>
      <c r="AF781" s="594" t="n"/>
      <c r="AG781" s="595" t="n"/>
      <c r="AI781" s="594" t="n"/>
      <c r="AJ781" s="595" t="n"/>
      <c r="AL781" s="594" t="n"/>
      <c r="AM781" s="595" t="n"/>
      <c r="AO781" s="594" t="n"/>
      <c r="AP781" s="595" t="n"/>
      <c r="AR781" s="594" t="n"/>
      <c r="AS781" s="595" t="n"/>
    </row>
    <row r="782" ht="15.75" customHeight="1" s="26">
      <c r="B782" s="593" t="n"/>
      <c r="E782" s="594" t="n"/>
      <c r="F782" s="595" t="n"/>
      <c r="H782" s="594" t="n"/>
      <c r="I782" s="595" t="n"/>
      <c r="K782" s="594" t="n"/>
      <c r="L782" s="595" t="n"/>
      <c r="N782" s="594" t="n"/>
      <c r="O782" s="595" t="n"/>
      <c r="Q782" s="594" t="n"/>
      <c r="R782" s="595" t="n"/>
      <c r="T782" s="594" t="n"/>
      <c r="U782" s="595" t="n"/>
      <c r="W782" s="594" t="n"/>
      <c r="X782" s="595" t="n"/>
      <c r="Z782" s="594" t="n"/>
      <c r="AA782" s="595" t="n"/>
      <c r="AC782" s="594" t="n"/>
      <c r="AD782" s="595" t="n"/>
      <c r="AF782" s="594" t="n"/>
      <c r="AG782" s="595" t="n"/>
      <c r="AI782" s="594" t="n"/>
      <c r="AJ782" s="595" t="n"/>
      <c r="AL782" s="594" t="n"/>
      <c r="AM782" s="595" t="n"/>
      <c r="AO782" s="594" t="n"/>
      <c r="AP782" s="595" t="n"/>
      <c r="AR782" s="594" t="n"/>
      <c r="AS782" s="595" t="n"/>
    </row>
    <row r="783" ht="15.75" customHeight="1" s="26">
      <c r="B783" s="593" t="n"/>
      <c r="E783" s="594" t="n"/>
      <c r="F783" s="595" t="n"/>
      <c r="H783" s="594" t="n"/>
      <c r="I783" s="595" t="n"/>
      <c r="K783" s="594" t="n"/>
      <c r="L783" s="595" t="n"/>
      <c r="N783" s="594" t="n"/>
      <c r="O783" s="595" t="n"/>
      <c r="Q783" s="594" t="n"/>
      <c r="R783" s="595" t="n"/>
      <c r="T783" s="594" t="n"/>
      <c r="U783" s="595" t="n"/>
      <c r="W783" s="594" t="n"/>
      <c r="X783" s="595" t="n"/>
      <c r="Z783" s="594" t="n"/>
      <c r="AA783" s="595" t="n"/>
      <c r="AC783" s="594" t="n"/>
      <c r="AD783" s="595" t="n"/>
      <c r="AF783" s="594" t="n"/>
      <c r="AG783" s="595" t="n"/>
      <c r="AI783" s="594" t="n"/>
      <c r="AJ783" s="595" t="n"/>
      <c r="AL783" s="594" t="n"/>
      <c r="AM783" s="595" t="n"/>
      <c r="AO783" s="594" t="n"/>
      <c r="AP783" s="595" t="n"/>
      <c r="AR783" s="594" t="n"/>
      <c r="AS783" s="595" t="n"/>
    </row>
    <row r="784" ht="15.75" customHeight="1" s="26">
      <c r="B784" s="593" t="n"/>
      <c r="E784" s="594" t="n"/>
      <c r="F784" s="595" t="n"/>
      <c r="H784" s="594" t="n"/>
      <c r="I784" s="595" t="n"/>
      <c r="K784" s="594" t="n"/>
      <c r="L784" s="595" t="n"/>
      <c r="N784" s="594" t="n"/>
      <c r="O784" s="595" t="n"/>
      <c r="Q784" s="594" t="n"/>
      <c r="R784" s="595" t="n"/>
      <c r="T784" s="594" t="n"/>
      <c r="U784" s="595" t="n"/>
      <c r="W784" s="594" t="n"/>
      <c r="X784" s="595" t="n"/>
      <c r="Z784" s="594" t="n"/>
      <c r="AA784" s="595" t="n"/>
      <c r="AC784" s="594" t="n"/>
      <c r="AD784" s="595" t="n"/>
      <c r="AF784" s="594" t="n"/>
      <c r="AG784" s="595" t="n"/>
      <c r="AI784" s="594" t="n"/>
      <c r="AJ784" s="595" t="n"/>
      <c r="AL784" s="594" t="n"/>
      <c r="AM784" s="595" t="n"/>
      <c r="AO784" s="594" t="n"/>
      <c r="AP784" s="595" t="n"/>
      <c r="AR784" s="594" t="n"/>
      <c r="AS784" s="595" t="n"/>
    </row>
    <row r="785" ht="15.75" customHeight="1" s="26">
      <c r="B785" s="593" t="n"/>
      <c r="E785" s="594" t="n"/>
      <c r="F785" s="595" t="n"/>
      <c r="H785" s="594" t="n"/>
      <c r="I785" s="595" t="n"/>
      <c r="K785" s="594" t="n"/>
      <c r="L785" s="595" t="n"/>
      <c r="N785" s="594" t="n"/>
      <c r="O785" s="595" t="n"/>
      <c r="Q785" s="594" t="n"/>
      <c r="R785" s="595" t="n"/>
      <c r="T785" s="594" t="n"/>
      <c r="U785" s="595" t="n"/>
      <c r="W785" s="594" t="n"/>
      <c r="X785" s="595" t="n"/>
      <c r="Z785" s="594" t="n"/>
      <c r="AA785" s="595" t="n"/>
      <c r="AC785" s="594" t="n"/>
      <c r="AD785" s="595" t="n"/>
      <c r="AF785" s="594" t="n"/>
      <c r="AG785" s="595" t="n"/>
      <c r="AI785" s="594" t="n"/>
      <c r="AJ785" s="595" t="n"/>
      <c r="AL785" s="594" t="n"/>
      <c r="AM785" s="595" t="n"/>
      <c r="AO785" s="594" t="n"/>
      <c r="AP785" s="595" t="n"/>
      <c r="AR785" s="594" t="n"/>
      <c r="AS785" s="595" t="n"/>
    </row>
    <row r="786" ht="15.75" customHeight="1" s="26">
      <c r="B786" s="593" t="n"/>
      <c r="E786" s="594" t="n"/>
      <c r="F786" s="595" t="n"/>
      <c r="H786" s="594" t="n"/>
      <c r="I786" s="595" t="n"/>
      <c r="K786" s="594" t="n"/>
      <c r="L786" s="595" t="n"/>
      <c r="N786" s="594" t="n"/>
      <c r="O786" s="595" t="n"/>
      <c r="Q786" s="594" t="n"/>
      <c r="R786" s="595" t="n"/>
      <c r="T786" s="594" t="n"/>
      <c r="U786" s="595" t="n"/>
      <c r="W786" s="594" t="n"/>
      <c r="X786" s="595" t="n"/>
      <c r="Z786" s="594" t="n"/>
      <c r="AA786" s="595" t="n"/>
      <c r="AC786" s="594" t="n"/>
      <c r="AD786" s="595" t="n"/>
      <c r="AF786" s="594" t="n"/>
      <c r="AG786" s="595" t="n"/>
      <c r="AI786" s="594" t="n"/>
      <c r="AJ786" s="595" t="n"/>
      <c r="AL786" s="594" t="n"/>
      <c r="AM786" s="595" t="n"/>
      <c r="AO786" s="594" t="n"/>
      <c r="AP786" s="595" t="n"/>
      <c r="AR786" s="594" t="n"/>
      <c r="AS786" s="595" t="n"/>
    </row>
    <row r="787" ht="15.75" customHeight="1" s="26">
      <c r="B787" s="593" t="n"/>
      <c r="E787" s="594" t="n"/>
      <c r="F787" s="595" t="n"/>
      <c r="H787" s="594" t="n"/>
      <c r="I787" s="595" t="n"/>
      <c r="K787" s="594" t="n"/>
      <c r="L787" s="595" t="n"/>
      <c r="N787" s="594" t="n"/>
      <c r="O787" s="595" t="n"/>
      <c r="Q787" s="594" t="n"/>
      <c r="R787" s="595" t="n"/>
      <c r="T787" s="594" t="n"/>
      <c r="U787" s="595" t="n"/>
      <c r="W787" s="594" t="n"/>
      <c r="X787" s="595" t="n"/>
      <c r="Z787" s="594" t="n"/>
      <c r="AA787" s="595" t="n"/>
      <c r="AC787" s="594" t="n"/>
      <c r="AD787" s="595" t="n"/>
      <c r="AF787" s="594" t="n"/>
      <c r="AG787" s="595" t="n"/>
      <c r="AI787" s="594" t="n"/>
      <c r="AJ787" s="595" t="n"/>
      <c r="AL787" s="594" t="n"/>
      <c r="AM787" s="595" t="n"/>
      <c r="AO787" s="594" t="n"/>
      <c r="AP787" s="595" t="n"/>
      <c r="AR787" s="594" t="n"/>
      <c r="AS787" s="595" t="n"/>
    </row>
    <row r="788" ht="15.75" customHeight="1" s="26">
      <c r="B788" s="593" t="n"/>
      <c r="E788" s="594" t="n"/>
      <c r="F788" s="595" t="n"/>
      <c r="H788" s="594" t="n"/>
      <c r="I788" s="595" t="n"/>
      <c r="K788" s="594" t="n"/>
      <c r="L788" s="595" t="n"/>
      <c r="N788" s="594" t="n"/>
      <c r="O788" s="595" t="n"/>
      <c r="Q788" s="594" t="n"/>
      <c r="R788" s="595" t="n"/>
      <c r="T788" s="594" t="n"/>
      <c r="U788" s="595" t="n"/>
      <c r="W788" s="594" t="n"/>
      <c r="X788" s="595" t="n"/>
      <c r="Z788" s="594" t="n"/>
      <c r="AA788" s="595" t="n"/>
      <c r="AC788" s="594" t="n"/>
      <c r="AD788" s="595" t="n"/>
      <c r="AF788" s="594" t="n"/>
      <c r="AG788" s="595" t="n"/>
      <c r="AI788" s="594" t="n"/>
      <c r="AJ788" s="595" t="n"/>
      <c r="AL788" s="594" t="n"/>
      <c r="AM788" s="595" t="n"/>
      <c r="AO788" s="594" t="n"/>
      <c r="AP788" s="595" t="n"/>
      <c r="AR788" s="594" t="n"/>
      <c r="AS788" s="595" t="n"/>
    </row>
    <row r="789" ht="15.75" customHeight="1" s="26">
      <c r="B789" s="593" t="n"/>
      <c r="E789" s="594" t="n"/>
      <c r="F789" s="595" t="n"/>
      <c r="H789" s="594" t="n"/>
      <c r="I789" s="595" t="n"/>
      <c r="K789" s="594" t="n"/>
      <c r="L789" s="595" t="n"/>
      <c r="N789" s="594" t="n"/>
      <c r="O789" s="595" t="n"/>
      <c r="Q789" s="594" t="n"/>
      <c r="R789" s="595" t="n"/>
      <c r="T789" s="594" t="n"/>
      <c r="U789" s="595" t="n"/>
      <c r="W789" s="594" t="n"/>
      <c r="X789" s="595" t="n"/>
      <c r="Z789" s="594" t="n"/>
      <c r="AA789" s="595" t="n"/>
      <c r="AC789" s="594" t="n"/>
      <c r="AD789" s="595" t="n"/>
      <c r="AF789" s="594" t="n"/>
      <c r="AG789" s="595" t="n"/>
      <c r="AI789" s="594" t="n"/>
      <c r="AJ789" s="595" t="n"/>
      <c r="AL789" s="594" t="n"/>
      <c r="AM789" s="595" t="n"/>
      <c r="AO789" s="594" t="n"/>
      <c r="AP789" s="595" t="n"/>
      <c r="AR789" s="594" t="n"/>
      <c r="AS789" s="595" t="n"/>
    </row>
    <row r="790" ht="15.75" customHeight="1" s="26">
      <c r="B790" s="593" t="n"/>
      <c r="E790" s="594" t="n"/>
      <c r="F790" s="595" t="n"/>
      <c r="H790" s="594" t="n"/>
      <c r="I790" s="595" t="n"/>
      <c r="K790" s="594" t="n"/>
      <c r="L790" s="595" t="n"/>
      <c r="N790" s="594" t="n"/>
      <c r="O790" s="595" t="n"/>
      <c r="Q790" s="594" t="n"/>
      <c r="R790" s="595" t="n"/>
      <c r="T790" s="594" t="n"/>
      <c r="U790" s="595" t="n"/>
      <c r="W790" s="594" t="n"/>
      <c r="X790" s="595" t="n"/>
      <c r="Z790" s="594" t="n"/>
      <c r="AA790" s="595" t="n"/>
      <c r="AC790" s="594" t="n"/>
      <c r="AD790" s="595" t="n"/>
      <c r="AF790" s="594" t="n"/>
      <c r="AG790" s="595" t="n"/>
      <c r="AI790" s="594" t="n"/>
      <c r="AJ790" s="595" t="n"/>
      <c r="AL790" s="594" t="n"/>
      <c r="AM790" s="595" t="n"/>
      <c r="AO790" s="594" t="n"/>
      <c r="AP790" s="595" t="n"/>
      <c r="AR790" s="594" t="n"/>
      <c r="AS790" s="595" t="n"/>
    </row>
    <row r="791" ht="15.75" customHeight="1" s="26">
      <c r="B791" s="593" t="n"/>
      <c r="E791" s="594" t="n"/>
      <c r="F791" s="595" t="n"/>
      <c r="H791" s="594" t="n"/>
      <c r="I791" s="595" t="n"/>
      <c r="K791" s="594" t="n"/>
      <c r="L791" s="595" t="n"/>
      <c r="N791" s="594" t="n"/>
      <c r="O791" s="595" t="n"/>
      <c r="Q791" s="594" t="n"/>
      <c r="R791" s="595" t="n"/>
      <c r="T791" s="594" t="n"/>
      <c r="U791" s="595" t="n"/>
      <c r="W791" s="594" t="n"/>
      <c r="X791" s="595" t="n"/>
      <c r="Z791" s="594" t="n"/>
      <c r="AA791" s="595" t="n"/>
      <c r="AC791" s="594" t="n"/>
      <c r="AD791" s="595" t="n"/>
      <c r="AF791" s="594" t="n"/>
      <c r="AG791" s="595" t="n"/>
      <c r="AI791" s="594" t="n"/>
      <c r="AJ791" s="595" t="n"/>
      <c r="AL791" s="594" t="n"/>
      <c r="AM791" s="595" t="n"/>
      <c r="AO791" s="594" t="n"/>
      <c r="AP791" s="595" t="n"/>
      <c r="AR791" s="594" t="n"/>
      <c r="AS791" s="595" t="n"/>
    </row>
    <row r="792" ht="15.75" customHeight="1" s="26">
      <c r="B792" s="593" t="n"/>
      <c r="E792" s="594" t="n"/>
      <c r="F792" s="595" t="n"/>
      <c r="H792" s="594" t="n"/>
      <c r="I792" s="595" t="n"/>
      <c r="K792" s="594" t="n"/>
      <c r="L792" s="595" t="n"/>
      <c r="N792" s="594" t="n"/>
      <c r="O792" s="595" t="n"/>
      <c r="Q792" s="594" t="n"/>
      <c r="R792" s="595" t="n"/>
      <c r="T792" s="594" t="n"/>
      <c r="U792" s="595" t="n"/>
      <c r="W792" s="594" t="n"/>
      <c r="X792" s="595" t="n"/>
      <c r="Z792" s="594" t="n"/>
      <c r="AA792" s="595" t="n"/>
      <c r="AC792" s="594" t="n"/>
      <c r="AD792" s="595" t="n"/>
      <c r="AF792" s="594" t="n"/>
      <c r="AG792" s="595" t="n"/>
      <c r="AI792" s="594" t="n"/>
      <c r="AJ792" s="595" t="n"/>
      <c r="AL792" s="594" t="n"/>
      <c r="AM792" s="595" t="n"/>
      <c r="AO792" s="594" t="n"/>
      <c r="AP792" s="595" t="n"/>
      <c r="AR792" s="594" t="n"/>
      <c r="AS792" s="595" t="n"/>
    </row>
    <row r="793" ht="15.75" customHeight="1" s="26">
      <c r="B793" s="593" t="n"/>
      <c r="E793" s="594" t="n"/>
      <c r="F793" s="595" t="n"/>
      <c r="H793" s="594" t="n"/>
      <c r="I793" s="595" t="n"/>
      <c r="K793" s="594" t="n"/>
      <c r="L793" s="595" t="n"/>
      <c r="N793" s="594" t="n"/>
      <c r="O793" s="595" t="n"/>
      <c r="Q793" s="594" t="n"/>
      <c r="R793" s="595" t="n"/>
      <c r="T793" s="594" t="n"/>
      <c r="U793" s="595" t="n"/>
      <c r="W793" s="594" t="n"/>
      <c r="X793" s="595" t="n"/>
      <c r="Z793" s="594" t="n"/>
      <c r="AA793" s="595" t="n"/>
      <c r="AC793" s="594" t="n"/>
      <c r="AD793" s="595" t="n"/>
      <c r="AF793" s="594" t="n"/>
      <c r="AG793" s="595" t="n"/>
      <c r="AI793" s="594" t="n"/>
      <c r="AJ793" s="595" t="n"/>
      <c r="AL793" s="594" t="n"/>
      <c r="AM793" s="595" t="n"/>
      <c r="AO793" s="594" t="n"/>
      <c r="AP793" s="595" t="n"/>
      <c r="AR793" s="594" t="n"/>
      <c r="AS793" s="595" t="n"/>
    </row>
    <row r="794" ht="15.75" customHeight="1" s="26">
      <c r="B794" s="593" t="n"/>
      <c r="E794" s="594" t="n"/>
      <c r="F794" s="595" t="n"/>
      <c r="H794" s="594" t="n"/>
      <c r="I794" s="595" t="n"/>
      <c r="K794" s="594" t="n"/>
      <c r="L794" s="595" t="n"/>
      <c r="N794" s="594" t="n"/>
      <c r="O794" s="595" t="n"/>
      <c r="Q794" s="594" t="n"/>
      <c r="R794" s="595" t="n"/>
      <c r="T794" s="594" t="n"/>
      <c r="U794" s="595" t="n"/>
      <c r="W794" s="594" t="n"/>
      <c r="X794" s="595" t="n"/>
      <c r="Z794" s="594" t="n"/>
      <c r="AA794" s="595" t="n"/>
      <c r="AC794" s="594" t="n"/>
      <c r="AD794" s="595" t="n"/>
      <c r="AF794" s="594" t="n"/>
      <c r="AG794" s="595" t="n"/>
      <c r="AI794" s="594" t="n"/>
      <c r="AJ794" s="595" t="n"/>
      <c r="AL794" s="594" t="n"/>
      <c r="AM794" s="595" t="n"/>
      <c r="AO794" s="594" t="n"/>
      <c r="AP794" s="595" t="n"/>
      <c r="AR794" s="594" t="n"/>
      <c r="AS794" s="595" t="n"/>
    </row>
    <row r="795" ht="15.75" customHeight="1" s="26">
      <c r="B795" s="593" t="n"/>
      <c r="E795" s="594" t="n"/>
      <c r="F795" s="595" t="n"/>
      <c r="H795" s="594" t="n"/>
      <c r="I795" s="595" t="n"/>
      <c r="K795" s="594" t="n"/>
      <c r="L795" s="595" t="n"/>
      <c r="N795" s="594" t="n"/>
      <c r="O795" s="595" t="n"/>
      <c r="Q795" s="594" t="n"/>
      <c r="R795" s="595" t="n"/>
      <c r="T795" s="594" t="n"/>
      <c r="U795" s="595" t="n"/>
      <c r="W795" s="594" t="n"/>
      <c r="X795" s="595" t="n"/>
      <c r="Z795" s="594" t="n"/>
      <c r="AA795" s="595" t="n"/>
      <c r="AC795" s="594" t="n"/>
      <c r="AD795" s="595" t="n"/>
      <c r="AF795" s="594" t="n"/>
      <c r="AG795" s="595" t="n"/>
      <c r="AI795" s="594" t="n"/>
      <c r="AJ795" s="595" t="n"/>
      <c r="AL795" s="594" t="n"/>
      <c r="AM795" s="595" t="n"/>
      <c r="AO795" s="594" t="n"/>
      <c r="AP795" s="595" t="n"/>
      <c r="AR795" s="594" t="n"/>
      <c r="AS795" s="595" t="n"/>
    </row>
    <row r="796" ht="15.75" customHeight="1" s="26">
      <c r="B796" s="593" t="n"/>
      <c r="E796" s="594" t="n"/>
      <c r="F796" s="595" t="n"/>
      <c r="H796" s="594" t="n"/>
      <c r="I796" s="595" t="n"/>
      <c r="K796" s="594" t="n"/>
      <c r="L796" s="595" t="n"/>
      <c r="N796" s="594" t="n"/>
      <c r="O796" s="595" t="n"/>
      <c r="Q796" s="594" t="n"/>
      <c r="R796" s="595" t="n"/>
      <c r="T796" s="594" t="n"/>
      <c r="U796" s="595" t="n"/>
      <c r="W796" s="594" t="n"/>
      <c r="X796" s="595" t="n"/>
      <c r="Z796" s="594" t="n"/>
      <c r="AA796" s="595" t="n"/>
      <c r="AC796" s="594" t="n"/>
      <c r="AD796" s="595" t="n"/>
      <c r="AF796" s="594" t="n"/>
      <c r="AG796" s="595" t="n"/>
      <c r="AI796" s="594" t="n"/>
      <c r="AJ796" s="595" t="n"/>
      <c r="AL796" s="594" t="n"/>
      <c r="AM796" s="595" t="n"/>
      <c r="AO796" s="594" t="n"/>
      <c r="AP796" s="595" t="n"/>
      <c r="AR796" s="594" t="n"/>
      <c r="AS796" s="595" t="n"/>
    </row>
    <row r="797" ht="15.75" customHeight="1" s="26">
      <c r="B797" s="593" t="n"/>
      <c r="E797" s="594" t="n"/>
      <c r="F797" s="595" t="n"/>
      <c r="H797" s="594" t="n"/>
      <c r="I797" s="595" t="n"/>
      <c r="K797" s="594" t="n"/>
      <c r="L797" s="595" t="n"/>
      <c r="N797" s="594" t="n"/>
      <c r="O797" s="595" t="n"/>
      <c r="Q797" s="594" t="n"/>
      <c r="R797" s="595" t="n"/>
      <c r="T797" s="594" t="n"/>
      <c r="U797" s="595" t="n"/>
      <c r="W797" s="594" t="n"/>
      <c r="X797" s="595" t="n"/>
      <c r="Z797" s="594" t="n"/>
      <c r="AA797" s="595" t="n"/>
      <c r="AC797" s="594" t="n"/>
      <c r="AD797" s="595" t="n"/>
      <c r="AF797" s="594" t="n"/>
      <c r="AG797" s="595" t="n"/>
      <c r="AI797" s="594" t="n"/>
      <c r="AJ797" s="595" t="n"/>
      <c r="AL797" s="594" t="n"/>
      <c r="AM797" s="595" t="n"/>
      <c r="AO797" s="594" t="n"/>
      <c r="AP797" s="595" t="n"/>
      <c r="AR797" s="594" t="n"/>
      <c r="AS797" s="595" t="n"/>
    </row>
    <row r="798" ht="15.75" customHeight="1" s="26">
      <c r="B798" s="593" t="n"/>
      <c r="E798" s="594" t="n"/>
      <c r="F798" s="595" t="n"/>
      <c r="H798" s="594" t="n"/>
      <c r="I798" s="595" t="n"/>
      <c r="K798" s="594" t="n"/>
      <c r="L798" s="595" t="n"/>
      <c r="N798" s="594" t="n"/>
      <c r="O798" s="595" t="n"/>
      <c r="Q798" s="594" t="n"/>
      <c r="R798" s="595" t="n"/>
      <c r="T798" s="594" t="n"/>
      <c r="U798" s="595" t="n"/>
      <c r="W798" s="594" t="n"/>
      <c r="X798" s="595" t="n"/>
      <c r="Z798" s="594" t="n"/>
      <c r="AA798" s="595" t="n"/>
      <c r="AC798" s="594" t="n"/>
      <c r="AD798" s="595" t="n"/>
      <c r="AF798" s="594" t="n"/>
      <c r="AG798" s="595" t="n"/>
      <c r="AI798" s="594" t="n"/>
      <c r="AJ798" s="595" t="n"/>
      <c r="AL798" s="594" t="n"/>
      <c r="AM798" s="595" t="n"/>
      <c r="AO798" s="594" t="n"/>
      <c r="AP798" s="595" t="n"/>
      <c r="AR798" s="594" t="n"/>
      <c r="AS798" s="595" t="n"/>
    </row>
    <row r="799" ht="15.75" customHeight="1" s="26">
      <c r="B799" s="593" t="n"/>
      <c r="E799" s="594" t="n"/>
      <c r="F799" s="595" t="n"/>
      <c r="H799" s="594" t="n"/>
      <c r="I799" s="595" t="n"/>
      <c r="K799" s="594" t="n"/>
      <c r="L799" s="595" t="n"/>
      <c r="N799" s="594" t="n"/>
      <c r="O799" s="595" t="n"/>
      <c r="Q799" s="594" t="n"/>
      <c r="R799" s="595" t="n"/>
      <c r="T799" s="594" t="n"/>
      <c r="U799" s="595" t="n"/>
      <c r="W799" s="594" t="n"/>
      <c r="X799" s="595" t="n"/>
      <c r="Z799" s="594" t="n"/>
      <c r="AA799" s="595" t="n"/>
      <c r="AC799" s="594" t="n"/>
      <c r="AD799" s="595" t="n"/>
      <c r="AF799" s="594" t="n"/>
      <c r="AG799" s="595" t="n"/>
      <c r="AI799" s="594" t="n"/>
      <c r="AJ799" s="595" t="n"/>
      <c r="AL799" s="594" t="n"/>
      <c r="AM799" s="595" t="n"/>
      <c r="AO799" s="594" t="n"/>
      <c r="AP799" s="595" t="n"/>
      <c r="AR799" s="594" t="n"/>
      <c r="AS799" s="595" t="n"/>
    </row>
    <row r="800" ht="15.75" customHeight="1" s="26">
      <c r="B800" s="593" t="n"/>
      <c r="E800" s="594" t="n"/>
      <c r="F800" s="595" t="n"/>
      <c r="H800" s="594" t="n"/>
      <c r="I800" s="595" t="n"/>
      <c r="K800" s="594" t="n"/>
      <c r="L800" s="595" t="n"/>
      <c r="N800" s="594" t="n"/>
      <c r="O800" s="595" t="n"/>
      <c r="Q800" s="594" t="n"/>
      <c r="R800" s="595" t="n"/>
      <c r="T800" s="594" t="n"/>
      <c r="U800" s="595" t="n"/>
      <c r="W800" s="594" t="n"/>
      <c r="X800" s="595" t="n"/>
      <c r="Z800" s="594" t="n"/>
      <c r="AA800" s="595" t="n"/>
      <c r="AC800" s="594" t="n"/>
      <c r="AD800" s="595" t="n"/>
      <c r="AF800" s="594" t="n"/>
      <c r="AG800" s="595" t="n"/>
      <c r="AI800" s="594" t="n"/>
      <c r="AJ800" s="595" t="n"/>
      <c r="AL800" s="594" t="n"/>
      <c r="AM800" s="595" t="n"/>
      <c r="AO800" s="594" t="n"/>
      <c r="AP800" s="595" t="n"/>
      <c r="AR800" s="594" t="n"/>
      <c r="AS800" s="595" t="n"/>
    </row>
    <row r="801" ht="15.75" customHeight="1" s="26">
      <c r="B801" s="593" t="n"/>
      <c r="E801" s="594" t="n"/>
      <c r="F801" s="595" t="n"/>
      <c r="H801" s="594" t="n"/>
      <c r="I801" s="595" t="n"/>
      <c r="K801" s="594" t="n"/>
      <c r="L801" s="595" t="n"/>
      <c r="N801" s="594" t="n"/>
      <c r="O801" s="595" t="n"/>
      <c r="Q801" s="594" t="n"/>
      <c r="R801" s="595" t="n"/>
      <c r="T801" s="594" t="n"/>
      <c r="U801" s="595" t="n"/>
      <c r="W801" s="594" t="n"/>
      <c r="X801" s="595" t="n"/>
      <c r="Z801" s="594" t="n"/>
      <c r="AA801" s="595" t="n"/>
      <c r="AC801" s="594" t="n"/>
      <c r="AD801" s="595" t="n"/>
      <c r="AF801" s="594" t="n"/>
      <c r="AG801" s="595" t="n"/>
      <c r="AI801" s="594" t="n"/>
      <c r="AJ801" s="595" t="n"/>
      <c r="AL801" s="594" t="n"/>
      <c r="AM801" s="595" t="n"/>
      <c r="AO801" s="594" t="n"/>
      <c r="AP801" s="595" t="n"/>
      <c r="AR801" s="594" t="n"/>
      <c r="AS801" s="595" t="n"/>
    </row>
    <row r="802" ht="15.75" customHeight="1" s="26">
      <c r="B802" s="593" t="n"/>
      <c r="E802" s="594" t="n"/>
      <c r="F802" s="595" t="n"/>
      <c r="H802" s="594" t="n"/>
      <c r="I802" s="595" t="n"/>
      <c r="K802" s="594" t="n"/>
      <c r="L802" s="595" t="n"/>
      <c r="N802" s="594" t="n"/>
      <c r="O802" s="595" t="n"/>
      <c r="Q802" s="594" t="n"/>
      <c r="R802" s="595" t="n"/>
      <c r="T802" s="594" t="n"/>
      <c r="U802" s="595" t="n"/>
      <c r="W802" s="594" t="n"/>
      <c r="X802" s="595" t="n"/>
      <c r="Z802" s="594" t="n"/>
      <c r="AA802" s="595" t="n"/>
      <c r="AC802" s="594" t="n"/>
      <c r="AD802" s="595" t="n"/>
      <c r="AF802" s="594" t="n"/>
      <c r="AG802" s="595" t="n"/>
      <c r="AI802" s="594" t="n"/>
      <c r="AJ802" s="595" t="n"/>
      <c r="AL802" s="594" t="n"/>
      <c r="AM802" s="595" t="n"/>
      <c r="AO802" s="594" t="n"/>
      <c r="AP802" s="595" t="n"/>
      <c r="AR802" s="594" t="n"/>
      <c r="AS802" s="595" t="n"/>
    </row>
    <row r="803" ht="15.75" customHeight="1" s="26">
      <c r="B803" s="593" t="n"/>
      <c r="E803" s="594" t="n"/>
      <c r="F803" s="595" t="n"/>
      <c r="H803" s="594" t="n"/>
      <c r="I803" s="595" t="n"/>
      <c r="K803" s="594" t="n"/>
      <c r="L803" s="595" t="n"/>
      <c r="N803" s="594" t="n"/>
      <c r="O803" s="595" t="n"/>
      <c r="Q803" s="594" t="n"/>
      <c r="R803" s="595" t="n"/>
      <c r="T803" s="594" t="n"/>
      <c r="U803" s="595" t="n"/>
      <c r="W803" s="594" t="n"/>
      <c r="X803" s="595" t="n"/>
      <c r="Z803" s="594" t="n"/>
      <c r="AA803" s="595" t="n"/>
      <c r="AC803" s="594" t="n"/>
      <c r="AD803" s="595" t="n"/>
      <c r="AF803" s="594" t="n"/>
      <c r="AG803" s="595" t="n"/>
      <c r="AI803" s="594" t="n"/>
      <c r="AJ803" s="595" t="n"/>
      <c r="AL803" s="594" t="n"/>
      <c r="AM803" s="595" t="n"/>
      <c r="AO803" s="594" t="n"/>
      <c r="AP803" s="595" t="n"/>
      <c r="AR803" s="594" t="n"/>
      <c r="AS803" s="595" t="n"/>
    </row>
    <row r="804" ht="15.75" customHeight="1" s="26">
      <c r="B804" s="593" t="n"/>
      <c r="E804" s="594" t="n"/>
      <c r="F804" s="595" t="n"/>
      <c r="H804" s="594" t="n"/>
      <c r="I804" s="595" t="n"/>
      <c r="K804" s="594" t="n"/>
      <c r="L804" s="595" t="n"/>
      <c r="N804" s="594" t="n"/>
      <c r="O804" s="595" t="n"/>
      <c r="Q804" s="594" t="n"/>
      <c r="R804" s="595" t="n"/>
      <c r="T804" s="594" t="n"/>
      <c r="U804" s="595" t="n"/>
      <c r="W804" s="594" t="n"/>
      <c r="X804" s="595" t="n"/>
      <c r="Z804" s="594" t="n"/>
      <c r="AA804" s="595" t="n"/>
      <c r="AC804" s="594" t="n"/>
      <c r="AD804" s="595" t="n"/>
      <c r="AF804" s="594" t="n"/>
      <c r="AG804" s="595" t="n"/>
      <c r="AI804" s="594" t="n"/>
      <c r="AJ804" s="595" t="n"/>
      <c r="AL804" s="594" t="n"/>
      <c r="AM804" s="595" t="n"/>
      <c r="AO804" s="594" t="n"/>
      <c r="AP804" s="595" t="n"/>
      <c r="AR804" s="594" t="n"/>
      <c r="AS804" s="595" t="n"/>
    </row>
    <row r="805" ht="15.75" customHeight="1" s="26">
      <c r="B805" s="593" t="n"/>
      <c r="E805" s="594" t="n"/>
      <c r="F805" s="595" t="n"/>
      <c r="H805" s="594" t="n"/>
      <c r="I805" s="595" t="n"/>
      <c r="K805" s="594" t="n"/>
      <c r="L805" s="595" t="n"/>
      <c r="N805" s="594" t="n"/>
      <c r="O805" s="595" t="n"/>
      <c r="Q805" s="594" t="n"/>
      <c r="R805" s="595" t="n"/>
      <c r="T805" s="594" t="n"/>
      <c r="U805" s="595" t="n"/>
      <c r="W805" s="594" t="n"/>
      <c r="X805" s="595" t="n"/>
      <c r="Z805" s="594" t="n"/>
      <c r="AA805" s="595" t="n"/>
      <c r="AC805" s="594" t="n"/>
      <c r="AD805" s="595" t="n"/>
      <c r="AF805" s="594" t="n"/>
      <c r="AG805" s="595" t="n"/>
      <c r="AI805" s="594" t="n"/>
      <c r="AJ805" s="595" t="n"/>
      <c r="AL805" s="594" t="n"/>
      <c r="AM805" s="595" t="n"/>
      <c r="AO805" s="594" t="n"/>
      <c r="AP805" s="595" t="n"/>
      <c r="AR805" s="594" t="n"/>
      <c r="AS805" s="595" t="n"/>
    </row>
    <row r="806" ht="15.75" customHeight="1" s="26">
      <c r="B806" s="593" t="n"/>
      <c r="E806" s="594" t="n"/>
      <c r="F806" s="595" t="n"/>
      <c r="H806" s="594" t="n"/>
      <c r="I806" s="595" t="n"/>
      <c r="K806" s="594" t="n"/>
      <c r="L806" s="595" t="n"/>
      <c r="N806" s="594" t="n"/>
      <c r="O806" s="595" t="n"/>
      <c r="Q806" s="594" t="n"/>
      <c r="R806" s="595" t="n"/>
      <c r="T806" s="594" t="n"/>
      <c r="U806" s="595" t="n"/>
      <c r="W806" s="594" t="n"/>
      <c r="X806" s="595" t="n"/>
      <c r="Z806" s="594" t="n"/>
      <c r="AA806" s="595" t="n"/>
      <c r="AC806" s="594" t="n"/>
      <c r="AD806" s="595" t="n"/>
      <c r="AF806" s="594" t="n"/>
      <c r="AG806" s="595" t="n"/>
      <c r="AI806" s="594" t="n"/>
      <c r="AJ806" s="595" t="n"/>
      <c r="AL806" s="594" t="n"/>
      <c r="AM806" s="595" t="n"/>
      <c r="AO806" s="594" t="n"/>
      <c r="AP806" s="595" t="n"/>
      <c r="AR806" s="594" t="n"/>
      <c r="AS806" s="595" t="n"/>
    </row>
    <row r="807" ht="15.75" customHeight="1" s="26">
      <c r="B807" s="593" t="n"/>
      <c r="E807" s="594" t="n"/>
      <c r="F807" s="595" t="n"/>
      <c r="H807" s="594" t="n"/>
      <c r="I807" s="595" t="n"/>
      <c r="K807" s="594" t="n"/>
      <c r="L807" s="595" t="n"/>
      <c r="N807" s="594" t="n"/>
      <c r="O807" s="595" t="n"/>
      <c r="Q807" s="594" t="n"/>
      <c r="R807" s="595" t="n"/>
      <c r="T807" s="594" t="n"/>
      <c r="U807" s="595" t="n"/>
      <c r="W807" s="594" t="n"/>
      <c r="X807" s="595" t="n"/>
      <c r="Z807" s="594" t="n"/>
      <c r="AA807" s="595" t="n"/>
      <c r="AC807" s="594" t="n"/>
      <c r="AD807" s="595" t="n"/>
      <c r="AF807" s="594" t="n"/>
      <c r="AG807" s="595" t="n"/>
      <c r="AI807" s="594" t="n"/>
      <c r="AJ807" s="595" t="n"/>
      <c r="AL807" s="594" t="n"/>
      <c r="AM807" s="595" t="n"/>
      <c r="AO807" s="594" t="n"/>
      <c r="AP807" s="595" t="n"/>
      <c r="AR807" s="594" t="n"/>
      <c r="AS807" s="595" t="n"/>
    </row>
    <row r="808" ht="15.75" customHeight="1" s="26">
      <c r="B808" s="593" t="n"/>
      <c r="E808" s="594" t="n"/>
      <c r="F808" s="595" t="n"/>
      <c r="H808" s="594" t="n"/>
      <c r="I808" s="595" t="n"/>
      <c r="K808" s="594" t="n"/>
      <c r="L808" s="595" t="n"/>
      <c r="N808" s="594" t="n"/>
      <c r="O808" s="595" t="n"/>
      <c r="Q808" s="594" t="n"/>
      <c r="R808" s="595" t="n"/>
      <c r="T808" s="594" t="n"/>
      <c r="U808" s="595" t="n"/>
      <c r="W808" s="594" t="n"/>
      <c r="X808" s="595" t="n"/>
      <c r="Z808" s="594" t="n"/>
      <c r="AA808" s="595" t="n"/>
      <c r="AC808" s="594" t="n"/>
      <c r="AD808" s="595" t="n"/>
      <c r="AF808" s="594" t="n"/>
      <c r="AG808" s="595" t="n"/>
      <c r="AI808" s="594" t="n"/>
      <c r="AJ808" s="595" t="n"/>
      <c r="AL808" s="594" t="n"/>
      <c r="AM808" s="595" t="n"/>
      <c r="AO808" s="594" t="n"/>
      <c r="AP808" s="595" t="n"/>
      <c r="AR808" s="594" t="n"/>
      <c r="AS808" s="595" t="n"/>
    </row>
    <row r="809" ht="15.75" customHeight="1" s="26">
      <c r="B809" s="593" t="n"/>
      <c r="E809" s="594" t="n"/>
      <c r="F809" s="595" t="n"/>
      <c r="H809" s="594" t="n"/>
      <c r="I809" s="595" t="n"/>
      <c r="K809" s="594" t="n"/>
      <c r="L809" s="595" t="n"/>
      <c r="N809" s="594" t="n"/>
      <c r="O809" s="595" t="n"/>
      <c r="Q809" s="594" t="n"/>
      <c r="R809" s="595" t="n"/>
      <c r="T809" s="594" t="n"/>
      <c r="U809" s="595" t="n"/>
      <c r="W809" s="594" t="n"/>
      <c r="X809" s="595" t="n"/>
      <c r="Z809" s="594" t="n"/>
      <c r="AA809" s="595" t="n"/>
      <c r="AC809" s="594" t="n"/>
      <c r="AD809" s="595" t="n"/>
      <c r="AF809" s="594" t="n"/>
      <c r="AG809" s="595" t="n"/>
      <c r="AI809" s="594" t="n"/>
      <c r="AJ809" s="595" t="n"/>
      <c r="AL809" s="594" t="n"/>
      <c r="AM809" s="595" t="n"/>
      <c r="AO809" s="594" t="n"/>
      <c r="AP809" s="595" t="n"/>
      <c r="AR809" s="594" t="n"/>
      <c r="AS809" s="595" t="n"/>
    </row>
    <row r="810" ht="15.75" customHeight="1" s="26">
      <c r="B810" s="593" t="n"/>
      <c r="E810" s="594" t="n"/>
      <c r="F810" s="595" t="n"/>
      <c r="H810" s="594" t="n"/>
      <c r="I810" s="595" t="n"/>
      <c r="K810" s="594" t="n"/>
      <c r="L810" s="595" t="n"/>
      <c r="N810" s="594" t="n"/>
      <c r="O810" s="595" t="n"/>
      <c r="Q810" s="594" t="n"/>
      <c r="R810" s="595" t="n"/>
      <c r="T810" s="594" t="n"/>
      <c r="U810" s="595" t="n"/>
      <c r="W810" s="594" t="n"/>
      <c r="X810" s="595" t="n"/>
      <c r="Z810" s="594" t="n"/>
      <c r="AA810" s="595" t="n"/>
      <c r="AC810" s="594" t="n"/>
      <c r="AD810" s="595" t="n"/>
      <c r="AF810" s="594" t="n"/>
      <c r="AG810" s="595" t="n"/>
      <c r="AI810" s="594" t="n"/>
      <c r="AJ810" s="595" t="n"/>
      <c r="AL810" s="594" t="n"/>
      <c r="AM810" s="595" t="n"/>
      <c r="AO810" s="594" t="n"/>
      <c r="AP810" s="595" t="n"/>
      <c r="AR810" s="594" t="n"/>
      <c r="AS810" s="595" t="n"/>
    </row>
    <row r="811" ht="15.75" customHeight="1" s="26">
      <c r="B811" s="593" t="n"/>
      <c r="E811" s="594" t="n"/>
      <c r="F811" s="595" t="n"/>
      <c r="H811" s="594" t="n"/>
      <c r="I811" s="595" t="n"/>
      <c r="K811" s="594" t="n"/>
      <c r="L811" s="595" t="n"/>
      <c r="N811" s="594" t="n"/>
      <c r="O811" s="595" t="n"/>
      <c r="Q811" s="594" t="n"/>
      <c r="R811" s="595" t="n"/>
      <c r="T811" s="594" t="n"/>
      <c r="U811" s="595" t="n"/>
      <c r="W811" s="594" t="n"/>
      <c r="X811" s="595" t="n"/>
      <c r="Z811" s="594" t="n"/>
      <c r="AA811" s="595" t="n"/>
      <c r="AC811" s="594" t="n"/>
      <c r="AD811" s="595" t="n"/>
      <c r="AF811" s="594" t="n"/>
      <c r="AG811" s="595" t="n"/>
      <c r="AI811" s="594" t="n"/>
      <c r="AJ811" s="595" t="n"/>
      <c r="AL811" s="594" t="n"/>
      <c r="AM811" s="595" t="n"/>
      <c r="AO811" s="594" t="n"/>
      <c r="AP811" s="595" t="n"/>
      <c r="AR811" s="594" t="n"/>
      <c r="AS811" s="595" t="n"/>
    </row>
    <row r="812" ht="15.75" customHeight="1" s="26">
      <c r="B812" s="593" t="n"/>
      <c r="E812" s="594" t="n"/>
      <c r="F812" s="595" t="n"/>
      <c r="H812" s="594" t="n"/>
      <c r="I812" s="595" t="n"/>
      <c r="K812" s="594" t="n"/>
      <c r="L812" s="595" t="n"/>
      <c r="N812" s="594" t="n"/>
      <c r="O812" s="595" t="n"/>
      <c r="Q812" s="594" t="n"/>
      <c r="R812" s="595" t="n"/>
      <c r="T812" s="594" t="n"/>
      <c r="U812" s="595" t="n"/>
      <c r="W812" s="594" t="n"/>
      <c r="X812" s="595" t="n"/>
      <c r="Z812" s="594" t="n"/>
      <c r="AA812" s="595" t="n"/>
      <c r="AC812" s="594" t="n"/>
      <c r="AD812" s="595" t="n"/>
      <c r="AF812" s="594" t="n"/>
      <c r="AG812" s="595" t="n"/>
      <c r="AI812" s="594" t="n"/>
      <c r="AJ812" s="595" t="n"/>
      <c r="AL812" s="594" t="n"/>
      <c r="AM812" s="595" t="n"/>
      <c r="AO812" s="594" t="n"/>
      <c r="AP812" s="595" t="n"/>
      <c r="AR812" s="594" t="n"/>
      <c r="AS812" s="595" t="n"/>
    </row>
    <row r="813" ht="15.75" customHeight="1" s="26">
      <c r="B813" s="593" t="n"/>
      <c r="E813" s="594" t="n"/>
      <c r="F813" s="595" t="n"/>
      <c r="H813" s="594" t="n"/>
      <c r="I813" s="595" t="n"/>
      <c r="K813" s="594" t="n"/>
      <c r="L813" s="595" t="n"/>
      <c r="N813" s="594" t="n"/>
      <c r="O813" s="595" t="n"/>
      <c r="Q813" s="594" t="n"/>
      <c r="R813" s="595" t="n"/>
      <c r="T813" s="594" t="n"/>
      <c r="U813" s="595" t="n"/>
      <c r="W813" s="594" t="n"/>
      <c r="X813" s="595" t="n"/>
      <c r="Z813" s="594" t="n"/>
      <c r="AA813" s="595" t="n"/>
      <c r="AC813" s="594" t="n"/>
      <c r="AD813" s="595" t="n"/>
      <c r="AF813" s="594" t="n"/>
      <c r="AG813" s="595" t="n"/>
      <c r="AI813" s="594" t="n"/>
      <c r="AJ813" s="595" t="n"/>
      <c r="AL813" s="594" t="n"/>
      <c r="AM813" s="595" t="n"/>
      <c r="AO813" s="594" t="n"/>
      <c r="AP813" s="595" t="n"/>
      <c r="AR813" s="594" t="n"/>
      <c r="AS813" s="595" t="n"/>
    </row>
    <row r="814" ht="15.75" customHeight="1" s="26">
      <c r="B814" s="593" t="n"/>
      <c r="E814" s="594" t="n"/>
      <c r="F814" s="595" t="n"/>
      <c r="H814" s="594" t="n"/>
      <c r="I814" s="595" t="n"/>
      <c r="K814" s="594" t="n"/>
      <c r="L814" s="595" t="n"/>
      <c r="N814" s="594" t="n"/>
      <c r="O814" s="595" t="n"/>
      <c r="Q814" s="594" t="n"/>
      <c r="R814" s="595" t="n"/>
      <c r="T814" s="594" t="n"/>
      <c r="U814" s="595" t="n"/>
      <c r="W814" s="594" t="n"/>
      <c r="X814" s="595" t="n"/>
      <c r="Z814" s="594" t="n"/>
      <c r="AA814" s="595" t="n"/>
      <c r="AC814" s="594" t="n"/>
      <c r="AD814" s="595" t="n"/>
      <c r="AF814" s="594" t="n"/>
      <c r="AG814" s="595" t="n"/>
      <c r="AI814" s="594" t="n"/>
      <c r="AJ814" s="595" t="n"/>
      <c r="AL814" s="594" t="n"/>
      <c r="AM814" s="595" t="n"/>
      <c r="AO814" s="594" t="n"/>
      <c r="AP814" s="595" t="n"/>
      <c r="AR814" s="594" t="n"/>
      <c r="AS814" s="595" t="n"/>
    </row>
    <row r="815" ht="15.75" customHeight="1" s="26">
      <c r="B815" s="593" t="n"/>
      <c r="E815" s="594" t="n"/>
      <c r="F815" s="595" t="n"/>
      <c r="H815" s="594" t="n"/>
      <c r="I815" s="595" t="n"/>
      <c r="K815" s="594" t="n"/>
      <c r="L815" s="595" t="n"/>
      <c r="N815" s="594" t="n"/>
      <c r="O815" s="595" t="n"/>
      <c r="Q815" s="594" t="n"/>
      <c r="R815" s="595" t="n"/>
      <c r="T815" s="594" t="n"/>
      <c r="U815" s="595" t="n"/>
      <c r="W815" s="594" t="n"/>
      <c r="X815" s="595" t="n"/>
      <c r="Z815" s="594" t="n"/>
      <c r="AA815" s="595" t="n"/>
      <c r="AC815" s="594" t="n"/>
      <c r="AD815" s="595" t="n"/>
      <c r="AF815" s="594" t="n"/>
      <c r="AG815" s="595" t="n"/>
      <c r="AI815" s="594" t="n"/>
      <c r="AJ815" s="595" t="n"/>
      <c r="AL815" s="594" t="n"/>
      <c r="AM815" s="595" t="n"/>
      <c r="AO815" s="594" t="n"/>
      <c r="AP815" s="595" t="n"/>
      <c r="AR815" s="594" t="n"/>
      <c r="AS815" s="595" t="n"/>
    </row>
    <row r="816" ht="15.75" customHeight="1" s="26">
      <c r="B816" s="593" t="n"/>
      <c r="E816" s="594" t="n"/>
      <c r="F816" s="595" t="n"/>
      <c r="H816" s="594" t="n"/>
      <c r="I816" s="595" t="n"/>
      <c r="K816" s="594" t="n"/>
      <c r="L816" s="595" t="n"/>
      <c r="N816" s="594" t="n"/>
      <c r="O816" s="595" t="n"/>
      <c r="Q816" s="594" t="n"/>
      <c r="R816" s="595" t="n"/>
      <c r="T816" s="594" t="n"/>
      <c r="U816" s="595" t="n"/>
      <c r="W816" s="594" t="n"/>
      <c r="X816" s="595" t="n"/>
      <c r="Z816" s="594" t="n"/>
      <c r="AA816" s="595" t="n"/>
      <c r="AC816" s="594" t="n"/>
      <c r="AD816" s="595" t="n"/>
      <c r="AF816" s="594" t="n"/>
      <c r="AG816" s="595" t="n"/>
      <c r="AI816" s="594" t="n"/>
      <c r="AJ816" s="595" t="n"/>
      <c r="AL816" s="594" t="n"/>
      <c r="AM816" s="595" t="n"/>
      <c r="AO816" s="594" t="n"/>
      <c r="AP816" s="595" t="n"/>
      <c r="AR816" s="594" t="n"/>
      <c r="AS816" s="595" t="n"/>
    </row>
    <row r="817" ht="15.75" customHeight="1" s="26">
      <c r="B817" s="593" t="n"/>
      <c r="E817" s="594" t="n"/>
      <c r="F817" s="595" t="n"/>
      <c r="H817" s="594" t="n"/>
      <c r="I817" s="595" t="n"/>
      <c r="K817" s="594" t="n"/>
      <c r="L817" s="595" t="n"/>
      <c r="N817" s="594" t="n"/>
      <c r="O817" s="595" t="n"/>
      <c r="Q817" s="594" t="n"/>
      <c r="R817" s="595" t="n"/>
      <c r="T817" s="594" t="n"/>
      <c r="U817" s="595" t="n"/>
      <c r="W817" s="594" t="n"/>
      <c r="X817" s="595" t="n"/>
      <c r="Z817" s="594" t="n"/>
      <c r="AA817" s="595" t="n"/>
      <c r="AC817" s="594" t="n"/>
      <c r="AD817" s="595" t="n"/>
      <c r="AF817" s="594" t="n"/>
      <c r="AG817" s="595" t="n"/>
      <c r="AI817" s="594" t="n"/>
      <c r="AJ817" s="595" t="n"/>
      <c r="AL817" s="594" t="n"/>
      <c r="AM817" s="595" t="n"/>
      <c r="AO817" s="594" t="n"/>
      <c r="AP817" s="595" t="n"/>
      <c r="AR817" s="594" t="n"/>
      <c r="AS817" s="595" t="n"/>
    </row>
    <row r="818" ht="15.75" customHeight="1" s="26">
      <c r="B818" s="593" t="n"/>
      <c r="E818" s="594" t="n"/>
      <c r="F818" s="595" t="n"/>
      <c r="H818" s="594" t="n"/>
      <c r="I818" s="595" t="n"/>
      <c r="K818" s="594" t="n"/>
      <c r="L818" s="595" t="n"/>
      <c r="N818" s="594" t="n"/>
      <c r="O818" s="595" t="n"/>
      <c r="Q818" s="594" t="n"/>
      <c r="R818" s="595" t="n"/>
      <c r="T818" s="594" t="n"/>
      <c r="U818" s="595" t="n"/>
      <c r="W818" s="594" t="n"/>
      <c r="X818" s="595" t="n"/>
      <c r="Z818" s="594" t="n"/>
      <c r="AA818" s="595" t="n"/>
      <c r="AC818" s="594" t="n"/>
      <c r="AD818" s="595" t="n"/>
      <c r="AF818" s="594" t="n"/>
      <c r="AG818" s="595" t="n"/>
      <c r="AI818" s="594" t="n"/>
      <c r="AJ818" s="595" t="n"/>
      <c r="AL818" s="594" t="n"/>
      <c r="AM818" s="595" t="n"/>
      <c r="AO818" s="594" t="n"/>
      <c r="AP818" s="595" t="n"/>
      <c r="AR818" s="594" t="n"/>
      <c r="AS818" s="595" t="n"/>
    </row>
    <row r="819" ht="15.75" customHeight="1" s="26">
      <c r="B819" s="593" t="n"/>
      <c r="E819" s="594" t="n"/>
      <c r="F819" s="595" t="n"/>
      <c r="H819" s="594" t="n"/>
      <c r="I819" s="595" t="n"/>
      <c r="K819" s="594" t="n"/>
      <c r="L819" s="595" t="n"/>
      <c r="N819" s="594" t="n"/>
      <c r="O819" s="595" t="n"/>
      <c r="Q819" s="594" t="n"/>
      <c r="R819" s="595" t="n"/>
      <c r="T819" s="594" t="n"/>
      <c r="U819" s="595" t="n"/>
      <c r="W819" s="594" t="n"/>
      <c r="X819" s="595" t="n"/>
      <c r="Z819" s="594" t="n"/>
      <c r="AA819" s="595" t="n"/>
      <c r="AC819" s="594" t="n"/>
      <c r="AD819" s="595" t="n"/>
      <c r="AF819" s="594" t="n"/>
      <c r="AG819" s="595" t="n"/>
      <c r="AI819" s="594" t="n"/>
      <c r="AJ819" s="595" t="n"/>
      <c r="AL819" s="594" t="n"/>
      <c r="AM819" s="595" t="n"/>
      <c r="AO819" s="594" t="n"/>
      <c r="AP819" s="595" t="n"/>
      <c r="AR819" s="594" t="n"/>
      <c r="AS819" s="595" t="n"/>
    </row>
    <row r="820" ht="15.75" customHeight="1" s="26">
      <c r="B820" s="593" t="n"/>
      <c r="E820" s="594" t="n"/>
      <c r="F820" s="595" t="n"/>
      <c r="H820" s="594" t="n"/>
      <c r="I820" s="595" t="n"/>
      <c r="K820" s="594" t="n"/>
      <c r="L820" s="595" t="n"/>
      <c r="N820" s="594" t="n"/>
      <c r="O820" s="595" t="n"/>
      <c r="Q820" s="594" t="n"/>
      <c r="R820" s="595" t="n"/>
      <c r="T820" s="594" t="n"/>
      <c r="U820" s="595" t="n"/>
      <c r="W820" s="594" t="n"/>
      <c r="X820" s="595" t="n"/>
      <c r="Z820" s="594" t="n"/>
      <c r="AA820" s="595" t="n"/>
      <c r="AC820" s="594" t="n"/>
      <c r="AD820" s="595" t="n"/>
      <c r="AF820" s="594" t="n"/>
      <c r="AG820" s="595" t="n"/>
      <c r="AI820" s="594" t="n"/>
      <c r="AJ820" s="595" t="n"/>
      <c r="AL820" s="594" t="n"/>
      <c r="AM820" s="595" t="n"/>
      <c r="AO820" s="594" t="n"/>
      <c r="AP820" s="595" t="n"/>
      <c r="AR820" s="594" t="n"/>
      <c r="AS820" s="595" t="n"/>
    </row>
    <row r="821" ht="15.75" customHeight="1" s="26">
      <c r="B821" s="593" t="n"/>
      <c r="E821" s="594" t="n"/>
      <c r="F821" s="595" t="n"/>
      <c r="H821" s="594" t="n"/>
      <c r="I821" s="595" t="n"/>
      <c r="K821" s="594" t="n"/>
      <c r="L821" s="595" t="n"/>
      <c r="N821" s="594" t="n"/>
      <c r="O821" s="595" t="n"/>
      <c r="Q821" s="594" t="n"/>
      <c r="R821" s="595" t="n"/>
      <c r="T821" s="594" t="n"/>
      <c r="U821" s="595" t="n"/>
      <c r="W821" s="594" t="n"/>
      <c r="X821" s="595" t="n"/>
      <c r="Z821" s="594" t="n"/>
      <c r="AA821" s="595" t="n"/>
      <c r="AC821" s="594" t="n"/>
      <c r="AD821" s="595" t="n"/>
      <c r="AF821" s="594" t="n"/>
      <c r="AG821" s="595" t="n"/>
      <c r="AI821" s="594" t="n"/>
      <c r="AJ821" s="595" t="n"/>
      <c r="AL821" s="594" t="n"/>
      <c r="AM821" s="595" t="n"/>
      <c r="AO821" s="594" t="n"/>
      <c r="AP821" s="595" t="n"/>
      <c r="AR821" s="594" t="n"/>
      <c r="AS821" s="595" t="n"/>
    </row>
    <row r="822" ht="15.75" customHeight="1" s="26">
      <c r="B822" s="593" t="n"/>
      <c r="E822" s="594" t="n"/>
      <c r="F822" s="595" t="n"/>
      <c r="H822" s="594" t="n"/>
      <c r="I822" s="595" t="n"/>
      <c r="K822" s="594" t="n"/>
      <c r="L822" s="595" t="n"/>
      <c r="N822" s="594" t="n"/>
      <c r="O822" s="595" t="n"/>
      <c r="Q822" s="594" t="n"/>
      <c r="R822" s="595" t="n"/>
      <c r="T822" s="594" t="n"/>
      <c r="U822" s="595" t="n"/>
      <c r="W822" s="594" t="n"/>
      <c r="X822" s="595" t="n"/>
      <c r="Z822" s="594" t="n"/>
      <c r="AA822" s="595" t="n"/>
      <c r="AC822" s="594" t="n"/>
      <c r="AD822" s="595" t="n"/>
      <c r="AF822" s="594" t="n"/>
      <c r="AG822" s="595" t="n"/>
      <c r="AI822" s="594" t="n"/>
      <c r="AJ822" s="595" t="n"/>
      <c r="AL822" s="594" t="n"/>
      <c r="AM822" s="595" t="n"/>
      <c r="AO822" s="594" t="n"/>
      <c r="AP822" s="595" t="n"/>
      <c r="AR822" s="594" t="n"/>
      <c r="AS822" s="595" t="n"/>
    </row>
    <row r="823" ht="15.75" customHeight="1" s="26">
      <c r="B823" s="593" t="n"/>
      <c r="E823" s="594" t="n"/>
      <c r="F823" s="595" t="n"/>
      <c r="H823" s="594" t="n"/>
      <c r="I823" s="595" t="n"/>
      <c r="K823" s="594" t="n"/>
      <c r="L823" s="595" t="n"/>
      <c r="N823" s="594" t="n"/>
      <c r="O823" s="595" t="n"/>
      <c r="Q823" s="594" t="n"/>
      <c r="R823" s="595" t="n"/>
      <c r="T823" s="594" t="n"/>
      <c r="U823" s="595" t="n"/>
      <c r="W823" s="594" t="n"/>
      <c r="X823" s="595" t="n"/>
      <c r="Z823" s="594" t="n"/>
      <c r="AA823" s="595" t="n"/>
      <c r="AC823" s="594" t="n"/>
      <c r="AD823" s="595" t="n"/>
      <c r="AF823" s="594" t="n"/>
      <c r="AG823" s="595" t="n"/>
      <c r="AI823" s="594" t="n"/>
      <c r="AJ823" s="595" t="n"/>
      <c r="AL823" s="594" t="n"/>
      <c r="AM823" s="595" t="n"/>
      <c r="AO823" s="594" t="n"/>
      <c r="AP823" s="595" t="n"/>
      <c r="AR823" s="594" t="n"/>
      <c r="AS823" s="595" t="n"/>
    </row>
    <row r="824" ht="15.75" customHeight="1" s="26">
      <c r="B824" s="593" t="n"/>
      <c r="E824" s="594" t="n"/>
      <c r="F824" s="595" t="n"/>
      <c r="H824" s="594" t="n"/>
      <c r="I824" s="595" t="n"/>
      <c r="K824" s="594" t="n"/>
      <c r="L824" s="595" t="n"/>
      <c r="N824" s="594" t="n"/>
      <c r="O824" s="595" t="n"/>
      <c r="Q824" s="594" t="n"/>
      <c r="R824" s="595" t="n"/>
      <c r="T824" s="594" t="n"/>
      <c r="U824" s="595" t="n"/>
      <c r="W824" s="594" t="n"/>
      <c r="X824" s="595" t="n"/>
      <c r="Z824" s="594" t="n"/>
      <c r="AA824" s="595" t="n"/>
      <c r="AC824" s="594" t="n"/>
      <c r="AD824" s="595" t="n"/>
      <c r="AF824" s="594" t="n"/>
      <c r="AG824" s="595" t="n"/>
      <c r="AI824" s="594" t="n"/>
      <c r="AJ824" s="595" t="n"/>
      <c r="AL824" s="594" t="n"/>
      <c r="AM824" s="595" t="n"/>
      <c r="AO824" s="594" t="n"/>
      <c r="AP824" s="595" t="n"/>
      <c r="AR824" s="594" t="n"/>
      <c r="AS824" s="595" t="n"/>
    </row>
    <row r="825" ht="15.75" customHeight="1" s="26">
      <c r="B825" s="593" t="n"/>
      <c r="E825" s="594" t="n"/>
      <c r="F825" s="595" t="n"/>
      <c r="H825" s="594" t="n"/>
      <c r="I825" s="595" t="n"/>
      <c r="K825" s="594" t="n"/>
      <c r="L825" s="595" t="n"/>
      <c r="N825" s="594" t="n"/>
      <c r="O825" s="595" t="n"/>
      <c r="Q825" s="594" t="n"/>
      <c r="R825" s="595" t="n"/>
      <c r="T825" s="594" t="n"/>
      <c r="U825" s="595" t="n"/>
      <c r="W825" s="594" t="n"/>
      <c r="X825" s="595" t="n"/>
      <c r="Z825" s="594" t="n"/>
      <c r="AA825" s="595" t="n"/>
      <c r="AC825" s="594" t="n"/>
      <c r="AD825" s="595" t="n"/>
      <c r="AF825" s="594" t="n"/>
      <c r="AG825" s="595" t="n"/>
      <c r="AI825" s="594" t="n"/>
      <c r="AJ825" s="595" t="n"/>
      <c r="AL825" s="594" t="n"/>
      <c r="AM825" s="595" t="n"/>
      <c r="AO825" s="594" t="n"/>
      <c r="AP825" s="595" t="n"/>
      <c r="AR825" s="594" t="n"/>
      <c r="AS825" s="595" t="n"/>
    </row>
    <row r="826" ht="15.75" customHeight="1" s="26">
      <c r="B826" s="593" t="n"/>
      <c r="E826" s="594" t="n"/>
      <c r="F826" s="595" t="n"/>
      <c r="H826" s="594" t="n"/>
      <c r="I826" s="595" t="n"/>
      <c r="K826" s="594" t="n"/>
      <c r="L826" s="595" t="n"/>
      <c r="N826" s="594" t="n"/>
      <c r="O826" s="595" t="n"/>
      <c r="Q826" s="594" t="n"/>
      <c r="R826" s="595" t="n"/>
      <c r="T826" s="594" t="n"/>
      <c r="U826" s="595" t="n"/>
      <c r="W826" s="594" t="n"/>
      <c r="X826" s="595" t="n"/>
      <c r="Z826" s="594" t="n"/>
      <c r="AA826" s="595" t="n"/>
      <c r="AC826" s="594" t="n"/>
      <c r="AD826" s="595" t="n"/>
      <c r="AF826" s="594" t="n"/>
      <c r="AG826" s="595" t="n"/>
      <c r="AI826" s="594" t="n"/>
      <c r="AJ826" s="595" t="n"/>
      <c r="AL826" s="594" t="n"/>
      <c r="AM826" s="595" t="n"/>
      <c r="AO826" s="594" t="n"/>
      <c r="AP826" s="595" t="n"/>
      <c r="AR826" s="594" t="n"/>
      <c r="AS826" s="595" t="n"/>
    </row>
    <row r="827" ht="15.75" customHeight="1" s="26">
      <c r="B827" s="593" t="n"/>
      <c r="E827" s="594" t="n"/>
      <c r="F827" s="595" t="n"/>
      <c r="H827" s="594" t="n"/>
      <c r="I827" s="595" t="n"/>
      <c r="K827" s="594" t="n"/>
      <c r="L827" s="595" t="n"/>
      <c r="N827" s="594" t="n"/>
      <c r="O827" s="595" t="n"/>
      <c r="Q827" s="594" t="n"/>
      <c r="R827" s="595" t="n"/>
      <c r="T827" s="594" t="n"/>
      <c r="U827" s="595" t="n"/>
      <c r="W827" s="594" t="n"/>
      <c r="X827" s="595" t="n"/>
      <c r="Z827" s="594" t="n"/>
      <c r="AA827" s="595" t="n"/>
      <c r="AC827" s="594" t="n"/>
      <c r="AD827" s="595" t="n"/>
      <c r="AF827" s="594" t="n"/>
      <c r="AG827" s="595" t="n"/>
      <c r="AI827" s="594" t="n"/>
      <c r="AJ827" s="595" t="n"/>
      <c r="AL827" s="594" t="n"/>
      <c r="AM827" s="595" t="n"/>
      <c r="AO827" s="594" t="n"/>
      <c r="AP827" s="595" t="n"/>
      <c r="AR827" s="594" t="n"/>
      <c r="AS827" s="595" t="n"/>
    </row>
    <row r="828" ht="15.75" customHeight="1" s="26">
      <c r="B828" s="593" t="n"/>
      <c r="E828" s="594" t="n"/>
      <c r="F828" s="595" t="n"/>
      <c r="H828" s="594" t="n"/>
      <c r="I828" s="595" t="n"/>
      <c r="K828" s="594" t="n"/>
      <c r="L828" s="595" t="n"/>
      <c r="N828" s="594" t="n"/>
      <c r="O828" s="595" t="n"/>
      <c r="Q828" s="594" t="n"/>
      <c r="R828" s="595" t="n"/>
      <c r="T828" s="594" t="n"/>
      <c r="U828" s="595" t="n"/>
      <c r="W828" s="594" t="n"/>
      <c r="X828" s="595" t="n"/>
      <c r="Z828" s="594" t="n"/>
      <c r="AA828" s="595" t="n"/>
      <c r="AC828" s="594" t="n"/>
      <c r="AD828" s="595" t="n"/>
      <c r="AF828" s="594" t="n"/>
      <c r="AG828" s="595" t="n"/>
      <c r="AI828" s="594" t="n"/>
      <c r="AJ828" s="595" t="n"/>
      <c r="AL828" s="594" t="n"/>
      <c r="AM828" s="595" t="n"/>
      <c r="AO828" s="594" t="n"/>
      <c r="AP828" s="595" t="n"/>
      <c r="AR828" s="594" t="n"/>
      <c r="AS828" s="595" t="n"/>
    </row>
    <row r="829" ht="15.75" customHeight="1" s="26">
      <c r="B829" s="593" t="n"/>
      <c r="E829" s="594" t="n"/>
      <c r="F829" s="595" t="n"/>
      <c r="H829" s="594" t="n"/>
      <c r="I829" s="595" t="n"/>
      <c r="K829" s="594" t="n"/>
      <c r="L829" s="595" t="n"/>
      <c r="N829" s="594" t="n"/>
      <c r="O829" s="595" t="n"/>
      <c r="Q829" s="594" t="n"/>
      <c r="R829" s="595" t="n"/>
      <c r="T829" s="594" t="n"/>
      <c r="U829" s="595" t="n"/>
      <c r="W829" s="594" t="n"/>
      <c r="X829" s="595" t="n"/>
      <c r="Z829" s="594" t="n"/>
      <c r="AA829" s="595" t="n"/>
      <c r="AC829" s="594" t="n"/>
      <c r="AD829" s="595" t="n"/>
      <c r="AF829" s="594" t="n"/>
      <c r="AG829" s="595" t="n"/>
      <c r="AI829" s="594" t="n"/>
      <c r="AJ829" s="595" t="n"/>
      <c r="AL829" s="594" t="n"/>
      <c r="AM829" s="595" t="n"/>
      <c r="AO829" s="594" t="n"/>
      <c r="AP829" s="595" t="n"/>
      <c r="AR829" s="594" t="n"/>
      <c r="AS829" s="595" t="n"/>
    </row>
    <row r="830" ht="15.75" customHeight="1" s="26">
      <c r="B830" s="593" t="n"/>
      <c r="E830" s="594" t="n"/>
      <c r="F830" s="595" t="n"/>
      <c r="H830" s="594" t="n"/>
      <c r="I830" s="595" t="n"/>
      <c r="K830" s="594" t="n"/>
      <c r="L830" s="595" t="n"/>
      <c r="N830" s="594" t="n"/>
      <c r="O830" s="595" t="n"/>
      <c r="Q830" s="594" t="n"/>
      <c r="R830" s="595" t="n"/>
      <c r="T830" s="594" t="n"/>
      <c r="U830" s="595" t="n"/>
      <c r="W830" s="594" t="n"/>
      <c r="X830" s="595" t="n"/>
      <c r="Z830" s="594" t="n"/>
      <c r="AA830" s="595" t="n"/>
      <c r="AC830" s="594" t="n"/>
      <c r="AD830" s="595" t="n"/>
      <c r="AF830" s="594" t="n"/>
      <c r="AG830" s="595" t="n"/>
      <c r="AI830" s="594" t="n"/>
      <c r="AJ830" s="595" t="n"/>
      <c r="AL830" s="594" t="n"/>
      <c r="AM830" s="595" t="n"/>
      <c r="AO830" s="594" t="n"/>
      <c r="AP830" s="595" t="n"/>
      <c r="AR830" s="594" t="n"/>
      <c r="AS830" s="595" t="n"/>
    </row>
    <row r="831" ht="15.75" customHeight="1" s="26">
      <c r="B831" s="593" t="n"/>
      <c r="E831" s="594" t="n"/>
      <c r="F831" s="595" t="n"/>
      <c r="H831" s="594" t="n"/>
      <c r="I831" s="595" t="n"/>
      <c r="K831" s="594" t="n"/>
      <c r="L831" s="595" t="n"/>
      <c r="N831" s="594" t="n"/>
      <c r="O831" s="595" t="n"/>
      <c r="Q831" s="594" t="n"/>
      <c r="R831" s="595" t="n"/>
      <c r="T831" s="594" t="n"/>
      <c r="U831" s="595" t="n"/>
      <c r="W831" s="594" t="n"/>
      <c r="X831" s="595" t="n"/>
      <c r="Z831" s="594" t="n"/>
      <c r="AA831" s="595" t="n"/>
      <c r="AC831" s="594" t="n"/>
      <c r="AD831" s="595" t="n"/>
      <c r="AF831" s="594" t="n"/>
      <c r="AG831" s="595" t="n"/>
      <c r="AI831" s="594" t="n"/>
      <c r="AJ831" s="595" t="n"/>
      <c r="AL831" s="594" t="n"/>
      <c r="AM831" s="595" t="n"/>
      <c r="AO831" s="594" t="n"/>
      <c r="AP831" s="595" t="n"/>
      <c r="AR831" s="594" t="n"/>
      <c r="AS831" s="595" t="n"/>
    </row>
    <row r="832" ht="15.75" customHeight="1" s="26">
      <c r="B832" s="593" t="n"/>
      <c r="E832" s="594" t="n"/>
      <c r="F832" s="595" t="n"/>
      <c r="H832" s="594" t="n"/>
      <c r="I832" s="595" t="n"/>
      <c r="K832" s="594" t="n"/>
      <c r="L832" s="595" t="n"/>
      <c r="N832" s="594" t="n"/>
      <c r="O832" s="595" t="n"/>
      <c r="Q832" s="594" t="n"/>
      <c r="R832" s="595" t="n"/>
      <c r="T832" s="594" t="n"/>
      <c r="U832" s="595" t="n"/>
      <c r="W832" s="594" t="n"/>
      <c r="X832" s="595" t="n"/>
      <c r="Z832" s="594" t="n"/>
      <c r="AA832" s="595" t="n"/>
      <c r="AC832" s="594" t="n"/>
      <c r="AD832" s="595" t="n"/>
      <c r="AF832" s="594" t="n"/>
      <c r="AG832" s="595" t="n"/>
      <c r="AI832" s="594" t="n"/>
      <c r="AJ832" s="595" t="n"/>
      <c r="AL832" s="594" t="n"/>
      <c r="AM832" s="595" t="n"/>
      <c r="AO832" s="594" t="n"/>
      <c r="AP832" s="595" t="n"/>
      <c r="AR832" s="594" t="n"/>
      <c r="AS832" s="595" t="n"/>
    </row>
    <row r="833" ht="15.75" customHeight="1" s="26">
      <c r="B833" s="593" t="n"/>
      <c r="E833" s="594" t="n"/>
      <c r="F833" s="595" t="n"/>
      <c r="H833" s="594" t="n"/>
      <c r="I833" s="595" t="n"/>
      <c r="K833" s="594" t="n"/>
      <c r="L833" s="595" t="n"/>
      <c r="N833" s="594" t="n"/>
      <c r="O833" s="595" t="n"/>
      <c r="Q833" s="594" t="n"/>
      <c r="R833" s="595" t="n"/>
      <c r="T833" s="594" t="n"/>
      <c r="U833" s="595" t="n"/>
      <c r="W833" s="594" t="n"/>
      <c r="X833" s="595" t="n"/>
      <c r="Z833" s="594" t="n"/>
      <c r="AA833" s="595" t="n"/>
      <c r="AC833" s="594" t="n"/>
      <c r="AD833" s="595" t="n"/>
      <c r="AF833" s="594" t="n"/>
      <c r="AG833" s="595" t="n"/>
      <c r="AI833" s="594" t="n"/>
      <c r="AJ833" s="595" t="n"/>
      <c r="AL833" s="594" t="n"/>
      <c r="AM833" s="595" t="n"/>
      <c r="AO833" s="594" t="n"/>
      <c r="AP833" s="595" t="n"/>
      <c r="AR833" s="594" t="n"/>
      <c r="AS833" s="595" t="n"/>
    </row>
    <row r="834" ht="15.75" customHeight="1" s="26">
      <c r="B834" s="593" t="n"/>
      <c r="E834" s="594" t="n"/>
      <c r="F834" s="595" t="n"/>
      <c r="H834" s="594" t="n"/>
      <c r="I834" s="595" t="n"/>
      <c r="K834" s="594" t="n"/>
      <c r="L834" s="595" t="n"/>
      <c r="N834" s="594" t="n"/>
      <c r="O834" s="595" t="n"/>
      <c r="Q834" s="594" t="n"/>
      <c r="R834" s="595" t="n"/>
      <c r="T834" s="594" t="n"/>
      <c r="U834" s="595" t="n"/>
      <c r="W834" s="594" t="n"/>
      <c r="X834" s="595" t="n"/>
      <c r="Z834" s="594" t="n"/>
      <c r="AA834" s="595" t="n"/>
      <c r="AC834" s="594" t="n"/>
      <c r="AD834" s="595" t="n"/>
      <c r="AF834" s="594" t="n"/>
      <c r="AG834" s="595" t="n"/>
      <c r="AI834" s="594" t="n"/>
      <c r="AJ834" s="595" t="n"/>
      <c r="AL834" s="594" t="n"/>
      <c r="AM834" s="595" t="n"/>
      <c r="AO834" s="594" t="n"/>
      <c r="AP834" s="595" t="n"/>
      <c r="AR834" s="594" t="n"/>
      <c r="AS834" s="595" t="n"/>
    </row>
    <row r="835" ht="15.75" customHeight="1" s="26">
      <c r="B835" s="593" t="n"/>
      <c r="E835" s="594" t="n"/>
      <c r="F835" s="595" t="n"/>
      <c r="H835" s="594" t="n"/>
      <c r="I835" s="595" t="n"/>
      <c r="K835" s="594" t="n"/>
      <c r="L835" s="595" t="n"/>
      <c r="N835" s="594" t="n"/>
      <c r="O835" s="595" t="n"/>
      <c r="Q835" s="594" t="n"/>
      <c r="R835" s="595" t="n"/>
      <c r="T835" s="594" t="n"/>
      <c r="U835" s="595" t="n"/>
      <c r="W835" s="594" t="n"/>
      <c r="X835" s="595" t="n"/>
      <c r="Z835" s="594" t="n"/>
      <c r="AA835" s="595" t="n"/>
      <c r="AC835" s="594" t="n"/>
      <c r="AD835" s="595" t="n"/>
      <c r="AF835" s="594" t="n"/>
      <c r="AG835" s="595" t="n"/>
      <c r="AI835" s="594" t="n"/>
      <c r="AJ835" s="595" t="n"/>
      <c r="AL835" s="594" t="n"/>
      <c r="AM835" s="595" t="n"/>
      <c r="AO835" s="594" t="n"/>
      <c r="AP835" s="595" t="n"/>
      <c r="AR835" s="594" t="n"/>
      <c r="AS835" s="595" t="n"/>
    </row>
    <row r="836" ht="15.75" customHeight="1" s="26">
      <c r="B836" s="593" t="n"/>
      <c r="E836" s="594" t="n"/>
      <c r="F836" s="595" t="n"/>
      <c r="H836" s="594" t="n"/>
      <c r="I836" s="595" t="n"/>
      <c r="K836" s="594" t="n"/>
      <c r="L836" s="595" t="n"/>
      <c r="N836" s="594" t="n"/>
      <c r="O836" s="595" t="n"/>
      <c r="Q836" s="594" t="n"/>
      <c r="R836" s="595" t="n"/>
      <c r="T836" s="594" t="n"/>
      <c r="U836" s="595" t="n"/>
      <c r="W836" s="594" t="n"/>
      <c r="X836" s="595" t="n"/>
      <c r="Z836" s="594" t="n"/>
      <c r="AA836" s="595" t="n"/>
      <c r="AC836" s="594" t="n"/>
      <c r="AD836" s="595" t="n"/>
      <c r="AF836" s="594" t="n"/>
      <c r="AG836" s="595" t="n"/>
      <c r="AI836" s="594" t="n"/>
      <c r="AJ836" s="595" t="n"/>
      <c r="AL836" s="594" t="n"/>
      <c r="AM836" s="595" t="n"/>
      <c r="AO836" s="594" t="n"/>
      <c r="AP836" s="595" t="n"/>
      <c r="AR836" s="594" t="n"/>
      <c r="AS836" s="595" t="n"/>
    </row>
    <row r="837" ht="15.75" customHeight="1" s="26">
      <c r="B837" s="593" t="n"/>
      <c r="E837" s="594" t="n"/>
      <c r="F837" s="595" t="n"/>
      <c r="H837" s="594" t="n"/>
      <c r="I837" s="595" t="n"/>
      <c r="K837" s="594" t="n"/>
      <c r="L837" s="595" t="n"/>
      <c r="N837" s="594" t="n"/>
      <c r="O837" s="595" t="n"/>
      <c r="Q837" s="594" t="n"/>
      <c r="R837" s="595" t="n"/>
      <c r="T837" s="594" t="n"/>
      <c r="U837" s="595" t="n"/>
      <c r="W837" s="594" t="n"/>
      <c r="X837" s="595" t="n"/>
      <c r="Z837" s="594" t="n"/>
      <c r="AA837" s="595" t="n"/>
      <c r="AC837" s="594" t="n"/>
      <c r="AD837" s="595" t="n"/>
      <c r="AF837" s="594" t="n"/>
      <c r="AG837" s="595" t="n"/>
      <c r="AI837" s="594" t="n"/>
      <c r="AJ837" s="595" t="n"/>
      <c r="AL837" s="594" t="n"/>
      <c r="AM837" s="595" t="n"/>
      <c r="AO837" s="594" t="n"/>
      <c r="AP837" s="595" t="n"/>
      <c r="AR837" s="594" t="n"/>
      <c r="AS837" s="595" t="n"/>
    </row>
    <row r="838" ht="15.75" customHeight="1" s="26">
      <c r="B838" s="593" t="n"/>
      <c r="E838" s="594" t="n"/>
      <c r="F838" s="595" t="n"/>
      <c r="H838" s="594" t="n"/>
      <c r="I838" s="595" t="n"/>
      <c r="K838" s="594" t="n"/>
      <c r="L838" s="595" t="n"/>
      <c r="N838" s="594" t="n"/>
      <c r="O838" s="595" t="n"/>
      <c r="Q838" s="594" t="n"/>
      <c r="R838" s="595" t="n"/>
      <c r="T838" s="594" t="n"/>
      <c r="U838" s="595" t="n"/>
      <c r="W838" s="594" t="n"/>
      <c r="X838" s="595" t="n"/>
      <c r="Z838" s="594" t="n"/>
      <c r="AA838" s="595" t="n"/>
      <c r="AC838" s="594" t="n"/>
      <c r="AD838" s="595" t="n"/>
      <c r="AF838" s="594" t="n"/>
      <c r="AG838" s="595" t="n"/>
      <c r="AI838" s="594" t="n"/>
      <c r="AJ838" s="595" t="n"/>
      <c r="AL838" s="594" t="n"/>
      <c r="AM838" s="595" t="n"/>
      <c r="AO838" s="594" t="n"/>
      <c r="AP838" s="595" t="n"/>
      <c r="AR838" s="594" t="n"/>
      <c r="AS838" s="595" t="n"/>
    </row>
    <row r="839" ht="15.75" customHeight="1" s="26">
      <c r="B839" s="593" t="n"/>
      <c r="E839" s="594" t="n"/>
      <c r="F839" s="595" t="n"/>
      <c r="H839" s="594" t="n"/>
      <c r="I839" s="595" t="n"/>
      <c r="K839" s="594" t="n"/>
      <c r="L839" s="595" t="n"/>
      <c r="N839" s="594" t="n"/>
      <c r="O839" s="595" t="n"/>
      <c r="Q839" s="594" t="n"/>
      <c r="R839" s="595" t="n"/>
      <c r="T839" s="594" t="n"/>
      <c r="U839" s="595" t="n"/>
      <c r="W839" s="594" t="n"/>
      <c r="X839" s="595" t="n"/>
      <c r="Z839" s="594" t="n"/>
      <c r="AA839" s="595" t="n"/>
      <c r="AC839" s="594" t="n"/>
      <c r="AD839" s="595" t="n"/>
      <c r="AF839" s="594" t="n"/>
      <c r="AG839" s="595" t="n"/>
      <c r="AI839" s="594" t="n"/>
      <c r="AJ839" s="595" t="n"/>
      <c r="AL839" s="594" t="n"/>
      <c r="AM839" s="595" t="n"/>
      <c r="AO839" s="594" t="n"/>
      <c r="AP839" s="595" t="n"/>
      <c r="AR839" s="594" t="n"/>
      <c r="AS839" s="595" t="n"/>
    </row>
    <row r="840" ht="15.75" customHeight="1" s="26">
      <c r="B840" s="593" t="n"/>
      <c r="E840" s="594" t="n"/>
      <c r="F840" s="595" t="n"/>
      <c r="H840" s="594" t="n"/>
      <c r="I840" s="595" t="n"/>
      <c r="K840" s="594" t="n"/>
      <c r="L840" s="595" t="n"/>
      <c r="N840" s="594" t="n"/>
      <c r="O840" s="595" t="n"/>
      <c r="Q840" s="594" t="n"/>
      <c r="R840" s="595" t="n"/>
      <c r="T840" s="594" t="n"/>
      <c r="U840" s="595" t="n"/>
      <c r="W840" s="594" t="n"/>
      <c r="X840" s="595" t="n"/>
      <c r="Z840" s="594" t="n"/>
      <c r="AA840" s="595" t="n"/>
      <c r="AC840" s="594" t="n"/>
      <c r="AD840" s="595" t="n"/>
      <c r="AF840" s="594" t="n"/>
      <c r="AG840" s="595" t="n"/>
      <c r="AI840" s="594" t="n"/>
      <c r="AJ840" s="595" t="n"/>
      <c r="AL840" s="594" t="n"/>
      <c r="AM840" s="595" t="n"/>
      <c r="AO840" s="594" t="n"/>
      <c r="AP840" s="595" t="n"/>
      <c r="AR840" s="594" t="n"/>
      <c r="AS840" s="595" t="n"/>
    </row>
    <row r="841" ht="15.75" customHeight="1" s="26">
      <c r="B841" s="593" t="n"/>
      <c r="E841" s="594" t="n"/>
      <c r="F841" s="595" t="n"/>
      <c r="H841" s="594" t="n"/>
      <c r="I841" s="595" t="n"/>
      <c r="K841" s="594" t="n"/>
      <c r="L841" s="595" t="n"/>
      <c r="N841" s="594" t="n"/>
      <c r="O841" s="595" t="n"/>
      <c r="Q841" s="594" t="n"/>
      <c r="R841" s="595" t="n"/>
      <c r="T841" s="594" t="n"/>
      <c r="U841" s="595" t="n"/>
      <c r="W841" s="594" t="n"/>
      <c r="X841" s="595" t="n"/>
      <c r="Z841" s="594" t="n"/>
      <c r="AA841" s="595" t="n"/>
      <c r="AC841" s="594" t="n"/>
      <c r="AD841" s="595" t="n"/>
      <c r="AF841" s="594" t="n"/>
      <c r="AG841" s="595" t="n"/>
      <c r="AI841" s="594" t="n"/>
      <c r="AJ841" s="595" t="n"/>
      <c r="AL841" s="594" t="n"/>
      <c r="AM841" s="595" t="n"/>
      <c r="AO841" s="594" t="n"/>
      <c r="AP841" s="595" t="n"/>
      <c r="AR841" s="594" t="n"/>
      <c r="AS841" s="595" t="n"/>
    </row>
    <row r="842" ht="15.75" customHeight="1" s="26">
      <c r="B842" s="593" t="n"/>
      <c r="E842" s="594" t="n"/>
      <c r="F842" s="595" t="n"/>
      <c r="H842" s="594" t="n"/>
      <c r="I842" s="595" t="n"/>
      <c r="K842" s="594" t="n"/>
      <c r="L842" s="595" t="n"/>
      <c r="N842" s="594" t="n"/>
      <c r="O842" s="595" t="n"/>
      <c r="Q842" s="594" t="n"/>
      <c r="R842" s="595" t="n"/>
      <c r="T842" s="594" t="n"/>
      <c r="U842" s="595" t="n"/>
      <c r="W842" s="594" t="n"/>
      <c r="X842" s="595" t="n"/>
      <c r="Z842" s="594" t="n"/>
      <c r="AA842" s="595" t="n"/>
      <c r="AC842" s="594" t="n"/>
      <c r="AD842" s="595" t="n"/>
      <c r="AF842" s="594" t="n"/>
      <c r="AG842" s="595" t="n"/>
      <c r="AI842" s="594" t="n"/>
      <c r="AJ842" s="595" t="n"/>
      <c r="AL842" s="594" t="n"/>
      <c r="AM842" s="595" t="n"/>
      <c r="AO842" s="594" t="n"/>
      <c r="AP842" s="595" t="n"/>
      <c r="AR842" s="594" t="n"/>
      <c r="AS842" s="595" t="n"/>
    </row>
    <row r="843" ht="15.75" customHeight="1" s="26">
      <c r="B843" s="593" t="n"/>
      <c r="E843" s="594" t="n"/>
      <c r="F843" s="595" t="n"/>
      <c r="H843" s="594" t="n"/>
      <c r="I843" s="595" t="n"/>
      <c r="K843" s="594" t="n"/>
      <c r="L843" s="595" t="n"/>
      <c r="N843" s="594" t="n"/>
      <c r="O843" s="595" t="n"/>
      <c r="Q843" s="594" t="n"/>
      <c r="R843" s="595" t="n"/>
      <c r="T843" s="594" t="n"/>
      <c r="U843" s="595" t="n"/>
      <c r="W843" s="594" t="n"/>
      <c r="X843" s="595" t="n"/>
      <c r="Z843" s="594" t="n"/>
      <c r="AA843" s="595" t="n"/>
      <c r="AC843" s="594" t="n"/>
      <c r="AD843" s="595" t="n"/>
      <c r="AF843" s="594" t="n"/>
      <c r="AG843" s="595" t="n"/>
      <c r="AI843" s="594" t="n"/>
      <c r="AJ843" s="595" t="n"/>
      <c r="AL843" s="594" t="n"/>
      <c r="AM843" s="595" t="n"/>
      <c r="AO843" s="594" t="n"/>
      <c r="AP843" s="595" t="n"/>
      <c r="AR843" s="594" t="n"/>
      <c r="AS843" s="595" t="n"/>
    </row>
    <row r="844" ht="15.75" customHeight="1" s="26">
      <c r="B844" s="593" t="n"/>
      <c r="E844" s="594" t="n"/>
      <c r="F844" s="595" t="n"/>
      <c r="H844" s="594" t="n"/>
      <c r="I844" s="595" t="n"/>
      <c r="K844" s="594" t="n"/>
      <c r="L844" s="595" t="n"/>
      <c r="N844" s="594" t="n"/>
      <c r="O844" s="595" t="n"/>
      <c r="Q844" s="594" t="n"/>
      <c r="R844" s="595" t="n"/>
      <c r="T844" s="594" t="n"/>
      <c r="U844" s="595" t="n"/>
      <c r="W844" s="594" t="n"/>
      <c r="X844" s="595" t="n"/>
      <c r="Z844" s="594" t="n"/>
      <c r="AA844" s="595" t="n"/>
      <c r="AC844" s="594" t="n"/>
      <c r="AD844" s="595" t="n"/>
      <c r="AF844" s="594" t="n"/>
      <c r="AG844" s="595" t="n"/>
      <c r="AI844" s="594" t="n"/>
      <c r="AJ844" s="595" t="n"/>
      <c r="AL844" s="594" t="n"/>
      <c r="AM844" s="595" t="n"/>
      <c r="AO844" s="594" t="n"/>
      <c r="AP844" s="595" t="n"/>
      <c r="AR844" s="594" t="n"/>
      <c r="AS844" s="595" t="n"/>
    </row>
    <row r="845" ht="15.75" customHeight="1" s="26">
      <c r="B845" s="593" t="n"/>
      <c r="E845" s="594" t="n"/>
      <c r="F845" s="595" t="n"/>
      <c r="H845" s="594" t="n"/>
      <c r="I845" s="595" t="n"/>
      <c r="K845" s="594" t="n"/>
      <c r="L845" s="595" t="n"/>
      <c r="N845" s="594" t="n"/>
      <c r="O845" s="595" t="n"/>
      <c r="Q845" s="594" t="n"/>
      <c r="R845" s="595" t="n"/>
      <c r="T845" s="594" t="n"/>
      <c r="U845" s="595" t="n"/>
      <c r="W845" s="594" t="n"/>
      <c r="X845" s="595" t="n"/>
      <c r="Z845" s="594" t="n"/>
      <c r="AA845" s="595" t="n"/>
      <c r="AC845" s="594" t="n"/>
      <c r="AD845" s="595" t="n"/>
      <c r="AF845" s="594" t="n"/>
      <c r="AG845" s="595" t="n"/>
      <c r="AI845" s="594" t="n"/>
      <c r="AJ845" s="595" t="n"/>
      <c r="AL845" s="594" t="n"/>
      <c r="AM845" s="595" t="n"/>
      <c r="AO845" s="594" t="n"/>
      <c r="AP845" s="595" t="n"/>
      <c r="AR845" s="594" t="n"/>
      <c r="AS845" s="595" t="n"/>
    </row>
    <row r="846" ht="15.75" customHeight="1" s="26">
      <c r="B846" s="593" t="n"/>
      <c r="E846" s="594" t="n"/>
      <c r="F846" s="595" t="n"/>
      <c r="H846" s="594" t="n"/>
      <c r="I846" s="595" t="n"/>
      <c r="K846" s="594" t="n"/>
      <c r="L846" s="595" t="n"/>
      <c r="N846" s="594" t="n"/>
      <c r="O846" s="595" t="n"/>
      <c r="Q846" s="594" t="n"/>
      <c r="R846" s="595" t="n"/>
      <c r="T846" s="594" t="n"/>
      <c r="U846" s="595" t="n"/>
      <c r="W846" s="594" t="n"/>
      <c r="X846" s="595" t="n"/>
      <c r="Z846" s="594" t="n"/>
      <c r="AA846" s="595" t="n"/>
      <c r="AC846" s="594" t="n"/>
      <c r="AD846" s="595" t="n"/>
      <c r="AF846" s="594" t="n"/>
      <c r="AG846" s="595" t="n"/>
      <c r="AI846" s="594" t="n"/>
      <c r="AJ846" s="595" t="n"/>
      <c r="AL846" s="594" t="n"/>
      <c r="AM846" s="595" t="n"/>
      <c r="AO846" s="594" t="n"/>
      <c r="AP846" s="595" t="n"/>
      <c r="AR846" s="594" t="n"/>
      <c r="AS846" s="595" t="n"/>
    </row>
    <row r="847" ht="15.75" customHeight="1" s="26">
      <c r="B847" s="593" t="n"/>
      <c r="E847" s="594" t="n"/>
      <c r="F847" s="595" t="n"/>
      <c r="H847" s="594" t="n"/>
      <c r="I847" s="595" t="n"/>
      <c r="K847" s="594" t="n"/>
      <c r="L847" s="595" t="n"/>
      <c r="N847" s="594" t="n"/>
      <c r="O847" s="595" t="n"/>
      <c r="Q847" s="594" t="n"/>
      <c r="R847" s="595" t="n"/>
      <c r="T847" s="594" t="n"/>
      <c r="U847" s="595" t="n"/>
      <c r="W847" s="594" t="n"/>
      <c r="X847" s="595" t="n"/>
      <c r="Z847" s="594" t="n"/>
      <c r="AA847" s="595" t="n"/>
      <c r="AC847" s="594" t="n"/>
      <c r="AD847" s="595" t="n"/>
      <c r="AF847" s="594" t="n"/>
      <c r="AG847" s="595" t="n"/>
      <c r="AI847" s="594" t="n"/>
      <c r="AJ847" s="595" t="n"/>
      <c r="AL847" s="594" t="n"/>
      <c r="AM847" s="595" t="n"/>
      <c r="AO847" s="594" t="n"/>
      <c r="AP847" s="595" t="n"/>
      <c r="AR847" s="594" t="n"/>
      <c r="AS847" s="595" t="n"/>
    </row>
    <row r="848" ht="15.75" customHeight="1" s="26">
      <c r="B848" s="593" t="n"/>
      <c r="E848" s="594" t="n"/>
      <c r="F848" s="595" t="n"/>
      <c r="H848" s="594" t="n"/>
      <c r="I848" s="595" t="n"/>
      <c r="K848" s="594" t="n"/>
      <c r="L848" s="595" t="n"/>
      <c r="N848" s="594" t="n"/>
      <c r="O848" s="595" t="n"/>
      <c r="Q848" s="594" t="n"/>
      <c r="R848" s="595" t="n"/>
      <c r="T848" s="594" t="n"/>
      <c r="U848" s="595" t="n"/>
      <c r="W848" s="594" t="n"/>
      <c r="X848" s="595" t="n"/>
      <c r="Z848" s="594" t="n"/>
      <c r="AA848" s="595" t="n"/>
      <c r="AC848" s="594" t="n"/>
      <c r="AD848" s="595" t="n"/>
      <c r="AF848" s="594" t="n"/>
      <c r="AG848" s="595" t="n"/>
      <c r="AI848" s="594" t="n"/>
      <c r="AJ848" s="595" t="n"/>
      <c r="AL848" s="594" t="n"/>
      <c r="AM848" s="595" t="n"/>
      <c r="AO848" s="594" t="n"/>
      <c r="AP848" s="595" t="n"/>
      <c r="AR848" s="594" t="n"/>
      <c r="AS848" s="595" t="n"/>
    </row>
    <row r="849" ht="15.75" customHeight="1" s="26">
      <c r="B849" s="593" t="n"/>
      <c r="E849" s="594" t="n"/>
      <c r="F849" s="595" t="n"/>
      <c r="H849" s="594" t="n"/>
      <c r="I849" s="595" t="n"/>
      <c r="K849" s="594" t="n"/>
      <c r="L849" s="595" t="n"/>
      <c r="N849" s="594" t="n"/>
      <c r="O849" s="595" t="n"/>
      <c r="Q849" s="594" t="n"/>
      <c r="R849" s="595" t="n"/>
      <c r="T849" s="594" t="n"/>
      <c r="U849" s="595" t="n"/>
      <c r="W849" s="594" t="n"/>
      <c r="X849" s="595" t="n"/>
      <c r="Z849" s="594" t="n"/>
      <c r="AA849" s="595" t="n"/>
      <c r="AC849" s="594" t="n"/>
      <c r="AD849" s="595" t="n"/>
      <c r="AF849" s="594" t="n"/>
      <c r="AG849" s="595" t="n"/>
      <c r="AI849" s="594" t="n"/>
      <c r="AJ849" s="595" t="n"/>
      <c r="AL849" s="594" t="n"/>
      <c r="AM849" s="595" t="n"/>
      <c r="AO849" s="594" t="n"/>
      <c r="AP849" s="595" t="n"/>
      <c r="AR849" s="594" t="n"/>
      <c r="AS849" s="595" t="n"/>
    </row>
    <row r="850" ht="15.75" customHeight="1" s="26">
      <c r="B850" s="593" t="n"/>
      <c r="E850" s="594" t="n"/>
      <c r="F850" s="595" t="n"/>
      <c r="H850" s="594" t="n"/>
      <c r="I850" s="595" t="n"/>
      <c r="K850" s="594" t="n"/>
      <c r="L850" s="595" t="n"/>
      <c r="N850" s="594" t="n"/>
      <c r="O850" s="595" t="n"/>
      <c r="Q850" s="594" t="n"/>
      <c r="R850" s="595" t="n"/>
      <c r="T850" s="594" t="n"/>
      <c r="U850" s="595" t="n"/>
      <c r="W850" s="594" t="n"/>
      <c r="X850" s="595" t="n"/>
      <c r="Z850" s="594" t="n"/>
      <c r="AA850" s="595" t="n"/>
      <c r="AC850" s="594" t="n"/>
      <c r="AD850" s="595" t="n"/>
      <c r="AF850" s="594" t="n"/>
      <c r="AG850" s="595" t="n"/>
      <c r="AI850" s="594" t="n"/>
      <c r="AJ850" s="595" t="n"/>
      <c r="AL850" s="594" t="n"/>
      <c r="AM850" s="595" t="n"/>
      <c r="AO850" s="594" t="n"/>
      <c r="AP850" s="595" t="n"/>
      <c r="AR850" s="594" t="n"/>
      <c r="AS850" s="595" t="n"/>
    </row>
    <row r="851" ht="15.75" customHeight="1" s="26">
      <c r="B851" s="593" t="n"/>
      <c r="E851" s="594" t="n"/>
      <c r="F851" s="595" t="n"/>
      <c r="H851" s="594" t="n"/>
      <c r="I851" s="595" t="n"/>
      <c r="K851" s="594" t="n"/>
      <c r="L851" s="595" t="n"/>
      <c r="N851" s="594" t="n"/>
      <c r="O851" s="595" t="n"/>
      <c r="Q851" s="594" t="n"/>
      <c r="R851" s="595" t="n"/>
      <c r="T851" s="594" t="n"/>
      <c r="U851" s="595" t="n"/>
      <c r="W851" s="594" t="n"/>
      <c r="X851" s="595" t="n"/>
      <c r="Z851" s="594" t="n"/>
      <c r="AA851" s="595" t="n"/>
      <c r="AC851" s="594" t="n"/>
      <c r="AD851" s="595" t="n"/>
      <c r="AF851" s="594" t="n"/>
      <c r="AG851" s="595" t="n"/>
      <c r="AI851" s="594" t="n"/>
      <c r="AJ851" s="595" t="n"/>
      <c r="AL851" s="594" t="n"/>
      <c r="AM851" s="595" t="n"/>
      <c r="AO851" s="594" t="n"/>
      <c r="AP851" s="595" t="n"/>
      <c r="AR851" s="594" t="n"/>
      <c r="AS851" s="595" t="n"/>
    </row>
    <row r="852" ht="15.75" customHeight="1" s="26">
      <c r="B852" s="593" t="n"/>
      <c r="E852" s="594" t="n"/>
      <c r="F852" s="595" t="n"/>
      <c r="H852" s="594" t="n"/>
      <c r="I852" s="595" t="n"/>
      <c r="K852" s="594" t="n"/>
      <c r="L852" s="595" t="n"/>
      <c r="N852" s="594" t="n"/>
      <c r="O852" s="595" t="n"/>
      <c r="Q852" s="594" t="n"/>
      <c r="R852" s="595" t="n"/>
      <c r="T852" s="594" t="n"/>
      <c r="U852" s="595" t="n"/>
      <c r="W852" s="594" t="n"/>
      <c r="X852" s="595" t="n"/>
      <c r="Z852" s="594" t="n"/>
      <c r="AA852" s="595" t="n"/>
      <c r="AC852" s="594" t="n"/>
      <c r="AD852" s="595" t="n"/>
      <c r="AF852" s="594" t="n"/>
      <c r="AG852" s="595" t="n"/>
      <c r="AI852" s="594" t="n"/>
      <c r="AJ852" s="595" t="n"/>
      <c r="AL852" s="594" t="n"/>
      <c r="AM852" s="595" t="n"/>
      <c r="AO852" s="594" t="n"/>
      <c r="AP852" s="595" t="n"/>
      <c r="AR852" s="594" t="n"/>
      <c r="AS852" s="595" t="n"/>
    </row>
    <row r="853" ht="15.75" customHeight="1" s="26">
      <c r="B853" s="593" t="n"/>
      <c r="E853" s="594" t="n"/>
      <c r="F853" s="595" t="n"/>
      <c r="H853" s="594" t="n"/>
      <c r="I853" s="595" t="n"/>
      <c r="K853" s="594" t="n"/>
      <c r="L853" s="595" t="n"/>
      <c r="N853" s="594" t="n"/>
      <c r="O853" s="595" t="n"/>
      <c r="Q853" s="594" t="n"/>
      <c r="R853" s="595" t="n"/>
      <c r="T853" s="594" t="n"/>
      <c r="U853" s="595" t="n"/>
      <c r="W853" s="594" t="n"/>
      <c r="X853" s="595" t="n"/>
      <c r="Z853" s="594" t="n"/>
      <c r="AA853" s="595" t="n"/>
      <c r="AC853" s="594" t="n"/>
      <c r="AD853" s="595" t="n"/>
      <c r="AF853" s="594" t="n"/>
      <c r="AG853" s="595" t="n"/>
      <c r="AI853" s="594" t="n"/>
      <c r="AJ853" s="595" t="n"/>
      <c r="AL853" s="594" t="n"/>
      <c r="AM853" s="595" t="n"/>
      <c r="AO853" s="594" t="n"/>
      <c r="AP853" s="595" t="n"/>
      <c r="AR853" s="594" t="n"/>
      <c r="AS853" s="595" t="n"/>
    </row>
    <row r="854" ht="15.75" customHeight="1" s="26">
      <c r="B854" s="593" t="n"/>
      <c r="E854" s="594" t="n"/>
      <c r="F854" s="595" t="n"/>
      <c r="H854" s="594" t="n"/>
      <c r="I854" s="595" t="n"/>
      <c r="K854" s="594" t="n"/>
      <c r="L854" s="595" t="n"/>
      <c r="N854" s="594" t="n"/>
      <c r="O854" s="595" t="n"/>
      <c r="Q854" s="594" t="n"/>
      <c r="R854" s="595" t="n"/>
      <c r="T854" s="594" t="n"/>
      <c r="U854" s="595" t="n"/>
      <c r="W854" s="594" t="n"/>
      <c r="X854" s="595" t="n"/>
      <c r="Z854" s="594" t="n"/>
      <c r="AA854" s="595" t="n"/>
      <c r="AC854" s="594" t="n"/>
      <c r="AD854" s="595" t="n"/>
      <c r="AF854" s="594" t="n"/>
      <c r="AG854" s="595" t="n"/>
      <c r="AI854" s="594" t="n"/>
      <c r="AJ854" s="595" t="n"/>
      <c r="AL854" s="594" t="n"/>
      <c r="AM854" s="595" t="n"/>
      <c r="AO854" s="594" t="n"/>
      <c r="AP854" s="595" t="n"/>
      <c r="AR854" s="594" t="n"/>
      <c r="AS854" s="595" t="n"/>
    </row>
    <row r="855" ht="15.75" customHeight="1" s="26">
      <c r="B855" s="593" t="n"/>
      <c r="E855" s="594" t="n"/>
      <c r="F855" s="595" t="n"/>
      <c r="H855" s="594" t="n"/>
      <c r="I855" s="595" t="n"/>
      <c r="K855" s="594" t="n"/>
      <c r="L855" s="595" t="n"/>
      <c r="N855" s="594" t="n"/>
      <c r="O855" s="595" t="n"/>
      <c r="Q855" s="594" t="n"/>
      <c r="R855" s="595" t="n"/>
      <c r="T855" s="594" t="n"/>
      <c r="U855" s="595" t="n"/>
      <c r="W855" s="594" t="n"/>
      <c r="X855" s="595" t="n"/>
      <c r="Z855" s="594" t="n"/>
      <c r="AA855" s="595" t="n"/>
      <c r="AC855" s="594" t="n"/>
      <c r="AD855" s="595" t="n"/>
      <c r="AF855" s="594" t="n"/>
      <c r="AG855" s="595" t="n"/>
      <c r="AI855" s="594" t="n"/>
      <c r="AJ855" s="595" t="n"/>
      <c r="AL855" s="594" t="n"/>
      <c r="AM855" s="595" t="n"/>
      <c r="AO855" s="594" t="n"/>
      <c r="AP855" s="595" t="n"/>
      <c r="AR855" s="594" t="n"/>
      <c r="AS855" s="595" t="n"/>
    </row>
    <row r="856" ht="15.75" customHeight="1" s="26">
      <c r="B856" s="593" t="n"/>
      <c r="E856" s="594" t="n"/>
      <c r="F856" s="595" t="n"/>
      <c r="H856" s="594" t="n"/>
      <c r="I856" s="595" t="n"/>
      <c r="K856" s="594" t="n"/>
      <c r="L856" s="595" t="n"/>
      <c r="N856" s="594" t="n"/>
      <c r="O856" s="595" t="n"/>
      <c r="Q856" s="594" t="n"/>
      <c r="R856" s="595" t="n"/>
      <c r="T856" s="594" t="n"/>
      <c r="U856" s="595" t="n"/>
      <c r="W856" s="594" t="n"/>
      <c r="X856" s="595" t="n"/>
      <c r="Z856" s="594" t="n"/>
      <c r="AA856" s="595" t="n"/>
      <c r="AC856" s="594" t="n"/>
      <c r="AD856" s="595" t="n"/>
      <c r="AF856" s="594" t="n"/>
      <c r="AG856" s="595" t="n"/>
      <c r="AI856" s="594" t="n"/>
      <c r="AJ856" s="595" t="n"/>
      <c r="AL856" s="594" t="n"/>
      <c r="AM856" s="595" t="n"/>
      <c r="AO856" s="594" t="n"/>
      <c r="AP856" s="595" t="n"/>
      <c r="AR856" s="594" t="n"/>
      <c r="AS856" s="595" t="n"/>
    </row>
    <row r="857" ht="15.75" customHeight="1" s="26">
      <c r="B857" s="593" t="n"/>
      <c r="E857" s="594" t="n"/>
      <c r="F857" s="595" t="n"/>
      <c r="H857" s="594" t="n"/>
      <c r="I857" s="595" t="n"/>
      <c r="K857" s="594" t="n"/>
      <c r="L857" s="595" t="n"/>
      <c r="N857" s="594" t="n"/>
      <c r="O857" s="595" t="n"/>
      <c r="Q857" s="594" t="n"/>
      <c r="R857" s="595" t="n"/>
      <c r="T857" s="594" t="n"/>
      <c r="U857" s="595" t="n"/>
      <c r="W857" s="594" t="n"/>
      <c r="X857" s="595" t="n"/>
      <c r="Z857" s="594" t="n"/>
      <c r="AA857" s="595" t="n"/>
      <c r="AC857" s="594" t="n"/>
      <c r="AD857" s="595" t="n"/>
      <c r="AF857" s="594" t="n"/>
      <c r="AG857" s="595" t="n"/>
      <c r="AI857" s="594" t="n"/>
      <c r="AJ857" s="595" t="n"/>
      <c r="AL857" s="594" t="n"/>
      <c r="AM857" s="595" t="n"/>
      <c r="AO857" s="594" t="n"/>
      <c r="AP857" s="595" t="n"/>
      <c r="AR857" s="594" t="n"/>
      <c r="AS857" s="595" t="n"/>
    </row>
    <row r="858" ht="15.75" customHeight="1" s="26">
      <c r="B858" s="593" t="n"/>
      <c r="E858" s="594" t="n"/>
      <c r="F858" s="595" t="n"/>
      <c r="H858" s="594" t="n"/>
      <c r="I858" s="595" t="n"/>
      <c r="K858" s="594" t="n"/>
      <c r="L858" s="595" t="n"/>
      <c r="N858" s="594" t="n"/>
      <c r="O858" s="595" t="n"/>
      <c r="Q858" s="594" t="n"/>
      <c r="R858" s="595" t="n"/>
      <c r="T858" s="594" t="n"/>
      <c r="U858" s="595" t="n"/>
      <c r="W858" s="594" t="n"/>
      <c r="X858" s="595" t="n"/>
      <c r="Z858" s="594" t="n"/>
      <c r="AA858" s="595" t="n"/>
      <c r="AC858" s="594" t="n"/>
      <c r="AD858" s="595" t="n"/>
      <c r="AF858" s="594" t="n"/>
      <c r="AG858" s="595" t="n"/>
      <c r="AI858" s="594" t="n"/>
      <c r="AJ858" s="595" t="n"/>
      <c r="AL858" s="594" t="n"/>
      <c r="AM858" s="595" t="n"/>
      <c r="AO858" s="594" t="n"/>
      <c r="AP858" s="595" t="n"/>
      <c r="AR858" s="594" t="n"/>
      <c r="AS858" s="595" t="n"/>
    </row>
    <row r="859" ht="15.75" customHeight="1" s="26">
      <c r="B859" s="593" t="n"/>
      <c r="E859" s="594" t="n"/>
      <c r="F859" s="595" t="n"/>
      <c r="H859" s="594" t="n"/>
      <c r="I859" s="595" t="n"/>
      <c r="K859" s="594" t="n"/>
      <c r="L859" s="595" t="n"/>
      <c r="N859" s="594" t="n"/>
      <c r="O859" s="595" t="n"/>
      <c r="Q859" s="594" t="n"/>
      <c r="R859" s="595" t="n"/>
      <c r="T859" s="594" t="n"/>
      <c r="U859" s="595" t="n"/>
      <c r="W859" s="594" t="n"/>
      <c r="X859" s="595" t="n"/>
      <c r="Z859" s="594" t="n"/>
      <c r="AA859" s="595" t="n"/>
      <c r="AC859" s="594" t="n"/>
      <c r="AD859" s="595" t="n"/>
      <c r="AF859" s="594" t="n"/>
      <c r="AG859" s="595" t="n"/>
      <c r="AI859" s="594" t="n"/>
      <c r="AJ859" s="595" t="n"/>
      <c r="AL859" s="594" t="n"/>
      <c r="AM859" s="595" t="n"/>
      <c r="AO859" s="594" t="n"/>
      <c r="AP859" s="595" t="n"/>
      <c r="AR859" s="594" t="n"/>
      <c r="AS859" s="595" t="n"/>
    </row>
    <row r="860" ht="15.75" customHeight="1" s="26">
      <c r="B860" s="593" t="n"/>
      <c r="E860" s="594" t="n"/>
      <c r="F860" s="595" t="n"/>
      <c r="H860" s="594" t="n"/>
      <c r="I860" s="595" t="n"/>
      <c r="K860" s="594" t="n"/>
      <c r="L860" s="595" t="n"/>
      <c r="N860" s="594" t="n"/>
      <c r="O860" s="595" t="n"/>
      <c r="Q860" s="594" t="n"/>
      <c r="R860" s="595" t="n"/>
      <c r="T860" s="594" t="n"/>
      <c r="U860" s="595" t="n"/>
      <c r="W860" s="594" t="n"/>
      <c r="X860" s="595" t="n"/>
      <c r="Z860" s="594" t="n"/>
      <c r="AA860" s="595" t="n"/>
      <c r="AC860" s="594" t="n"/>
      <c r="AD860" s="595" t="n"/>
      <c r="AF860" s="594" t="n"/>
      <c r="AG860" s="595" t="n"/>
      <c r="AI860" s="594" t="n"/>
      <c r="AJ860" s="595" t="n"/>
      <c r="AL860" s="594" t="n"/>
      <c r="AM860" s="595" t="n"/>
      <c r="AO860" s="594" t="n"/>
      <c r="AP860" s="595" t="n"/>
      <c r="AR860" s="594" t="n"/>
      <c r="AS860" s="595" t="n"/>
    </row>
    <row r="861" ht="15.75" customHeight="1" s="26">
      <c r="B861" s="593" t="n"/>
      <c r="E861" s="594" t="n"/>
      <c r="F861" s="595" t="n"/>
      <c r="H861" s="594" t="n"/>
      <c r="I861" s="595" t="n"/>
      <c r="K861" s="594" t="n"/>
      <c r="L861" s="595" t="n"/>
      <c r="N861" s="594" t="n"/>
      <c r="O861" s="595" t="n"/>
      <c r="Q861" s="594" t="n"/>
      <c r="R861" s="595" t="n"/>
      <c r="T861" s="594" t="n"/>
      <c r="U861" s="595" t="n"/>
      <c r="W861" s="594" t="n"/>
      <c r="X861" s="595" t="n"/>
      <c r="Z861" s="594" t="n"/>
      <c r="AA861" s="595" t="n"/>
      <c r="AC861" s="594" t="n"/>
      <c r="AD861" s="595" t="n"/>
      <c r="AF861" s="594" t="n"/>
      <c r="AG861" s="595" t="n"/>
      <c r="AI861" s="594" t="n"/>
      <c r="AJ861" s="595" t="n"/>
      <c r="AL861" s="594" t="n"/>
      <c r="AM861" s="595" t="n"/>
      <c r="AO861" s="594" t="n"/>
      <c r="AP861" s="595" t="n"/>
      <c r="AR861" s="594" t="n"/>
      <c r="AS861" s="595" t="n"/>
    </row>
    <row r="862" ht="15.75" customHeight="1" s="26">
      <c r="B862" s="593" t="n"/>
      <c r="E862" s="594" t="n"/>
      <c r="F862" s="595" t="n"/>
      <c r="H862" s="594" t="n"/>
      <c r="I862" s="595" t="n"/>
      <c r="K862" s="594" t="n"/>
      <c r="L862" s="595" t="n"/>
      <c r="N862" s="594" t="n"/>
      <c r="O862" s="595" t="n"/>
      <c r="Q862" s="594" t="n"/>
      <c r="R862" s="595" t="n"/>
      <c r="T862" s="594" t="n"/>
      <c r="U862" s="595" t="n"/>
      <c r="W862" s="594" t="n"/>
      <c r="X862" s="595" t="n"/>
      <c r="Z862" s="594" t="n"/>
      <c r="AA862" s="595" t="n"/>
      <c r="AC862" s="594" t="n"/>
      <c r="AD862" s="595" t="n"/>
      <c r="AF862" s="594" t="n"/>
      <c r="AG862" s="595" t="n"/>
      <c r="AI862" s="594" t="n"/>
      <c r="AJ862" s="595" t="n"/>
      <c r="AL862" s="594" t="n"/>
      <c r="AM862" s="595" t="n"/>
      <c r="AO862" s="594" t="n"/>
      <c r="AP862" s="595" t="n"/>
      <c r="AR862" s="594" t="n"/>
      <c r="AS862" s="595" t="n"/>
    </row>
    <row r="863" ht="15.75" customHeight="1" s="26">
      <c r="B863" s="593" t="n"/>
      <c r="E863" s="594" t="n"/>
      <c r="F863" s="595" t="n"/>
      <c r="H863" s="594" t="n"/>
      <c r="I863" s="595" t="n"/>
      <c r="K863" s="594" t="n"/>
      <c r="L863" s="595" t="n"/>
      <c r="N863" s="594" t="n"/>
      <c r="O863" s="595" t="n"/>
      <c r="Q863" s="594" t="n"/>
      <c r="R863" s="595" t="n"/>
      <c r="T863" s="594" t="n"/>
      <c r="U863" s="595" t="n"/>
      <c r="W863" s="594" t="n"/>
      <c r="X863" s="595" t="n"/>
      <c r="Z863" s="594" t="n"/>
      <c r="AA863" s="595" t="n"/>
      <c r="AC863" s="594" t="n"/>
      <c r="AD863" s="595" t="n"/>
      <c r="AF863" s="594" t="n"/>
      <c r="AG863" s="595" t="n"/>
      <c r="AI863" s="594" t="n"/>
      <c r="AJ863" s="595" t="n"/>
      <c r="AL863" s="594" t="n"/>
      <c r="AM863" s="595" t="n"/>
      <c r="AO863" s="594" t="n"/>
      <c r="AP863" s="595" t="n"/>
      <c r="AR863" s="594" t="n"/>
      <c r="AS863" s="595" t="n"/>
    </row>
    <row r="864" ht="15.75" customHeight="1" s="26">
      <c r="B864" s="593" t="n"/>
      <c r="E864" s="594" t="n"/>
      <c r="F864" s="595" t="n"/>
      <c r="H864" s="594" t="n"/>
      <c r="I864" s="595" t="n"/>
      <c r="K864" s="594" t="n"/>
      <c r="L864" s="595" t="n"/>
      <c r="N864" s="594" t="n"/>
      <c r="O864" s="595" t="n"/>
      <c r="Q864" s="594" t="n"/>
      <c r="R864" s="595" t="n"/>
      <c r="T864" s="594" t="n"/>
      <c r="U864" s="595" t="n"/>
      <c r="W864" s="594" t="n"/>
      <c r="X864" s="595" t="n"/>
      <c r="Z864" s="594" t="n"/>
      <c r="AA864" s="595" t="n"/>
      <c r="AC864" s="594" t="n"/>
      <c r="AD864" s="595" t="n"/>
      <c r="AF864" s="594" t="n"/>
      <c r="AG864" s="595" t="n"/>
      <c r="AI864" s="594" t="n"/>
      <c r="AJ864" s="595" t="n"/>
      <c r="AL864" s="594" t="n"/>
      <c r="AM864" s="595" t="n"/>
      <c r="AO864" s="594" t="n"/>
      <c r="AP864" s="595" t="n"/>
      <c r="AR864" s="594" t="n"/>
      <c r="AS864" s="595" t="n"/>
    </row>
    <row r="865" ht="15.75" customHeight="1" s="26">
      <c r="B865" s="593" t="n"/>
      <c r="E865" s="594" t="n"/>
      <c r="F865" s="595" t="n"/>
      <c r="H865" s="594" t="n"/>
      <c r="I865" s="595" t="n"/>
      <c r="K865" s="594" t="n"/>
      <c r="L865" s="595" t="n"/>
      <c r="N865" s="594" t="n"/>
      <c r="O865" s="595" t="n"/>
      <c r="Q865" s="594" t="n"/>
      <c r="R865" s="595" t="n"/>
      <c r="T865" s="594" t="n"/>
      <c r="U865" s="595" t="n"/>
      <c r="W865" s="594" t="n"/>
      <c r="X865" s="595" t="n"/>
      <c r="Z865" s="594" t="n"/>
      <c r="AA865" s="595" t="n"/>
      <c r="AC865" s="594" t="n"/>
      <c r="AD865" s="595" t="n"/>
      <c r="AF865" s="594" t="n"/>
      <c r="AG865" s="595" t="n"/>
      <c r="AI865" s="594" t="n"/>
      <c r="AJ865" s="595" t="n"/>
      <c r="AL865" s="594" t="n"/>
      <c r="AM865" s="595" t="n"/>
      <c r="AO865" s="594" t="n"/>
      <c r="AP865" s="595" t="n"/>
      <c r="AR865" s="594" t="n"/>
      <c r="AS865" s="595" t="n"/>
    </row>
    <row r="866" ht="15.75" customHeight="1" s="26">
      <c r="B866" s="593" t="n"/>
      <c r="E866" s="594" t="n"/>
      <c r="F866" s="595" t="n"/>
      <c r="H866" s="594" t="n"/>
      <c r="I866" s="595" t="n"/>
      <c r="K866" s="594" t="n"/>
      <c r="L866" s="595" t="n"/>
      <c r="N866" s="594" t="n"/>
      <c r="O866" s="595" t="n"/>
      <c r="Q866" s="594" t="n"/>
      <c r="R866" s="595" t="n"/>
      <c r="T866" s="594" t="n"/>
      <c r="U866" s="595" t="n"/>
      <c r="W866" s="594" t="n"/>
      <c r="X866" s="595" t="n"/>
      <c r="Z866" s="594" t="n"/>
      <c r="AA866" s="595" t="n"/>
      <c r="AC866" s="594" t="n"/>
      <c r="AD866" s="595" t="n"/>
      <c r="AF866" s="594" t="n"/>
      <c r="AG866" s="595" t="n"/>
      <c r="AI866" s="594" t="n"/>
      <c r="AJ866" s="595" t="n"/>
      <c r="AL866" s="594" t="n"/>
      <c r="AM866" s="595" t="n"/>
      <c r="AO866" s="594" t="n"/>
      <c r="AP866" s="595" t="n"/>
      <c r="AR866" s="594" t="n"/>
      <c r="AS866" s="595" t="n"/>
    </row>
    <row r="867" ht="15.75" customHeight="1" s="26">
      <c r="B867" s="593" t="n"/>
      <c r="E867" s="594" t="n"/>
      <c r="F867" s="595" t="n"/>
      <c r="H867" s="594" t="n"/>
      <c r="I867" s="595" t="n"/>
      <c r="K867" s="594" t="n"/>
      <c r="L867" s="595" t="n"/>
      <c r="N867" s="594" t="n"/>
      <c r="O867" s="595" t="n"/>
      <c r="Q867" s="594" t="n"/>
      <c r="R867" s="595" t="n"/>
      <c r="T867" s="594" t="n"/>
      <c r="U867" s="595" t="n"/>
      <c r="W867" s="594" t="n"/>
      <c r="X867" s="595" t="n"/>
      <c r="Z867" s="594" t="n"/>
      <c r="AA867" s="595" t="n"/>
      <c r="AC867" s="594" t="n"/>
      <c r="AD867" s="595" t="n"/>
      <c r="AF867" s="594" t="n"/>
      <c r="AG867" s="595" t="n"/>
      <c r="AI867" s="594" t="n"/>
      <c r="AJ867" s="595" t="n"/>
      <c r="AL867" s="594" t="n"/>
      <c r="AM867" s="595" t="n"/>
      <c r="AO867" s="594" t="n"/>
      <c r="AP867" s="595" t="n"/>
      <c r="AR867" s="594" t="n"/>
      <c r="AS867" s="595" t="n"/>
    </row>
    <row r="868" ht="15.75" customHeight="1" s="26">
      <c r="B868" s="593" t="n"/>
      <c r="E868" s="594" t="n"/>
      <c r="F868" s="595" t="n"/>
      <c r="H868" s="594" t="n"/>
      <c r="I868" s="595" t="n"/>
      <c r="K868" s="594" t="n"/>
      <c r="L868" s="595" t="n"/>
      <c r="N868" s="594" t="n"/>
      <c r="O868" s="595" t="n"/>
      <c r="Q868" s="594" t="n"/>
      <c r="R868" s="595" t="n"/>
      <c r="T868" s="594" t="n"/>
      <c r="U868" s="595" t="n"/>
      <c r="W868" s="594" t="n"/>
      <c r="X868" s="595" t="n"/>
      <c r="Z868" s="594" t="n"/>
      <c r="AA868" s="595" t="n"/>
      <c r="AC868" s="594" t="n"/>
      <c r="AD868" s="595" t="n"/>
      <c r="AF868" s="594" t="n"/>
      <c r="AG868" s="595" t="n"/>
      <c r="AI868" s="594" t="n"/>
      <c r="AJ868" s="595" t="n"/>
      <c r="AL868" s="594" t="n"/>
      <c r="AM868" s="595" t="n"/>
      <c r="AO868" s="594" t="n"/>
      <c r="AP868" s="595" t="n"/>
      <c r="AR868" s="594" t="n"/>
      <c r="AS868" s="595" t="n"/>
    </row>
    <row r="869" ht="15.75" customHeight="1" s="26">
      <c r="B869" s="593" t="n"/>
      <c r="E869" s="594" t="n"/>
      <c r="F869" s="595" t="n"/>
      <c r="H869" s="594" t="n"/>
      <c r="I869" s="595" t="n"/>
      <c r="K869" s="594" t="n"/>
      <c r="L869" s="595" t="n"/>
      <c r="N869" s="594" t="n"/>
      <c r="O869" s="595" t="n"/>
      <c r="Q869" s="594" t="n"/>
      <c r="R869" s="595" t="n"/>
      <c r="T869" s="594" t="n"/>
      <c r="U869" s="595" t="n"/>
      <c r="W869" s="594" t="n"/>
      <c r="X869" s="595" t="n"/>
      <c r="Z869" s="594" t="n"/>
      <c r="AA869" s="595" t="n"/>
      <c r="AC869" s="594" t="n"/>
      <c r="AD869" s="595" t="n"/>
      <c r="AF869" s="594" t="n"/>
      <c r="AG869" s="595" t="n"/>
      <c r="AI869" s="594" t="n"/>
      <c r="AJ869" s="595" t="n"/>
      <c r="AL869" s="594" t="n"/>
      <c r="AM869" s="595" t="n"/>
      <c r="AO869" s="594" t="n"/>
      <c r="AP869" s="595" t="n"/>
      <c r="AR869" s="594" t="n"/>
      <c r="AS869" s="595" t="n"/>
    </row>
    <row r="870" ht="15.75" customHeight="1" s="26">
      <c r="B870" s="593" t="n"/>
      <c r="E870" s="594" t="n"/>
      <c r="F870" s="595" t="n"/>
      <c r="H870" s="594" t="n"/>
      <c r="I870" s="595" t="n"/>
      <c r="K870" s="594" t="n"/>
      <c r="L870" s="595" t="n"/>
      <c r="N870" s="594" t="n"/>
      <c r="O870" s="595" t="n"/>
      <c r="Q870" s="594" t="n"/>
      <c r="R870" s="595" t="n"/>
      <c r="T870" s="594" t="n"/>
      <c r="U870" s="595" t="n"/>
      <c r="W870" s="594" t="n"/>
      <c r="X870" s="595" t="n"/>
      <c r="Z870" s="594" t="n"/>
      <c r="AA870" s="595" t="n"/>
      <c r="AC870" s="594" t="n"/>
      <c r="AD870" s="595" t="n"/>
      <c r="AF870" s="594" t="n"/>
      <c r="AG870" s="595" t="n"/>
      <c r="AI870" s="594" t="n"/>
      <c r="AJ870" s="595" t="n"/>
      <c r="AL870" s="594" t="n"/>
      <c r="AM870" s="595" t="n"/>
      <c r="AO870" s="594" t="n"/>
      <c r="AP870" s="595" t="n"/>
      <c r="AR870" s="594" t="n"/>
      <c r="AS870" s="595" t="n"/>
    </row>
    <row r="871" ht="15.75" customHeight="1" s="26">
      <c r="B871" s="593" t="n"/>
      <c r="E871" s="594" t="n"/>
      <c r="F871" s="595" t="n"/>
      <c r="H871" s="594" t="n"/>
      <c r="I871" s="595" t="n"/>
      <c r="K871" s="594" t="n"/>
      <c r="L871" s="595" t="n"/>
      <c r="N871" s="594" t="n"/>
      <c r="O871" s="595" t="n"/>
      <c r="Q871" s="594" t="n"/>
      <c r="R871" s="595" t="n"/>
      <c r="T871" s="594" t="n"/>
      <c r="U871" s="595" t="n"/>
      <c r="W871" s="594" t="n"/>
      <c r="X871" s="595" t="n"/>
      <c r="Z871" s="594" t="n"/>
      <c r="AA871" s="595" t="n"/>
      <c r="AC871" s="594" t="n"/>
      <c r="AD871" s="595" t="n"/>
      <c r="AF871" s="594" t="n"/>
      <c r="AG871" s="595" t="n"/>
      <c r="AI871" s="594" t="n"/>
      <c r="AJ871" s="595" t="n"/>
      <c r="AL871" s="594" t="n"/>
      <c r="AM871" s="595" t="n"/>
      <c r="AO871" s="594" t="n"/>
      <c r="AP871" s="595" t="n"/>
      <c r="AR871" s="594" t="n"/>
      <c r="AS871" s="595" t="n"/>
    </row>
    <row r="872" ht="15.75" customHeight="1" s="26">
      <c r="B872" s="593" t="n"/>
      <c r="E872" s="594" t="n"/>
      <c r="F872" s="595" t="n"/>
      <c r="H872" s="594" t="n"/>
      <c r="I872" s="595" t="n"/>
      <c r="K872" s="594" t="n"/>
      <c r="L872" s="595" t="n"/>
      <c r="N872" s="594" t="n"/>
      <c r="O872" s="595" t="n"/>
      <c r="Q872" s="594" t="n"/>
      <c r="R872" s="595" t="n"/>
      <c r="T872" s="594" t="n"/>
      <c r="U872" s="595" t="n"/>
      <c r="W872" s="594" t="n"/>
      <c r="X872" s="595" t="n"/>
      <c r="Z872" s="594" t="n"/>
      <c r="AA872" s="595" t="n"/>
      <c r="AC872" s="594" t="n"/>
      <c r="AD872" s="595" t="n"/>
      <c r="AF872" s="594" t="n"/>
      <c r="AG872" s="595" t="n"/>
      <c r="AI872" s="594" t="n"/>
      <c r="AJ872" s="595" t="n"/>
      <c r="AL872" s="594" t="n"/>
      <c r="AM872" s="595" t="n"/>
      <c r="AO872" s="594" t="n"/>
      <c r="AP872" s="595" t="n"/>
      <c r="AR872" s="594" t="n"/>
      <c r="AS872" s="595" t="n"/>
    </row>
    <row r="873" ht="15.75" customHeight="1" s="26">
      <c r="B873" s="593" t="n"/>
      <c r="E873" s="594" t="n"/>
      <c r="F873" s="595" t="n"/>
      <c r="H873" s="594" t="n"/>
      <c r="I873" s="595" t="n"/>
      <c r="K873" s="594" t="n"/>
      <c r="L873" s="595" t="n"/>
      <c r="N873" s="594" t="n"/>
      <c r="O873" s="595" t="n"/>
      <c r="Q873" s="594" t="n"/>
      <c r="R873" s="595" t="n"/>
      <c r="T873" s="594" t="n"/>
      <c r="U873" s="595" t="n"/>
      <c r="W873" s="594" t="n"/>
      <c r="X873" s="595" t="n"/>
      <c r="Z873" s="594" t="n"/>
      <c r="AA873" s="595" t="n"/>
      <c r="AC873" s="594" t="n"/>
      <c r="AD873" s="595" t="n"/>
      <c r="AF873" s="594" t="n"/>
      <c r="AG873" s="595" t="n"/>
      <c r="AI873" s="594" t="n"/>
      <c r="AJ873" s="595" t="n"/>
      <c r="AL873" s="594" t="n"/>
      <c r="AM873" s="595" t="n"/>
      <c r="AO873" s="594" t="n"/>
      <c r="AP873" s="595" t="n"/>
      <c r="AR873" s="594" t="n"/>
      <c r="AS873" s="595" t="n"/>
    </row>
    <row r="874" ht="15.75" customHeight="1" s="26">
      <c r="B874" s="593" t="n"/>
      <c r="E874" s="594" t="n"/>
      <c r="F874" s="595" t="n"/>
      <c r="H874" s="594" t="n"/>
      <c r="I874" s="595" t="n"/>
      <c r="K874" s="594" t="n"/>
      <c r="L874" s="595" t="n"/>
      <c r="N874" s="594" t="n"/>
      <c r="O874" s="595" t="n"/>
      <c r="Q874" s="594" t="n"/>
      <c r="R874" s="595" t="n"/>
      <c r="T874" s="594" t="n"/>
      <c r="U874" s="595" t="n"/>
      <c r="W874" s="594" t="n"/>
      <c r="X874" s="595" t="n"/>
      <c r="Z874" s="594" t="n"/>
      <c r="AA874" s="595" t="n"/>
      <c r="AC874" s="594" t="n"/>
      <c r="AD874" s="595" t="n"/>
      <c r="AF874" s="594" t="n"/>
      <c r="AG874" s="595" t="n"/>
      <c r="AI874" s="594" t="n"/>
      <c r="AJ874" s="595" t="n"/>
      <c r="AL874" s="594" t="n"/>
      <c r="AM874" s="595" t="n"/>
      <c r="AO874" s="594" t="n"/>
      <c r="AP874" s="595" t="n"/>
      <c r="AR874" s="594" t="n"/>
      <c r="AS874" s="595" t="n"/>
    </row>
    <row r="875" ht="15.75" customHeight="1" s="26">
      <c r="B875" s="593" t="n"/>
      <c r="E875" s="594" t="n"/>
      <c r="F875" s="595" t="n"/>
      <c r="H875" s="594" t="n"/>
      <c r="I875" s="595" t="n"/>
      <c r="K875" s="594" t="n"/>
      <c r="L875" s="595" t="n"/>
      <c r="N875" s="594" t="n"/>
      <c r="O875" s="595" t="n"/>
      <c r="Q875" s="594" t="n"/>
      <c r="R875" s="595" t="n"/>
      <c r="T875" s="594" t="n"/>
      <c r="U875" s="595" t="n"/>
      <c r="W875" s="594" t="n"/>
      <c r="X875" s="595" t="n"/>
      <c r="Z875" s="594" t="n"/>
      <c r="AA875" s="595" t="n"/>
      <c r="AC875" s="594" t="n"/>
      <c r="AD875" s="595" t="n"/>
      <c r="AF875" s="594" t="n"/>
      <c r="AG875" s="595" t="n"/>
      <c r="AI875" s="594" t="n"/>
      <c r="AJ875" s="595" t="n"/>
      <c r="AL875" s="594" t="n"/>
      <c r="AM875" s="595" t="n"/>
      <c r="AO875" s="594" t="n"/>
      <c r="AP875" s="595" t="n"/>
      <c r="AR875" s="594" t="n"/>
      <c r="AS875" s="595" t="n"/>
    </row>
    <row r="876" ht="15.75" customHeight="1" s="26">
      <c r="B876" s="593" t="n"/>
      <c r="E876" s="594" t="n"/>
      <c r="F876" s="595" t="n"/>
      <c r="H876" s="594" t="n"/>
      <c r="I876" s="595" t="n"/>
      <c r="K876" s="594" t="n"/>
      <c r="L876" s="595" t="n"/>
      <c r="N876" s="594" t="n"/>
      <c r="O876" s="595" t="n"/>
      <c r="Q876" s="594" t="n"/>
      <c r="R876" s="595" t="n"/>
      <c r="T876" s="594" t="n"/>
      <c r="U876" s="595" t="n"/>
      <c r="W876" s="594" t="n"/>
      <c r="X876" s="595" t="n"/>
      <c r="Z876" s="594" t="n"/>
      <c r="AA876" s="595" t="n"/>
      <c r="AC876" s="594" t="n"/>
      <c r="AD876" s="595" t="n"/>
      <c r="AF876" s="594" t="n"/>
      <c r="AG876" s="595" t="n"/>
      <c r="AI876" s="594" t="n"/>
      <c r="AJ876" s="595" t="n"/>
      <c r="AL876" s="594" t="n"/>
      <c r="AM876" s="595" t="n"/>
      <c r="AO876" s="594" t="n"/>
      <c r="AP876" s="595" t="n"/>
      <c r="AR876" s="594" t="n"/>
      <c r="AS876" s="595" t="n"/>
    </row>
    <row r="877" ht="15.75" customHeight="1" s="26">
      <c r="B877" s="593" t="n"/>
      <c r="E877" s="594" t="n"/>
      <c r="F877" s="595" t="n"/>
      <c r="H877" s="594" t="n"/>
      <c r="I877" s="595" t="n"/>
      <c r="K877" s="594" t="n"/>
      <c r="L877" s="595" t="n"/>
      <c r="N877" s="594" t="n"/>
      <c r="O877" s="595" t="n"/>
      <c r="Q877" s="594" t="n"/>
      <c r="R877" s="595" t="n"/>
      <c r="T877" s="594" t="n"/>
      <c r="U877" s="595" t="n"/>
      <c r="W877" s="594" t="n"/>
      <c r="X877" s="595" t="n"/>
      <c r="Z877" s="594" t="n"/>
      <c r="AA877" s="595" t="n"/>
      <c r="AC877" s="594" t="n"/>
      <c r="AD877" s="595" t="n"/>
      <c r="AF877" s="594" t="n"/>
      <c r="AG877" s="595" t="n"/>
      <c r="AI877" s="594" t="n"/>
      <c r="AJ877" s="595" t="n"/>
      <c r="AL877" s="594" t="n"/>
      <c r="AM877" s="595" t="n"/>
      <c r="AO877" s="594" t="n"/>
      <c r="AP877" s="595" t="n"/>
      <c r="AR877" s="594" t="n"/>
      <c r="AS877" s="595" t="n"/>
    </row>
    <row r="878" ht="15.75" customHeight="1" s="26">
      <c r="B878" s="593" t="n"/>
      <c r="E878" s="594" t="n"/>
      <c r="F878" s="595" t="n"/>
      <c r="H878" s="594" t="n"/>
      <c r="I878" s="595" t="n"/>
      <c r="K878" s="594" t="n"/>
      <c r="L878" s="595" t="n"/>
      <c r="N878" s="594" t="n"/>
      <c r="O878" s="595" t="n"/>
      <c r="Q878" s="594" t="n"/>
      <c r="R878" s="595" t="n"/>
      <c r="T878" s="594" t="n"/>
      <c r="U878" s="595" t="n"/>
      <c r="W878" s="594" t="n"/>
      <c r="X878" s="595" t="n"/>
      <c r="Z878" s="594" t="n"/>
      <c r="AA878" s="595" t="n"/>
      <c r="AC878" s="594" t="n"/>
      <c r="AD878" s="595" t="n"/>
      <c r="AF878" s="594" t="n"/>
      <c r="AG878" s="595" t="n"/>
      <c r="AI878" s="594" t="n"/>
      <c r="AJ878" s="595" t="n"/>
      <c r="AL878" s="594" t="n"/>
      <c r="AM878" s="595" t="n"/>
      <c r="AO878" s="594" t="n"/>
      <c r="AP878" s="595" t="n"/>
      <c r="AR878" s="594" t="n"/>
      <c r="AS878" s="595" t="n"/>
    </row>
    <row r="879" ht="15.75" customHeight="1" s="26">
      <c r="B879" s="593" t="n"/>
      <c r="E879" s="594" t="n"/>
      <c r="F879" s="595" t="n"/>
      <c r="H879" s="594" t="n"/>
      <c r="I879" s="595" t="n"/>
      <c r="K879" s="594" t="n"/>
      <c r="L879" s="595" t="n"/>
      <c r="N879" s="594" t="n"/>
      <c r="O879" s="595" t="n"/>
      <c r="Q879" s="594" t="n"/>
      <c r="R879" s="595" t="n"/>
      <c r="T879" s="594" t="n"/>
      <c r="U879" s="595" t="n"/>
      <c r="W879" s="594" t="n"/>
      <c r="X879" s="595" t="n"/>
      <c r="Z879" s="594" t="n"/>
      <c r="AA879" s="595" t="n"/>
      <c r="AC879" s="594" t="n"/>
      <c r="AD879" s="595" t="n"/>
      <c r="AF879" s="594" t="n"/>
      <c r="AG879" s="595" t="n"/>
      <c r="AI879" s="594" t="n"/>
      <c r="AJ879" s="595" t="n"/>
      <c r="AL879" s="594" t="n"/>
      <c r="AM879" s="595" t="n"/>
      <c r="AO879" s="594" t="n"/>
      <c r="AP879" s="595" t="n"/>
      <c r="AR879" s="594" t="n"/>
      <c r="AS879" s="595" t="n"/>
    </row>
    <row r="880" ht="15.75" customHeight="1" s="26">
      <c r="B880" s="593" t="n"/>
      <c r="E880" s="594" t="n"/>
      <c r="F880" s="595" t="n"/>
      <c r="H880" s="594" t="n"/>
      <c r="I880" s="595" t="n"/>
      <c r="K880" s="594" t="n"/>
      <c r="L880" s="595" t="n"/>
      <c r="N880" s="594" t="n"/>
      <c r="O880" s="595" t="n"/>
      <c r="Q880" s="594" t="n"/>
      <c r="R880" s="595" t="n"/>
      <c r="T880" s="594" t="n"/>
      <c r="U880" s="595" t="n"/>
      <c r="W880" s="594" t="n"/>
      <c r="X880" s="595" t="n"/>
      <c r="Z880" s="594" t="n"/>
      <c r="AA880" s="595" t="n"/>
      <c r="AC880" s="594" t="n"/>
      <c r="AD880" s="595" t="n"/>
      <c r="AF880" s="594" t="n"/>
      <c r="AG880" s="595" t="n"/>
      <c r="AI880" s="594" t="n"/>
      <c r="AJ880" s="595" t="n"/>
      <c r="AL880" s="594" t="n"/>
      <c r="AM880" s="595" t="n"/>
      <c r="AO880" s="594" t="n"/>
      <c r="AP880" s="595" t="n"/>
      <c r="AR880" s="594" t="n"/>
      <c r="AS880" s="595" t="n"/>
    </row>
    <row r="881" ht="15.75" customHeight="1" s="26">
      <c r="B881" s="593" t="n"/>
      <c r="E881" s="594" t="n"/>
      <c r="F881" s="595" t="n"/>
      <c r="H881" s="594" t="n"/>
      <c r="I881" s="595" t="n"/>
      <c r="K881" s="594" t="n"/>
      <c r="L881" s="595" t="n"/>
      <c r="N881" s="594" t="n"/>
      <c r="O881" s="595" t="n"/>
      <c r="Q881" s="594" t="n"/>
      <c r="R881" s="595" t="n"/>
      <c r="T881" s="594" t="n"/>
      <c r="U881" s="595" t="n"/>
      <c r="W881" s="594" t="n"/>
      <c r="X881" s="595" t="n"/>
      <c r="Z881" s="594" t="n"/>
      <c r="AA881" s="595" t="n"/>
      <c r="AC881" s="594" t="n"/>
      <c r="AD881" s="595" t="n"/>
      <c r="AF881" s="594" t="n"/>
      <c r="AG881" s="595" t="n"/>
      <c r="AI881" s="594" t="n"/>
      <c r="AJ881" s="595" t="n"/>
      <c r="AL881" s="594" t="n"/>
      <c r="AM881" s="595" t="n"/>
      <c r="AO881" s="594" t="n"/>
      <c r="AP881" s="595" t="n"/>
      <c r="AR881" s="594" t="n"/>
      <c r="AS881" s="595" t="n"/>
    </row>
    <row r="882" ht="15.75" customHeight="1" s="26">
      <c r="B882" s="593" t="n"/>
      <c r="E882" s="594" t="n"/>
      <c r="F882" s="595" t="n"/>
      <c r="H882" s="594" t="n"/>
      <c r="I882" s="595" t="n"/>
      <c r="K882" s="594" t="n"/>
      <c r="L882" s="595" t="n"/>
      <c r="N882" s="594" t="n"/>
      <c r="O882" s="595" t="n"/>
      <c r="Q882" s="594" t="n"/>
      <c r="R882" s="595" t="n"/>
      <c r="T882" s="594" t="n"/>
      <c r="U882" s="595" t="n"/>
      <c r="W882" s="594" t="n"/>
      <c r="X882" s="595" t="n"/>
      <c r="Z882" s="594" t="n"/>
      <c r="AA882" s="595" t="n"/>
      <c r="AC882" s="594" t="n"/>
      <c r="AD882" s="595" t="n"/>
      <c r="AF882" s="594" t="n"/>
      <c r="AG882" s="595" t="n"/>
      <c r="AI882" s="594" t="n"/>
      <c r="AJ882" s="595" t="n"/>
      <c r="AL882" s="594" t="n"/>
      <c r="AM882" s="595" t="n"/>
      <c r="AO882" s="594" t="n"/>
      <c r="AP882" s="595" t="n"/>
      <c r="AR882" s="594" t="n"/>
      <c r="AS882" s="595" t="n"/>
    </row>
    <row r="883" ht="15.75" customHeight="1" s="26">
      <c r="B883" s="593" t="n"/>
      <c r="E883" s="594" t="n"/>
      <c r="F883" s="595" t="n"/>
      <c r="H883" s="594" t="n"/>
      <c r="I883" s="595" t="n"/>
      <c r="K883" s="594" t="n"/>
      <c r="L883" s="595" t="n"/>
      <c r="N883" s="594" t="n"/>
      <c r="O883" s="595" t="n"/>
      <c r="Q883" s="594" t="n"/>
      <c r="R883" s="595" t="n"/>
      <c r="T883" s="594" t="n"/>
      <c r="U883" s="595" t="n"/>
      <c r="W883" s="594" t="n"/>
      <c r="X883" s="595" t="n"/>
      <c r="Z883" s="594" t="n"/>
      <c r="AA883" s="595" t="n"/>
      <c r="AC883" s="594" t="n"/>
      <c r="AD883" s="595" t="n"/>
      <c r="AF883" s="594" t="n"/>
      <c r="AG883" s="595" t="n"/>
      <c r="AI883" s="594" t="n"/>
      <c r="AJ883" s="595" t="n"/>
      <c r="AL883" s="594" t="n"/>
      <c r="AM883" s="595" t="n"/>
      <c r="AO883" s="594" t="n"/>
      <c r="AP883" s="595" t="n"/>
      <c r="AR883" s="594" t="n"/>
      <c r="AS883" s="595" t="n"/>
    </row>
    <row r="884" ht="15.75" customHeight="1" s="26">
      <c r="B884" s="593" t="n"/>
      <c r="E884" s="594" t="n"/>
      <c r="F884" s="595" t="n"/>
      <c r="H884" s="594" t="n"/>
      <c r="I884" s="595" t="n"/>
      <c r="K884" s="594" t="n"/>
      <c r="L884" s="595" t="n"/>
      <c r="N884" s="594" t="n"/>
      <c r="O884" s="595" t="n"/>
      <c r="Q884" s="594" t="n"/>
      <c r="R884" s="595" t="n"/>
      <c r="T884" s="594" t="n"/>
      <c r="U884" s="595" t="n"/>
      <c r="W884" s="594" t="n"/>
      <c r="X884" s="595" t="n"/>
      <c r="Z884" s="594" t="n"/>
      <c r="AA884" s="595" t="n"/>
      <c r="AC884" s="594" t="n"/>
      <c r="AD884" s="595" t="n"/>
      <c r="AF884" s="594" t="n"/>
      <c r="AG884" s="595" t="n"/>
      <c r="AI884" s="594" t="n"/>
      <c r="AJ884" s="595" t="n"/>
      <c r="AL884" s="594" t="n"/>
      <c r="AM884" s="595" t="n"/>
      <c r="AO884" s="594" t="n"/>
      <c r="AP884" s="595" t="n"/>
      <c r="AR884" s="594" t="n"/>
      <c r="AS884" s="595" t="n"/>
    </row>
    <row r="885" ht="15.75" customHeight="1" s="26">
      <c r="B885" s="593" t="n"/>
      <c r="E885" s="594" t="n"/>
      <c r="F885" s="595" t="n"/>
      <c r="H885" s="594" t="n"/>
      <c r="I885" s="595" t="n"/>
      <c r="K885" s="594" t="n"/>
      <c r="L885" s="595" t="n"/>
      <c r="N885" s="594" t="n"/>
      <c r="O885" s="595" t="n"/>
      <c r="Q885" s="594" t="n"/>
      <c r="R885" s="595" t="n"/>
      <c r="T885" s="594" t="n"/>
      <c r="U885" s="595" t="n"/>
      <c r="W885" s="594" t="n"/>
      <c r="X885" s="595" t="n"/>
      <c r="Z885" s="594" t="n"/>
      <c r="AA885" s="595" t="n"/>
      <c r="AC885" s="594" t="n"/>
      <c r="AD885" s="595" t="n"/>
      <c r="AF885" s="594" t="n"/>
      <c r="AG885" s="595" t="n"/>
      <c r="AI885" s="594" t="n"/>
      <c r="AJ885" s="595" t="n"/>
      <c r="AL885" s="594" t="n"/>
      <c r="AM885" s="595" t="n"/>
      <c r="AO885" s="594" t="n"/>
      <c r="AP885" s="595" t="n"/>
      <c r="AR885" s="594" t="n"/>
      <c r="AS885" s="595" t="n"/>
    </row>
    <row r="886" ht="15.75" customHeight="1" s="26">
      <c r="B886" s="593" t="n"/>
      <c r="E886" s="594" t="n"/>
      <c r="F886" s="595" t="n"/>
      <c r="H886" s="594" t="n"/>
      <c r="I886" s="595" t="n"/>
      <c r="K886" s="594" t="n"/>
      <c r="L886" s="595" t="n"/>
      <c r="N886" s="594" t="n"/>
      <c r="O886" s="595" t="n"/>
      <c r="Q886" s="594" t="n"/>
      <c r="R886" s="595" t="n"/>
      <c r="T886" s="594" t="n"/>
      <c r="U886" s="595" t="n"/>
      <c r="W886" s="594" t="n"/>
      <c r="X886" s="595" t="n"/>
      <c r="Z886" s="594" t="n"/>
      <c r="AA886" s="595" t="n"/>
      <c r="AC886" s="594" t="n"/>
      <c r="AD886" s="595" t="n"/>
      <c r="AF886" s="594" t="n"/>
      <c r="AG886" s="595" t="n"/>
      <c r="AI886" s="594" t="n"/>
      <c r="AJ886" s="595" t="n"/>
      <c r="AL886" s="594" t="n"/>
      <c r="AM886" s="595" t="n"/>
      <c r="AO886" s="594" t="n"/>
      <c r="AP886" s="595" t="n"/>
      <c r="AR886" s="594" t="n"/>
      <c r="AS886" s="595" t="n"/>
    </row>
    <row r="887" ht="15.75" customHeight="1" s="26">
      <c r="B887" s="593" t="n"/>
      <c r="E887" s="594" t="n"/>
      <c r="F887" s="595" t="n"/>
      <c r="H887" s="594" t="n"/>
      <c r="I887" s="595" t="n"/>
      <c r="K887" s="594" t="n"/>
      <c r="L887" s="595" t="n"/>
      <c r="N887" s="594" t="n"/>
      <c r="O887" s="595" t="n"/>
      <c r="Q887" s="594" t="n"/>
      <c r="R887" s="595" t="n"/>
      <c r="T887" s="594" t="n"/>
      <c r="U887" s="595" t="n"/>
      <c r="W887" s="594" t="n"/>
      <c r="X887" s="595" t="n"/>
      <c r="Z887" s="594" t="n"/>
      <c r="AA887" s="595" t="n"/>
      <c r="AC887" s="594" t="n"/>
      <c r="AD887" s="595" t="n"/>
      <c r="AF887" s="594" t="n"/>
      <c r="AG887" s="595" t="n"/>
      <c r="AI887" s="594" t="n"/>
      <c r="AJ887" s="595" t="n"/>
      <c r="AL887" s="594" t="n"/>
      <c r="AM887" s="595" t="n"/>
      <c r="AO887" s="594" t="n"/>
      <c r="AP887" s="595" t="n"/>
      <c r="AR887" s="594" t="n"/>
      <c r="AS887" s="595" t="n"/>
    </row>
    <row r="888" ht="15.75" customHeight="1" s="26">
      <c r="B888" s="593" t="n"/>
      <c r="E888" s="594" t="n"/>
      <c r="F888" s="595" t="n"/>
      <c r="H888" s="594" t="n"/>
      <c r="I888" s="595" t="n"/>
      <c r="K888" s="594" t="n"/>
      <c r="L888" s="595" t="n"/>
      <c r="N888" s="594" t="n"/>
      <c r="O888" s="595" t="n"/>
      <c r="Q888" s="594" t="n"/>
      <c r="R888" s="595" t="n"/>
      <c r="T888" s="594" t="n"/>
      <c r="U888" s="595" t="n"/>
      <c r="W888" s="594" t="n"/>
      <c r="X888" s="595" t="n"/>
      <c r="Z888" s="594" t="n"/>
      <c r="AA888" s="595" t="n"/>
      <c r="AC888" s="594" t="n"/>
      <c r="AD888" s="595" t="n"/>
      <c r="AF888" s="594" t="n"/>
      <c r="AG888" s="595" t="n"/>
      <c r="AI888" s="594" t="n"/>
      <c r="AJ888" s="595" t="n"/>
      <c r="AL888" s="594" t="n"/>
      <c r="AM888" s="595" t="n"/>
      <c r="AO888" s="594" t="n"/>
      <c r="AP888" s="595" t="n"/>
      <c r="AR888" s="594" t="n"/>
      <c r="AS888" s="595" t="n"/>
    </row>
    <row r="889" ht="15.75" customHeight="1" s="26">
      <c r="B889" s="593" t="n"/>
      <c r="E889" s="594" t="n"/>
      <c r="F889" s="595" t="n"/>
      <c r="H889" s="594" t="n"/>
      <c r="I889" s="595" t="n"/>
      <c r="K889" s="594" t="n"/>
      <c r="L889" s="595" t="n"/>
      <c r="N889" s="594" t="n"/>
      <c r="O889" s="595" t="n"/>
      <c r="Q889" s="594" t="n"/>
      <c r="R889" s="595" t="n"/>
      <c r="T889" s="594" t="n"/>
      <c r="U889" s="595" t="n"/>
      <c r="W889" s="594" t="n"/>
      <c r="X889" s="595" t="n"/>
      <c r="Z889" s="594" t="n"/>
      <c r="AA889" s="595" t="n"/>
      <c r="AC889" s="594" t="n"/>
      <c r="AD889" s="595" t="n"/>
      <c r="AF889" s="594" t="n"/>
      <c r="AG889" s="595" t="n"/>
      <c r="AI889" s="594" t="n"/>
      <c r="AJ889" s="595" t="n"/>
      <c r="AL889" s="594" t="n"/>
      <c r="AM889" s="595" t="n"/>
      <c r="AO889" s="594" t="n"/>
      <c r="AP889" s="595" t="n"/>
      <c r="AR889" s="594" t="n"/>
      <c r="AS889" s="595" t="n"/>
    </row>
    <row r="890" ht="15.75" customHeight="1" s="26">
      <c r="B890" s="593" t="n"/>
      <c r="E890" s="594" t="n"/>
      <c r="F890" s="595" t="n"/>
      <c r="H890" s="594" t="n"/>
      <c r="I890" s="595" t="n"/>
      <c r="K890" s="594" t="n"/>
      <c r="L890" s="595" t="n"/>
      <c r="N890" s="594" t="n"/>
      <c r="O890" s="595" t="n"/>
      <c r="Q890" s="594" t="n"/>
      <c r="R890" s="595" t="n"/>
      <c r="T890" s="594" t="n"/>
      <c r="U890" s="595" t="n"/>
      <c r="W890" s="594" t="n"/>
      <c r="X890" s="595" t="n"/>
      <c r="Z890" s="594" t="n"/>
      <c r="AA890" s="595" t="n"/>
      <c r="AC890" s="594" t="n"/>
      <c r="AD890" s="595" t="n"/>
      <c r="AF890" s="594" t="n"/>
      <c r="AG890" s="595" t="n"/>
      <c r="AI890" s="594" t="n"/>
      <c r="AJ890" s="595" t="n"/>
      <c r="AL890" s="594" t="n"/>
      <c r="AM890" s="595" t="n"/>
      <c r="AO890" s="594" t="n"/>
      <c r="AP890" s="595" t="n"/>
      <c r="AR890" s="594" t="n"/>
      <c r="AS890" s="595" t="n"/>
    </row>
    <row r="891" ht="15.75" customHeight="1" s="26">
      <c r="B891" s="593" t="n"/>
      <c r="E891" s="594" t="n"/>
      <c r="F891" s="595" t="n"/>
      <c r="H891" s="594" t="n"/>
      <c r="I891" s="595" t="n"/>
      <c r="K891" s="594" t="n"/>
      <c r="L891" s="595" t="n"/>
      <c r="N891" s="594" t="n"/>
      <c r="O891" s="595" t="n"/>
      <c r="Q891" s="594" t="n"/>
      <c r="R891" s="595" t="n"/>
      <c r="T891" s="594" t="n"/>
      <c r="U891" s="595" t="n"/>
      <c r="W891" s="594" t="n"/>
      <c r="X891" s="595" t="n"/>
      <c r="Z891" s="594" t="n"/>
      <c r="AA891" s="595" t="n"/>
      <c r="AC891" s="594" t="n"/>
      <c r="AD891" s="595" t="n"/>
      <c r="AF891" s="594" t="n"/>
      <c r="AG891" s="595" t="n"/>
      <c r="AI891" s="594" t="n"/>
      <c r="AJ891" s="595" t="n"/>
      <c r="AL891" s="594" t="n"/>
      <c r="AM891" s="595" t="n"/>
      <c r="AO891" s="594" t="n"/>
      <c r="AP891" s="595" t="n"/>
      <c r="AR891" s="594" t="n"/>
      <c r="AS891" s="595" t="n"/>
    </row>
    <row r="892" ht="15.75" customHeight="1" s="26">
      <c r="B892" s="593" t="n"/>
      <c r="E892" s="594" t="n"/>
      <c r="F892" s="595" t="n"/>
      <c r="H892" s="594" t="n"/>
      <c r="I892" s="595" t="n"/>
      <c r="K892" s="594" t="n"/>
      <c r="L892" s="595" t="n"/>
      <c r="N892" s="594" t="n"/>
      <c r="O892" s="595" t="n"/>
      <c r="Q892" s="594" t="n"/>
      <c r="R892" s="595" t="n"/>
      <c r="T892" s="594" t="n"/>
      <c r="U892" s="595" t="n"/>
      <c r="W892" s="594" t="n"/>
      <c r="X892" s="595" t="n"/>
      <c r="Z892" s="594" t="n"/>
      <c r="AA892" s="595" t="n"/>
      <c r="AC892" s="594" t="n"/>
      <c r="AD892" s="595" t="n"/>
      <c r="AF892" s="594" t="n"/>
      <c r="AG892" s="595" t="n"/>
      <c r="AI892" s="594" t="n"/>
      <c r="AJ892" s="595" t="n"/>
      <c r="AL892" s="594" t="n"/>
      <c r="AM892" s="595" t="n"/>
      <c r="AO892" s="594" t="n"/>
      <c r="AP892" s="595" t="n"/>
      <c r="AR892" s="594" t="n"/>
      <c r="AS892" s="595" t="n"/>
    </row>
    <row r="893" ht="15.75" customHeight="1" s="26">
      <c r="B893" s="593" t="n"/>
      <c r="E893" s="594" t="n"/>
      <c r="F893" s="595" t="n"/>
      <c r="H893" s="594" t="n"/>
      <c r="I893" s="595" t="n"/>
      <c r="K893" s="594" t="n"/>
      <c r="L893" s="595" t="n"/>
      <c r="N893" s="594" t="n"/>
      <c r="O893" s="595" t="n"/>
      <c r="Q893" s="594" t="n"/>
      <c r="R893" s="595" t="n"/>
      <c r="T893" s="594" t="n"/>
      <c r="U893" s="595" t="n"/>
      <c r="W893" s="594" t="n"/>
      <c r="X893" s="595" t="n"/>
      <c r="Z893" s="594" t="n"/>
      <c r="AA893" s="595" t="n"/>
      <c r="AC893" s="594" t="n"/>
      <c r="AD893" s="595" t="n"/>
      <c r="AF893" s="594" t="n"/>
      <c r="AG893" s="595" t="n"/>
      <c r="AI893" s="594" t="n"/>
      <c r="AJ893" s="595" t="n"/>
      <c r="AL893" s="594" t="n"/>
      <c r="AM893" s="595" t="n"/>
      <c r="AO893" s="594" t="n"/>
      <c r="AP893" s="595" t="n"/>
      <c r="AR893" s="594" t="n"/>
      <c r="AS893" s="595" t="n"/>
    </row>
    <row r="894" ht="15.75" customHeight="1" s="26">
      <c r="B894" s="593" t="n"/>
      <c r="E894" s="594" t="n"/>
      <c r="F894" s="595" t="n"/>
      <c r="H894" s="594" t="n"/>
      <c r="I894" s="595" t="n"/>
      <c r="K894" s="594" t="n"/>
      <c r="L894" s="595" t="n"/>
      <c r="N894" s="594" t="n"/>
      <c r="O894" s="595" t="n"/>
      <c r="Q894" s="594" t="n"/>
      <c r="R894" s="595" t="n"/>
      <c r="T894" s="594" t="n"/>
      <c r="U894" s="595" t="n"/>
      <c r="W894" s="594" t="n"/>
      <c r="X894" s="595" t="n"/>
      <c r="Z894" s="594" t="n"/>
      <c r="AA894" s="595" t="n"/>
      <c r="AC894" s="594" t="n"/>
      <c r="AD894" s="595" t="n"/>
      <c r="AF894" s="594" t="n"/>
      <c r="AG894" s="595" t="n"/>
      <c r="AI894" s="594" t="n"/>
      <c r="AJ894" s="595" t="n"/>
      <c r="AL894" s="594" t="n"/>
      <c r="AM894" s="595" t="n"/>
      <c r="AO894" s="594" t="n"/>
      <c r="AP894" s="595" t="n"/>
      <c r="AR894" s="594" t="n"/>
      <c r="AS894" s="595" t="n"/>
    </row>
    <row r="895" ht="15.75" customHeight="1" s="26">
      <c r="B895" s="593" t="n"/>
      <c r="E895" s="594" t="n"/>
      <c r="F895" s="595" t="n"/>
      <c r="H895" s="594" t="n"/>
      <c r="I895" s="595" t="n"/>
      <c r="K895" s="594" t="n"/>
      <c r="L895" s="595" t="n"/>
      <c r="N895" s="594" t="n"/>
      <c r="O895" s="595" t="n"/>
      <c r="Q895" s="594" t="n"/>
      <c r="R895" s="595" t="n"/>
      <c r="T895" s="594" t="n"/>
      <c r="U895" s="595" t="n"/>
      <c r="W895" s="594" t="n"/>
      <c r="X895" s="595" t="n"/>
      <c r="Z895" s="594" t="n"/>
      <c r="AA895" s="595" t="n"/>
      <c r="AC895" s="594" t="n"/>
      <c r="AD895" s="595" t="n"/>
      <c r="AF895" s="594" t="n"/>
      <c r="AG895" s="595" t="n"/>
      <c r="AI895" s="594" t="n"/>
      <c r="AJ895" s="595" t="n"/>
      <c r="AL895" s="594" t="n"/>
      <c r="AM895" s="595" t="n"/>
      <c r="AO895" s="594" t="n"/>
      <c r="AP895" s="595" t="n"/>
      <c r="AR895" s="594" t="n"/>
      <c r="AS895" s="595" t="n"/>
    </row>
    <row r="896" ht="15.75" customHeight="1" s="26">
      <c r="B896" s="593" t="n"/>
      <c r="E896" s="594" t="n"/>
      <c r="F896" s="595" t="n"/>
      <c r="H896" s="594" t="n"/>
      <c r="I896" s="595" t="n"/>
      <c r="K896" s="594" t="n"/>
      <c r="L896" s="595" t="n"/>
      <c r="N896" s="594" t="n"/>
      <c r="O896" s="595" t="n"/>
      <c r="Q896" s="594" t="n"/>
      <c r="R896" s="595" t="n"/>
      <c r="T896" s="594" t="n"/>
      <c r="U896" s="595" t="n"/>
      <c r="W896" s="594" t="n"/>
      <c r="X896" s="595" t="n"/>
      <c r="Z896" s="594" t="n"/>
      <c r="AA896" s="595" t="n"/>
      <c r="AC896" s="594" t="n"/>
      <c r="AD896" s="595" t="n"/>
      <c r="AF896" s="594" t="n"/>
      <c r="AG896" s="595" t="n"/>
      <c r="AI896" s="594" t="n"/>
      <c r="AJ896" s="595" t="n"/>
      <c r="AL896" s="594" t="n"/>
      <c r="AM896" s="595" t="n"/>
      <c r="AO896" s="594" t="n"/>
      <c r="AP896" s="595" t="n"/>
      <c r="AR896" s="594" t="n"/>
      <c r="AS896" s="595" t="n"/>
    </row>
    <row r="897" ht="15.75" customHeight="1" s="26">
      <c r="B897" s="593" t="n"/>
      <c r="E897" s="594" t="n"/>
      <c r="F897" s="595" t="n"/>
      <c r="H897" s="594" t="n"/>
      <c r="I897" s="595" t="n"/>
      <c r="K897" s="594" t="n"/>
      <c r="L897" s="595" t="n"/>
      <c r="N897" s="594" t="n"/>
      <c r="O897" s="595" t="n"/>
      <c r="Q897" s="594" t="n"/>
      <c r="R897" s="595" t="n"/>
      <c r="T897" s="594" t="n"/>
      <c r="U897" s="595" t="n"/>
      <c r="W897" s="594" t="n"/>
      <c r="X897" s="595" t="n"/>
      <c r="Z897" s="594" t="n"/>
      <c r="AA897" s="595" t="n"/>
      <c r="AC897" s="594" t="n"/>
      <c r="AD897" s="595" t="n"/>
      <c r="AF897" s="594" t="n"/>
      <c r="AG897" s="595" t="n"/>
      <c r="AI897" s="594" t="n"/>
      <c r="AJ897" s="595" t="n"/>
      <c r="AL897" s="594" t="n"/>
      <c r="AM897" s="595" t="n"/>
      <c r="AO897" s="594" t="n"/>
      <c r="AP897" s="595" t="n"/>
      <c r="AR897" s="594" t="n"/>
      <c r="AS897" s="595" t="n"/>
    </row>
    <row r="898" ht="15.75" customHeight="1" s="26">
      <c r="B898" s="593" t="n"/>
      <c r="E898" s="594" t="n"/>
      <c r="F898" s="595" t="n"/>
      <c r="H898" s="594" t="n"/>
      <c r="I898" s="595" t="n"/>
      <c r="K898" s="594" t="n"/>
      <c r="L898" s="595" t="n"/>
      <c r="N898" s="594" t="n"/>
      <c r="O898" s="595" t="n"/>
      <c r="Q898" s="594" t="n"/>
      <c r="R898" s="595" t="n"/>
      <c r="T898" s="594" t="n"/>
      <c r="U898" s="595" t="n"/>
      <c r="W898" s="594" t="n"/>
      <c r="X898" s="595" t="n"/>
      <c r="Z898" s="594" t="n"/>
      <c r="AA898" s="595" t="n"/>
      <c r="AC898" s="594" t="n"/>
      <c r="AD898" s="595" t="n"/>
      <c r="AF898" s="594" t="n"/>
      <c r="AG898" s="595" t="n"/>
      <c r="AI898" s="594" t="n"/>
      <c r="AJ898" s="595" t="n"/>
      <c r="AL898" s="594" t="n"/>
      <c r="AM898" s="595" t="n"/>
      <c r="AO898" s="594" t="n"/>
      <c r="AP898" s="595" t="n"/>
      <c r="AR898" s="594" t="n"/>
      <c r="AS898" s="595" t="n"/>
    </row>
    <row r="899" ht="15.75" customHeight="1" s="26">
      <c r="B899" s="593" t="n"/>
      <c r="E899" s="594" t="n"/>
      <c r="F899" s="595" t="n"/>
      <c r="H899" s="594" t="n"/>
      <c r="I899" s="595" t="n"/>
      <c r="K899" s="594" t="n"/>
      <c r="L899" s="595" t="n"/>
      <c r="N899" s="594" t="n"/>
      <c r="O899" s="595" t="n"/>
      <c r="Q899" s="594" t="n"/>
      <c r="R899" s="595" t="n"/>
      <c r="T899" s="594" t="n"/>
      <c r="U899" s="595" t="n"/>
      <c r="W899" s="594" t="n"/>
      <c r="X899" s="595" t="n"/>
      <c r="Z899" s="594" t="n"/>
      <c r="AA899" s="595" t="n"/>
      <c r="AC899" s="594" t="n"/>
      <c r="AD899" s="595" t="n"/>
      <c r="AF899" s="594" t="n"/>
      <c r="AG899" s="595" t="n"/>
      <c r="AI899" s="594" t="n"/>
      <c r="AJ899" s="595" t="n"/>
      <c r="AL899" s="594" t="n"/>
      <c r="AM899" s="595" t="n"/>
      <c r="AO899" s="594" t="n"/>
      <c r="AP899" s="595" t="n"/>
      <c r="AR899" s="594" t="n"/>
      <c r="AS899" s="595" t="n"/>
    </row>
    <row r="900" ht="15.75" customHeight="1" s="26">
      <c r="B900" s="593" t="n"/>
      <c r="E900" s="594" t="n"/>
      <c r="F900" s="595" t="n"/>
      <c r="H900" s="594" t="n"/>
      <c r="I900" s="595" t="n"/>
      <c r="K900" s="594" t="n"/>
      <c r="L900" s="595" t="n"/>
      <c r="N900" s="594" t="n"/>
      <c r="O900" s="595" t="n"/>
      <c r="Q900" s="594" t="n"/>
      <c r="R900" s="595" t="n"/>
      <c r="T900" s="594" t="n"/>
      <c r="U900" s="595" t="n"/>
      <c r="W900" s="594" t="n"/>
      <c r="X900" s="595" t="n"/>
      <c r="Z900" s="594" t="n"/>
      <c r="AA900" s="595" t="n"/>
      <c r="AC900" s="594" t="n"/>
      <c r="AD900" s="595" t="n"/>
      <c r="AF900" s="594" t="n"/>
      <c r="AG900" s="595" t="n"/>
      <c r="AI900" s="594" t="n"/>
      <c r="AJ900" s="595" t="n"/>
      <c r="AL900" s="594" t="n"/>
      <c r="AM900" s="595" t="n"/>
      <c r="AO900" s="594" t="n"/>
      <c r="AP900" s="595" t="n"/>
      <c r="AR900" s="594" t="n"/>
      <c r="AS900" s="595" t="n"/>
    </row>
    <row r="901" ht="15.75" customHeight="1" s="26">
      <c r="B901" s="593" t="n"/>
      <c r="E901" s="594" t="n"/>
      <c r="F901" s="595" t="n"/>
      <c r="H901" s="594" t="n"/>
      <c r="I901" s="595" t="n"/>
      <c r="K901" s="594" t="n"/>
      <c r="L901" s="595" t="n"/>
      <c r="N901" s="594" t="n"/>
      <c r="O901" s="595" t="n"/>
      <c r="Q901" s="594" t="n"/>
      <c r="R901" s="595" t="n"/>
      <c r="T901" s="594" t="n"/>
      <c r="U901" s="595" t="n"/>
      <c r="W901" s="594" t="n"/>
      <c r="X901" s="595" t="n"/>
      <c r="Z901" s="594" t="n"/>
      <c r="AA901" s="595" t="n"/>
      <c r="AC901" s="594" t="n"/>
      <c r="AD901" s="595" t="n"/>
      <c r="AF901" s="594" t="n"/>
      <c r="AG901" s="595" t="n"/>
      <c r="AI901" s="594" t="n"/>
      <c r="AJ901" s="595" t="n"/>
      <c r="AL901" s="594" t="n"/>
      <c r="AM901" s="595" t="n"/>
      <c r="AO901" s="594" t="n"/>
      <c r="AP901" s="595" t="n"/>
      <c r="AR901" s="594" t="n"/>
      <c r="AS901" s="595" t="n"/>
    </row>
    <row r="902" ht="15.75" customHeight="1" s="26">
      <c r="B902" s="593" t="n"/>
      <c r="E902" s="594" t="n"/>
      <c r="F902" s="595" t="n"/>
      <c r="H902" s="594" t="n"/>
      <c r="I902" s="595" t="n"/>
      <c r="K902" s="594" t="n"/>
      <c r="L902" s="595" t="n"/>
      <c r="N902" s="594" t="n"/>
      <c r="O902" s="595" t="n"/>
      <c r="Q902" s="594" t="n"/>
      <c r="R902" s="595" t="n"/>
      <c r="T902" s="594" t="n"/>
      <c r="U902" s="595" t="n"/>
      <c r="W902" s="594" t="n"/>
      <c r="X902" s="595" t="n"/>
      <c r="Z902" s="594" t="n"/>
      <c r="AA902" s="595" t="n"/>
      <c r="AC902" s="594" t="n"/>
      <c r="AD902" s="595" t="n"/>
      <c r="AF902" s="594" t="n"/>
      <c r="AG902" s="595" t="n"/>
      <c r="AI902" s="594" t="n"/>
      <c r="AJ902" s="595" t="n"/>
      <c r="AL902" s="594" t="n"/>
      <c r="AM902" s="595" t="n"/>
      <c r="AO902" s="594" t="n"/>
      <c r="AP902" s="595" t="n"/>
      <c r="AR902" s="594" t="n"/>
      <c r="AS902" s="595" t="n"/>
    </row>
    <row r="903" ht="15.75" customHeight="1" s="26">
      <c r="B903" s="593" t="n"/>
      <c r="E903" s="594" t="n"/>
      <c r="F903" s="595" t="n"/>
      <c r="H903" s="594" t="n"/>
      <c r="I903" s="595" t="n"/>
      <c r="K903" s="594" t="n"/>
      <c r="L903" s="595" t="n"/>
      <c r="N903" s="594" t="n"/>
      <c r="O903" s="595" t="n"/>
      <c r="Q903" s="594" t="n"/>
      <c r="R903" s="595" t="n"/>
      <c r="T903" s="594" t="n"/>
      <c r="U903" s="595" t="n"/>
      <c r="W903" s="594" t="n"/>
      <c r="X903" s="595" t="n"/>
      <c r="Z903" s="594" t="n"/>
      <c r="AA903" s="595" t="n"/>
      <c r="AC903" s="594" t="n"/>
      <c r="AD903" s="595" t="n"/>
      <c r="AF903" s="594" t="n"/>
      <c r="AG903" s="595" t="n"/>
      <c r="AI903" s="594" t="n"/>
      <c r="AJ903" s="595" t="n"/>
      <c r="AL903" s="594" t="n"/>
      <c r="AM903" s="595" t="n"/>
      <c r="AO903" s="594" t="n"/>
      <c r="AP903" s="595" t="n"/>
      <c r="AR903" s="594" t="n"/>
      <c r="AS903" s="595" t="n"/>
    </row>
    <row r="904" ht="15.75" customHeight="1" s="26">
      <c r="B904" s="593" t="n"/>
      <c r="E904" s="594" t="n"/>
      <c r="F904" s="595" t="n"/>
      <c r="H904" s="594" t="n"/>
      <c r="I904" s="595" t="n"/>
      <c r="K904" s="594" t="n"/>
      <c r="L904" s="595" t="n"/>
      <c r="N904" s="594" t="n"/>
      <c r="O904" s="595" t="n"/>
      <c r="Q904" s="594" t="n"/>
      <c r="R904" s="595" t="n"/>
      <c r="T904" s="594" t="n"/>
      <c r="U904" s="595" t="n"/>
      <c r="W904" s="594" t="n"/>
      <c r="X904" s="595" t="n"/>
      <c r="Z904" s="594" t="n"/>
      <c r="AA904" s="595" t="n"/>
      <c r="AC904" s="594" t="n"/>
      <c r="AD904" s="595" t="n"/>
      <c r="AF904" s="594" t="n"/>
      <c r="AG904" s="595" t="n"/>
      <c r="AI904" s="594" t="n"/>
      <c r="AJ904" s="595" t="n"/>
      <c r="AL904" s="594" t="n"/>
      <c r="AM904" s="595" t="n"/>
      <c r="AO904" s="594" t="n"/>
      <c r="AP904" s="595" t="n"/>
      <c r="AR904" s="594" t="n"/>
      <c r="AS904" s="595" t="n"/>
    </row>
    <row r="905" ht="15.75" customHeight="1" s="26">
      <c r="B905" s="593" t="n"/>
      <c r="E905" s="594" t="n"/>
      <c r="F905" s="595" t="n"/>
      <c r="H905" s="594" t="n"/>
      <c r="I905" s="595" t="n"/>
      <c r="K905" s="594" t="n"/>
      <c r="L905" s="595" t="n"/>
      <c r="N905" s="594" t="n"/>
      <c r="O905" s="595" t="n"/>
      <c r="Q905" s="594" t="n"/>
      <c r="R905" s="595" t="n"/>
      <c r="T905" s="594" t="n"/>
      <c r="U905" s="595" t="n"/>
      <c r="W905" s="594" t="n"/>
      <c r="X905" s="595" t="n"/>
      <c r="Z905" s="594" t="n"/>
      <c r="AA905" s="595" t="n"/>
      <c r="AC905" s="594" t="n"/>
      <c r="AD905" s="595" t="n"/>
      <c r="AF905" s="594" t="n"/>
      <c r="AG905" s="595" t="n"/>
      <c r="AI905" s="594" t="n"/>
      <c r="AJ905" s="595" t="n"/>
      <c r="AL905" s="594" t="n"/>
      <c r="AM905" s="595" t="n"/>
      <c r="AO905" s="594" t="n"/>
      <c r="AP905" s="595" t="n"/>
      <c r="AR905" s="594" t="n"/>
      <c r="AS905" s="595" t="n"/>
    </row>
    <row r="906" ht="15.75" customHeight="1" s="26">
      <c r="B906" s="593" t="n"/>
      <c r="E906" s="594" t="n"/>
      <c r="F906" s="595" t="n"/>
      <c r="H906" s="594" t="n"/>
      <c r="I906" s="595" t="n"/>
      <c r="K906" s="594" t="n"/>
      <c r="L906" s="595" t="n"/>
      <c r="N906" s="594" t="n"/>
      <c r="O906" s="595" t="n"/>
      <c r="Q906" s="594" t="n"/>
      <c r="R906" s="595" t="n"/>
      <c r="T906" s="594" t="n"/>
      <c r="U906" s="595" t="n"/>
      <c r="W906" s="594" t="n"/>
      <c r="X906" s="595" t="n"/>
      <c r="Z906" s="594" t="n"/>
      <c r="AA906" s="595" t="n"/>
      <c r="AC906" s="594" t="n"/>
      <c r="AD906" s="595" t="n"/>
      <c r="AF906" s="594" t="n"/>
      <c r="AG906" s="595" t="n"/>
      <c r="AI906" s="594" t="n"/>
      <c r="AJ906" s="595" t="n"/>
      <c r="AL906" s="594" t="n"/>
      <c r="AM906" s="595" t="n"/>
      <c r="AO906" s="594" t="n"/>
      <c r="AP906" s="595" t="n"/>
      <c r="AR906" s="594" t="n"/>
      <c r="AS906" s="595" t="n"/>
    </row>
    <row r="907" ht="15.75" customHeight="1" s="26">
      <c r="B907" s="593" t="n"/>
      <c r="E907" s="594" t="n"/>
      <c r="F907" s="595" t="n"/>
      <c r="H907" s="594" t="n"/>
      <c r="I907" s="595" t="n"/>
      <c r="K907" s="594" t="n"/>
      <c r="L907" s="595" t="n"/>
      <c r="N907" s="594" t="n"/>
      <c r="O907" s="595" t="n"/>
      <c r="Q907" s="594" t="n"/>
      <c r="R907" s="595" t="n"/>
      <c r="T907" s="594" t="n"/>
      <c r="U907" s="595" t="n"/>
      <c r="W907" s="594" t="n"/>
      <c r="X907" s="595" t="n"/>
      <c r="Z907" s="594" t="n"/>
      <c r="AA907" s="595" t="n"/>
      <c r="AC907" s="594" t="n"/>
      <c r="AD907" s="595" t="n"/>
      <c r="AF907" s="594" t="n"/>
      <c r="AG907" s="595" t="n"/>
      <c r="AI907" s="594" t="n"/>
      <c r="AJ907" s="595" t="n"/>
      <c r="AL907" s="594" t="n"/>
      <c r="AM907" s="595" t="n"/>
      <c r="AO907" s="594" t="n"/>
      <c r="AP907" s="595" t="n"/>
      <c r="AR907" s="594" t="n"/>
      <c r="AS907" s="595" t="n"/>
    </row>
    <row r="908" ht="15.75" customHeight="1" s="26">
      <c r="B908" s="593" t="n"/>
      <c r="E908" s="594" t="n"/>
      <c r="F908" s="595" t="n"/>
      <c r="H908" s="594" t="n"/>
      <c r="I908" s="595" t="n"/>
      <c r="K908" s="594" t="n"/>
      <c r="L908" s="595" t="n"/>
      <c r="N908" s="594" t="n"/>
      <c r="O908" s="595" t="n"/>
      <c r="Q908" s="594" t="n"/>
      <c r="R908" s="595" t="n"/>
      <c r="T908" s="594" t="n"/>
      <c r="U908" s="595" t="n"/>
      <c r="W908" s="594" t="n"/>
      <c r="X908" s="595" t="n"/>
      <c r="Z908" s="594" t="n"/>
      <c r="AA908" s="595" t="n"/>
      <c r="AC908" s="594" t="n"/>
      <c r="AD908" s="595" t="n"/>
      <c r="AF908" s="594" t="n"/>
      <c r="AG908" s="595" t="n"/>
      <c r="AI908" s="594" t="n"/>
      <c r="AJ908" s="595" t="n"/>
      <c r="AL908" s="594" t="n"/>
      <c r="AM908" s="595" t="n"/>
      <c r="AO908" s="594" t="n"/>
      <c r="AP908" s="595" t="n"/>
      <c r="AR908" s="594" t="n"/>
      <c r="AS908" s="595" t="n"/>
    </row>
    <row r="909" ht="15.75" customHeight="1" s="26">
      <c r="B909" s="593" t="n"/>
      <c r="E909" s="594" t="n"/>
      <c r="F909" s="595" t="n"/>
      <c r="H909" s="594" t="n"/>
      <c r="I909" s="595" t="n"/>
      <c r="K909" s="594" t="n"/>
      <c r="L909" s="595" t="n"/>
      <c r="N909" s="594" t="n"/>
      <c r="O909" s="595" t="n"/>
      <c r="Q909" s="594" t="n"/>
      <c r="R909" s="595" t="n"/>
      <c r="T909" s="594" t="n"/>
      <c r="U909" s="595" t="n"/>
      <c r="W909" s="594" t="n"/>
      <c r="X909" s="595" t="n"/>
      <c r="Z909" s="594" t="n"/>
      <c r="AA909" s="595" t="n"/>
      <c r="AC909" s="594" t="n"/>
      <c r="AD909" s="595" t="n"/>
      <c r="AF909" s="594" t="n"/>
      <c r="AG909" s="595" t="n"/>
      <c r="AI909" s="594" t="n"/>
      <c r="AJ909" s="595" t="n"/>
      <c r="AL909" s="594" t="n"/>
      <c r="AM909" s="595" t="n"/>
      <c r="AO909" s="594" t="n"/>
      <c r="AP909" s="595" t="n"/>
      <c r="AR909" s="594" t="n"/>
      <c r="AS909" s="595" t="n"/>
    </row>
    <row r="910" ht="15.75" customHeight="1" s="26">
      <c r="B910" s="593" t="n"/>
      <c r="E910" s="594" t="n"/>
      <c r="F910" s="595" t="n"/>
      <c r="H910" s="594" t="n"/>
      <c r="I910" s="595" t="n"/>
      <c r="K910" s="594" t="n"/>
      <c r="L910" s="595" t="n"/>
      <c r="N910" s="594" t="n"/>
      <c r="O910" s="595" t="n"/>
      <c r="Q910" s="594" t="n"/>
      <c r="R910" s="595" t="n"/>
      <c r="T910" s="594" t="n"/>
      <c r="U910" s="595" t="n"/>
      <c r="W910" s="594" t="n"/>
      <c r="X910" s="595" t="n"/>
      <c r="Z910" s="594" t="n"/>
      <c r="AA910" s="595" t="n"/>
      <c r="AC910" s="594" t="n"/>
      <c r="AD910" s="595" t="n"/>
      <c r="AF910" s="594" t="n"/>
      <c r="AG910" s="595" t="n"/>
      <c r="AI910" s="594" t="n"/>
      <c r="AJ910" s="595" t="n"/>
      <c r="AL910" s="594" t="n"/>
      <c r="AM910" s="595" t="n"/>
      <c r="AO910" s="594" t="n"/>
      <c r="AP910" s="595" t="n"/>
      <c r="AR910" s="594" t="n"/>
      <c r="AS910" s="595" t="n"/>
    </row>
    <row r="911" ht="15.75" customHeight="1" s="26">
      <c r="B911" s="593" t="n"/>
      <c r="E911" s="594" t="n"/>
      <c r="F911" s="595" t="n"/>
      <c r="H911" s="594" t="n"/>
      <c r="I911" s="595" t="n"/>
      <c r="K911" s="594" t="n"/>
      <c r="L911" s="595" t="n"/>
      <c r="N911" s="594" t="n"/>
      <c r="O911" s="595" t="n"/>
      <c r="Q911" s="594" t="n"/>
      <c r="R911" s="595" t="n"/>
      <c r="T911" s="594" t="n"/>
      <c r="U911" s="595" t="n"/>
      <c r="W911" s="594" t="n"/>
      <c r="X911" s="595" t="n"/>
      <c r="Z911" s="594" t="n"/>
      <c r="AA911" s="595" t="n"/>
      <c r="AC911" s="594" t="n"/>
      <c r="AD911" s="595" t="n"/>
      <c r="AF911" s="594" t="n"/>
      <c r="AG911" s="595" t="n"/>
      <c r="AI911" s="594" t="n"/>
      <c r="AJ911" s="595" t="n"/>
      <c r="AL911" s="594" t="n"/>
      <c r="AM911" s="595" t="n"/>
      <c r="AO911" s="594" t="n"/>
      <c r="AP911" s="595" t="n"/>
      <c r="AR911" s="594" t="n"/>
      <c r="AS911" s="595" t="n"/>
    </row>
    <row r="912" ht="15.75" customHeight="1" s="26">
      <c r="B912" s="593" t="n"/>
      <c r="E912" s="594" t="n"/>
      <c r="F912" s="595" t="n"/>
      <c r="H912" s="594" t="n"/>
      <c r="I912" s="595" t="n"/>
      <c r="K912" s="594" t="n"/>
      <c r="L912" s="595" t="n"/>
      <c r="N912" s="594" t="n"/>
      <c r="O912" s="595" t="n"/>
      <c r="Q912" s="594" t="n"/>
      <c r="R912" s="595" t="n"/>
      <c r="T912" s="594" t="n"/>
      <c r="U912" s="595" t="n"/>
      <c r="W912" s="594" t="n"/>
      <c r="X912" s="595" t="n"/>
      <c r="Z912" s="594" t="n"/>
      <c r="AA912" s="595" t="n"/>
      <c r="AC912" s="594" t="n"/>
      <c r="AD912" s="595" t="n"/>
      <c r="AF912" s="594" t="n"/>
      <c r="AG912" s="595" t="n"/>
      <c r="AI912" s="594" t="n"/>
      <c r="AJ912" s="595" t="n"/>
      <c r="AL912" s="594" t="n"/>
      <c r="AM912" s="595" t="n"/>
      <c r="AO912" s="594" t="n"/>
      <c r="AP912" s="595" t="n"/>
      <c r="AR912" s="594" t="n"/>
      <c r="AS912" s="595" t="n"/>
    </row>
    <row r="913" ht="15.75" customHeight="1" s="26">
      <c r="B913" s="593" t="n"/>
      <c r="E913" s="594" t="n"/>
      <c r="F913" s="595" t="n"/>
      <c r="H913" s="594" t="n"/>
      <c r="I913" s="595" t="n"/>
      <c r="K913" s="594" t="n"/>
      <c r="L913" s="595" t="n"/>
      <c r="N913" s="594" t="n"/>
      <c r="O913" s="595" t="n"/>
      <c r="Q913" s="594" t="n"/>
      <c r="R913" s="595" t="n"/>
      <c r="T913" s="594" t="n"/>
      <c r="U913" s="595" t="n"/>
      <c r="W913" s="594" t="n"/>
      <c r="X913" s="595" t="n"/>
      <c r="Z913" s="594" t="n"/>
      <c r="AA913" s="595" t="n"/>
      <c r="AC913" s="594" t="n"/>
      <c r="AD913" s="595" t="n"/>
      <c r="AF913" s="594" t="n"/>
      <c r="AG913" s="595" t="n"/>
      <c r="AI913" s="594" t="n"/>
      <c r="AJ913" s="595" t="n"/>
      <c r="AL913" s="594" t="n"/>
      <c r="AM913" s="595" t="n"/>
      <c r="AO913" s="594" t="n"/>
      <c r="AP913" s="595" t="n"/>
      <c r="AR913" s="594" t="n"/>
      <c r="AS913" s="595" t="n"/>
    </row>
    <row r="914" ht="15.75" customHeight="1" s="26">
      <c r="B914" s="593" t="n"/>
      <c r="E914" s="594" t="n"/>
      <c r="F914" s="595" t="n"/>
      <c r="H914" s="594" t="n"/>
      <c r="I914" s="595" t="n"/>
      <c r="K914" s="594" t="n"/>
      <c r="L914" s="595" t="n"/>
      <c r="N914" s="594" t="n"/>
      <c r="O914" s="595" t="n"/>
      <c r="Q914" s="594" t="n"/>
      <c r="R914" s="595" t="n"/>
      <c r="T914" s="594" t="n"/>
      <c r="U914" s="595" t="n"/>
      <c r="W914" s="594" t="n"/>
      <c r="X914" s="595" t="n"/>
      <c r="Z914" s="594" t="n"/>
      <c r="AA914" s="595" t="n"/>
      <c r="AC914" s="594" t="n"/>
      <c r="AD914" s="595" t="n"/>
      <c r="AF914" s="594" t="n"/>
      <c r="AG914" s="595" t="n"/>
      <c r="AI914" s="594" t="n"/>
      <c r="AJ914" s="595" t="n"/>
      <c r="AL914" s="594" t="n"/>
      <c r="AM914" s="595" t="n"/>
      <c r="AO914" s="594" t="n"/>
      <c r="AP914" s="595" t="n"/>
      <c r="AR914" s="594" t="n"/>
      <c r="AS914" s="595" t="n"/>
    </row>
    <row r="915" ht="15.75" customHeight="1" s="26">
      <c r="B915" s="593" t="n"/>
      <c r="E915" s="594" t="n"/>
      <c r="F915" s="595" t="n"/>
      <c r="H915" s="594" t="n"/>
      <c r="I915" s="595" t="n"/>
      <c r="K915" s="594" t="n"/>
      <c r="L915" s="595" t="n"/>
      <c r="N915" s="594" t="n"/>
      <c r="O915" s="595" t="n"/>
      <c r="Q915" s="594" t="n"/>
      <c r="R915" s="595" t="n"/>
      <c r="T915" s="594" t="n"/>
      <c r="U915" s="595" t="n"/>
      <c r="W915" s="594" t="n"/>
      <c r="X915" s="595" t="n"/>
      <c r="Z915" s="594" t="n"/>
      <c r="AA915" s="595" t="n"/>
      <c r="AC915" s="594" t="n"/>
      <c r="AD915" s="595" t="n"/>
      <c r="AF915" s="594" t="n"/>
      <c r="AG915" s="595" t="n"/>
      <c r="AI915" s="594" t="n"/>
      <c r="AJ915" s="595" t="n"/>
      <c r="AL915" s="594" t="n"/>
      <c r="AM915" s="595" t="n"/>
      <c r="AO915" s="594" t="n"/>
      <c r="AP915" s="595" t="n"/>
      <c r="AR915" s="594" t="n"/>
      <c r="AS915" s="595" t="n"/>
    </row>
    <row r="916" ht="15.75" customHeight="1" s="26">
      <c r="B916" s="593" t="n"/>
      <c r="E916" s="594" t="n"/>
      <c r="F916" s="595" t="n"/>
      <c r="H916" s="594" t="n"/>
      <c r="I916" s="595" t="n"/>
      <c r="K916" s="594" t="n"/>
      <c r="L916" s="595" t="n"/>
      <c r="N916" s="594" t="n"/>
      <c r="O916" s="595" t="n"/>
      <c r="Q916" s="594" t="n"/>
      <c r="R916" s="595" t="n"/>
      <c r="T916" s="594" t="n"/>
      <c r="U916" s="595" t="n"/>
      <c r="W916" s="594" t="n"/>
      <c r="X916" s="595" t="n"/>
      <c r="Z916" s="594" t="n"/>
      <c r="AA916" s="595" t="n"/>
      <c r="AC916" s="594" t="n"/>
      <c r="AD916" s="595" t="n"/>
      <c r="AF916" s="594" t="n"/>
      <c r="AG916" s="595" t="n"/>
      <c r="AI916" s="594" t="n"/>
      <c r="AJ916" s="595" t="n"/>
      <c r="AL916" s="594" t="n"/>
      <c r="AM916" s="595" t="n"/>
      <c r="AO916" s="594" t="n"/>
      <c r="AP916" s="595" t="n"/>
      <c r="AR916" s="594" t="n"/>
      <c r="AS916" s="595" t="n"/>
    </row>
    <row r="917" ht="15.75" customHeight="1" s="26">
      <c r="B917" s="593" t="n"/>
      <c r="E917" s="594" t="n"/>
      <c r="F917" s="595" t="n"/>
      <c r="H917" s="594" t="n"/>
      <c r="I917" s="595" t="n"/>
      <c r="K917" s="594" t="n"/>
      <c r="L917" s="595" t="n"/>
      <c r="N917" s="594" t="n"/>
      <c r="O917" s="595" t="n"/>
      <c r="Q917" s="594" t="n"/>
      <c r="R917" s="595" t="n"/>
      <c r="T917" s="594" t="n"/>
      <c r="U917" s="595" t="n"/>
      <c r="W917" s="594" t="n"/>
      <c r="X917" s="595" t="n"/>
      <c r="Z917" s="594" t="n"/>
      <c r="AA917" s="595" t="n"/>
      <c r="AC917" s="594" t="n"/>
      <c r="AD917" s="595" t="n"/>
      <c r="AF917" s="594" t="n"/>
      <c r="AG917" s="595" t="n"/>
      <c r="AI917" s="594" t="n"/>
      <c r="AJ917" s="595" t="n"/>
      <c r="AL917" s="594" t="n"/>
      <c r="AM917" s="595" t="n"/>
      <c r="AO917" s="594" t="n"/>
      <c r="AP917" s="595" t="n"/>
      <c r="AR917" s="594" t="n"/>
      <c r="AS917" s="595" t="n"/>
    </row>
    <row r="918" ht="15.75" customHeight="1" s="26">
      <c r="B918" s="593" t="n"/>
      <c r="E918" s="594" t="n"/>
      <c r="F918" s="595" t="n"/>
      <c r="H918" s="594" t="n"/>
      <c r="I918" s="595" t="n"/>
      <c r="K918" s="594" t="n"/>
      <c r="L918" s="595" t="n"/>
      <c r="N918" s="594" t="n"/>
      <c r="O918" s="595" t="n"/>
      <c r="Q918" s="594" t="n"/>
      <c r="R918" s="595" t="n"/>
      <c r="T918" s="594" t="n"/>
      <c r="U918" s="595" t="n"/>
      <c r="W918" s="594" t="n"/>
      <c r="X918" s="595" t="n"/>
      <c r="Z918" s="594" t="n"/>
      <c r="AA918" s="595" t="n"/>
      <c r="AC918" s="594" t="n"/>
      <c r="AD918" s="595" t="n"/>
      <c r="AF918" s="594" t="n"/>
      <c r="AG918" s="595" t="n"/>
      <c r="AI918" s="594" t="n"/>
      <c r="AJ918" s="595" t="n"/>
      <c r="AL918" s="594" t="n"/>
      <c r="AM918" s="595" t="n"/>
      <c r="AO918" s="594" t="n"/>
      <c r="AP918" s="595" t="n"/>
      <c r="AR918" s="594" t="n"/>
      <c r="AS918" s="595" t="n"/>
    </row>
    <row r="919" ht="15.75" customHeight="1" s="26">
      <c r="B919" s="593" t="n"/>
      <c r="E919" s="594" t="n"/>
      <c r="F919" s="595" t="n"/>
      <c r="H919" s="594" t="n"/>
      <c r="I919" s="595" t="n"/>
      <c r="K919" s="594" t="n"/>
      <c r="L919" s="595" t="n"/>
      <c r="N919" s="594" t="n"/>
      <c r="O919" s="595" t="n"/>
      <c r="Q919" s="594" t="n"/>
      <c r="R919" s="595" t="n"/>
      <c r="T919" s="594" t="n"/>
      <c r="U919" s="595" t="n"/>
      <c r="W919" s="594" t="n"/>
      <c r="X919" s="595" t="n"/>
      <c r="Z919" s="594" t="n"/>
      <c r="AA919" s="595" t="n"/>
      <c r="AC919" s="594" t="n"/>
      <c r="AD919" s="595" t="n"/>
      <c r="AF919" s="594" t="n"/>
      <c r="AG919" s="595" t="n"/>
      <c r="AI919" s="594" t="n"/>
      <c r="AJ919" s="595" t="n"/>
      <c r="AL919" s="594" t="n"/>
      <c r="AM919" s="595" t="n"/>
      <c r="AO919" s="594" t="n"/>
      <c r="AP919" s="595" t="n"/>
      <c r="AR919" s="594" t="n"/>
      <c r="AS919" s="595" t="n"/>
    </row>
    <row r="920" ht="15.75" customHeight="1" s="26">
      <c r="B920" s="593" t="n"/>
      <c r="E920" s="594" t="n"/>
      <c r="F920" s="595" t="n"/>
      <c r="H920" s="594" t="n"/>
      <c r="I920" s="595" t="n"/>
      <c r="K920" s="594" t="n"/>
      <c r="L920" s="595" t="n"/>
      <c r="N920" s="594" t="n"/>
      <c r="O920" s="595" t="n"/>
      <c r="Q920" s="594" t="n"/>
      <c r="R920" s="595" t="n"/>
      <c r="T920" s="594" t="n"/>
      <c r="U920" s="595" t="n"/>
      <c r="W920" s="594" t="n"/>
      <c r="X920" s="595" t="n"/>
      <c r="Z920" s="594" t="n"/>
      <c r="AA920" s="595" t="n"/>
      <c r="AC920" s="594" t="n"/>
      <c r="AD920" s="595" t="n"/>
      <c r="AF920" s="594" t="n"/>
      <c r="AG920" s="595" t="n"/>
      <c r="AI920" s="594" t="n"/>
      <c r="AJ920" s="595" t="n"/>
      <c r="AL920" s="594" t="n"/>
      <c r="AM920" s="595" t="n"/>
      <c r="AO920" s="594" t="n"/>
      <c r="AP920" s="595" t="n"/>
      <c r="AR920" s="594" t="n"/>
      <c r="AS920" s="595" t="n"/>
    </row>
    <row r="921" ht="15.75" customHeight="1" s="26">
      <c r="B921" s="593" t="n"/>
      <c r="E921" s="594" t="n"/>
      <c r="F921" s="595" t="n"/>
      <c r="H921" s="594" t="n"/>
      <c r="I921" s="595" t="n"/>
      <c r="K921" s="594" t="n"/>
      <c r="L921" s="595" t="n"/>
      <c r="N921" s="594" t="n"/>
      <c r="O921" s="595" t="n"/>
      <c r="Q921" s="594" t="n"/>
      <c r="R921" s="595" t="n"/>
      <c r="T921" s="594" t="n"/>
      <c r="U921" s="595" t="n"/>
      <c r="W921" s="594" t="n"/>
      <c r="X921" s="595" t="n"/>
      <c r="Z921" s="594" t="n"/>
      <c r="AA921" s="595" t="n"/>
      <c r="AC921" s="594" t="n"/>
      <c r="AD921" s="595" t="n"/>
      <c r="AF921" s="594" t="n"/>
      <c r="AG921" s="595" t="n"/>
      <c r="AI921" s="594" t="n"/>
      <c r="AJ921" s="595" t="n"/>
      <c r="AL921" s="594" t="n"/>
      <c r="AM921" s="595" t="n"/>
      <c r="AO921" s="594" t="n"/>
      <c r="AP921" s="595" t="n"/>
      <c r="AR921" s="594" t="n"/>
      <c r="AS921" s="595" t="n"/>
    </row>
    <row r="922" ht="15.75" customHeight="1" s="26">
      <c r="B922" s="593" t="n"/>
      <c r="E922" s="594" t="n"/>
      <c r="F922" s="595" t="n"/>
      <c r="H922" s="594" t="n"/>
      <c r="I922" s="595" t="n"/>
      <c r="K922" s="594" t="n"/>
      <c r="L922" s="595" t="n"/>
      <c r="N922" s="594" t="n"/>
      <c r="O922" s="595" t="n"/>
      <c r="Q922" s="594" t="n"/>
      <c r="R922" s="595" t="n"/>
      <c r="T922" s="594" t="n"/>
      <c r="U922" s="595" t="n"/>
      <c r="W922" s="594" t="n"/>
      <c r="X922" s="595" t="n"/>
      <c r="Z922" s="594" t="n"/>
      <c r="AA922" s="595" t="n"/>
      <c r="AC922" s="594" t="n"/>
      <c r="AD922" s="595" t="n"/>
      <c r="AF922" s="594" t="n"/>
      <c r="AG922" s="595" t="n"/>
      <c r="AI922" s="594" t="n"/>
      <c r="AJ922" s="595" t="n"/>
      <c r="AL922" s="594" t="n"/>
      <c r="AM922" s="595" t="n"/>
      <c r="AO922" s="594" t="n"/>
      <c r="AP922" s="595" t="n"/>
      <c r="AR922" s="594" t="n"/>
      <c r="AS922" s="595" t="n"/>
    </row>
    <row r="923" ht="15.75" customHeight="1" s="26">
      <c r="B923" s="593" t="n"/>
      <c r="E923" s="594" t="n"/>
      <c r="F923" s="595" t="n"/>
      <c r="H923" s="594" t="n"/>
      <c r="I923" s="595" t="n"/>
      <c r="K923" s="594" t="n"/>
      <c r="L923" s="595" t="n"/>
      <c r="N923" s="594" t="n"/>
      <c r="O923" s="595" t="n"/>
      <c r="Q923" s="594" t="n"/>
      <c r="R923" s="595" t="n"/>
      <c r="T923" s="594" t="n"/>
      <c r="U923" s="595" t="n"/>
      <c r="W923" s="594" t="n"/>
      <c r="X923" s="595" t="n"/>
      <c r="Z923" s="594" t="n"/>
      <c r="AA923" s="595" t="n"/>
      <c r="AC923" s="594" t="n"/>
      <c r="AD923" s="595" t="n"/>
      <c r="AF923" s="594" t="n"/>
      <c r="AG923" s="595" t="n"/>
      <c r="AI923" s="594" t="n"/>
      <c r="AJ923" s="595" t="n"/>
      <c r="AL923" s="594" t="n"/>
      <c r="AM923" s="595" t="n"/>
      <c r="AO923" s="594" t="n"/>
      <c r="AP923" s="595" t="n"/>
      <c r="AR923" s="594" t="n"/>
      <c r="AS923" s="595" t="n"/>
    </row>
    <row r="924" ht="15.75" customHeight="1" s="26">
      <c r="B924" s="593" t="n"/>
      <c r="E924" s="594" t="n"/>
      <c r="F924" s="595" t="n"/>
      <c r="H924" s="594" t="n"/>
      <c r="I924" s="595" t="n"/>
      <c r="K924" s="594" t="n"/>
      <c r="L924" s="595" t="n"/>
      <c r="N924" s="594" t="n"/>
      <c r="O924" s="595" t="n"/>
      <c r="Q924" s="594" t="n"/>
      <c r="R924" s="595" t="n"/>
      <c r="T924" s="594" t="n"/>
      <c r="U924" s="595" t="n"/>
      <c r="W924" s="594" t="n"/>
      <c r="X924" s="595" t="n"/>
      <c r="Z924" s="594" t="n"/>
      <c r="AA924" s="595" t="n"/>
      <c r="AC924" s="594" t="n"/>
      <c r="AD924" s="595" t="n"/>
      <c r="AF924" s="594" t="n"/>
      <c r="AG924" s="595" t="n"/>
      <c r="AI924" s="594" t="n"/>
      <c r="AJ924" s="595" t="n"/>
      <c r="AL924" s="594" t="n"/>
      <c r="AM924" s="595" t="n"/>
      <c r="AO924" s="594" t="n"/>
      <c r="AP924" s="595" t="n"/>
      <c r="AR924" s="594" t="n"/>
      <c r="AS924" s="595" t="n"/>
    </row>
    <row r="925" ht="15.75" customHeight="1" s="26">
      <c r="B925" s="593" t="n"/>
      <c r="E925" s="594" t="n"/>
      <c r="F925" s="595" t="n"/>
      <c r="H925" s="594" t="n"/>
      <c r="I925" s="595" t="n"/>
      <c r="K925" s="594" t="n"/>
      <c r="L925" s="595" t="n"/>
      <c r="N925" s="594" t="n"/>
      <c r="O925" s="595" t="n"/>
      <c r="Q925" s="594" t="n"/>
      <c r="R925" s="595" t="n"/>
      <c r="T925" s="594" t="n"/>
      <c r="U925" s="595" t="n"/>
      <c r="W925" s="594" t="n"/>
      <c r="X925" s="595" t="n"/>
      <c r="Z925" s="594" t="n"/>
      <c r="AA925" s="595" t="n"/>
      <c r="AC925" s="594" t="n"/>
      <c r="AD925" s="595" t="n"/>
      <c r="AF925" s="594" t="n"/>
      <c r="AG925" s="595" t="n"/>
      <c r="AI925" s="594" t="n"/>
      <c r="AJ925" s="595" t="n"/>
      <c r="AL925" s="594" t="n"/>
      <c r="AM925" s="595" t="n"/>
      <c r="AO925" s="594" t="n"/>
      <c r="AP925" s="595" t="n"/>
      <c r="AR925" s="594" t="n"/>
      <c r="AS925" s="595" t="n"/>
    </row>
    <row r="926" ht="15.75" customHeight="1" s="26">
      <c r="B926" s="593" t="n"/>
      <c r="E926" s="594" t="n"/>
      <c r="F926" s="595" t="n"/>
      <c r="H926" s="594" t="n"/>
      <c r="I926" s="595" t="n"/>
      <c r="K926" s="594" t="n"/>
      <c r="L926" s="595" t="n"/>
      <c r="N926" s="594" t="n"/>
      <c r="O926" s="595" t="n"/>
      <c r="Q926" s="594" t="n"/>
      <c r="R926" s="595" t="n"/>
      <c r="T926" s="594" t="n"/>
      <c r="U926" s="595" t="n"/>
      <c r="W926" s="594" t="n"/>
      <c r="X926" s="595" t="n"/>
      <c r="Z926" s="594" t="n"/>
      <c r="AA926" s="595" t="n"/>
      <c r="AC926" s="594" t="n"/>
      <c r="AD926" s="595" t="n"/>
      <c r="AF926" s="594" t="n"/>
      <c r="AG926" s="595" t="n"/>
      <c r="AI926" s="594" t="n"/>
      <c r="AJ926" s="595" t="n"/>
      <c r="AL926" s="594" t="n"/>
      <c r="AM926" s="595" t="n"/>
      <c r="AO926" s="594" t="n"/>
      <c r="AP926" s="595" t="n"/>
      <c r="AR926" s="594" t="n"/>
      <c r="AS926" s="595" t="n"/>
    </row>
    <row r="927" ht="15.75" customHeight="1" s="26">
      <c r="B927" s="593" t="n"/>
      <c r="E927" s="594" t="n"/>
      <c r="F927" s="595" t="n"/>
      <c r="H927" s="594" t="n"/>
      <c r="I927" s="595" t="n"/>
      <c r="K927" s="594" t="n"/>
      <c r="L927" s="595" t="n"/>
      <c r="N927" s="594" t="n"/>
      <c r="O927" s="595" t="n"/>
      <c r="Q927" s="594" t="n"/>
      <c r="R927" s="595" t="n"/>
      <c r="T927" s="594" t="n"/>
      <c r="U927" s="595" t="n"/>
      <c r="W927" s="594" t="n"/>
      <c r="X927" s="595" t="n"/>
      <c r="Z927" s="594" t="n"/>
      <c r="AA927" s="595" t="n"/>
      <c r="AC927" s="594" t="n"/>
      <c r="AD927" s="595" t="n"/>
      <c r="AF927" s="594" t="n"/>
      <c r="AG927" s="595" t="n"/>
      <c r="AI927" s="594" t="n"/>
      <c r="AJ927" s="595" t="n"/>
      <c r="AL927" s="594" t="n"/>
      <c r="AM927" s="595" t="n"/>
      <c r="AO927" s="594" t="n"/>
      <c r="AP927" s="595" t="n"/>
      <c r="AR927" s="594" t="n"/>
      <c r="AS927" s="595" t="n"/>
    </row>
    <row r="928" ht="15.75" customHeight="1" s="26">
      <c r="B928" s="593" t="n"/>
      <c r="E928" s="594" t="n"/>
      <c r="F928" s="595" t="n"/>
      <c r="H928" s="594" t="n"/>
      <c r="I928" s="595" t="n"/>
      <c r="K928" s="594" t="n"/>
      <c r="L928" s="595" t="n"/>
      <c r="N928" s="594" t="n"/>
      <c r="O928" s="595" t="n"/>
      <c r="Q928" s="594" t="n"/>
      <c r="R928" s="595" t="n"/>
      <c r="T928" s="594" t="n"/>
      <c r="U928" s="595" t="n"/>
      <c r="W928" s="594" t="n"/>
      <c r="X928" s="595" t="n"/>
      <c r="Z928" s="594" t="n"/>
      <c r="AA928" s="595" t="n"/>
      <c r="AC928" s="594" t="n"/>
      <c r="AD928" s="595" t="n"/>
      <c r="AF928" s="594" t="n"/>
      <c r="AG928" s="595" t="n"/>
      <c r="AI928" s="594" t="n"/>
      <c r="AJ928" s="595" t="n"/>
      <c r="AL928" s="594" t="n"/>
      <c r="AM928" s="595" t="n"/>
      <c r="AO928" s="594" t="n"/>
      <c r="AP928" s="595" t="n"/>
      <c r="AR928" s="594" t="n"/>
      <c r="AS928" s="595" t="n"/>
    </row>
    <row r="929" ht="15.75" customHeight="1" s="26">
      <c r="B929" s="593" t="n"/>
      <c r="E929" s="594" t="n"/>
      <c r="F929" s="595" t="n"/>
      <c r="H929" s="594" t="n"/>
      <c r="I929" s="595" t="n"/>
      <c r="K929" s="594" t="n"/>
      <c r="L929" s="595" t="n"/>
      <c r="N929" s="594" t="n"/>
      <c r="O929" s="595" t="n"/>
      <c r="Q929" s="594" t="n"/>
      <c r="R929" s="595" t="n"/>
      <c r="T929" s="594" t="n"/>
      <c r="U929" s="595" t="n"/>
      <c r="W929" s="594" t="n"/>
      <c r="X929" s="595" t="n"/>
      <c r="Z929" s="594" t="n"/>
      <c r="AA929" s="595" t="n"/>
      <c r="AC929" s="594" t="n"/>
      <c r="AD929" s="595" t="n"/>
      <c r="AF929" s="594" t="n"/>
      <c r="AG929" s="595" t="n"/>
      <c r="AI929" s="594" t="n"/>
      <c r="AJ929" s="595" t="n"/>
      <c r="AL929" s="594" t="n"/>
      <c r="AM929" s="595" t="n"/>
      <c r="AO929" s="594" t="n"/>
      <c r="AP929" s="595" t="n"/>
      <c r="AR929" s="594" t="n"/>
      <c r="AS929" s="595" t="n"/>
    </row>
    <row r="930" ht="15.75" customHeight="1" s="26">
      <c r="B930" s="593" t="n"/>
      <c r="E930" s="594" t="n"/>
      <c r="F930" s="595" t="n"/>
      <c r="H930" s="594" t="n"/>
      <c r="I930" s="595" t="n"/>
      <c r="K930" s="594" t="n"/>
      <c r="L930" s="595" t="n"/>
      <c r="N930" s="594" t="n"/>
      <c r="O930" s="595" t="n"/>
      <c r="Q930" s="594" t="n"/>
      <c r="R930" s="595" t="n"/>
      <c r="T930" s="594" t="n"/>
      <c r="U930" s="595" t="n"/>
      <c r="W930" s="594" t="n"/>
      <c r="X930" s="595" t="n"/>
      <c r="Z930" s="594" t="n"/>
      <c r="AA930" s="595" t="n"/>
      <c r="AC930" s="594" t="n"/>
      <c r="AD930" s="595" t="n"/>
      <c r="AF930" s="594" t="n"/>
      <c r="AG930" s="595" t="n"/>
      <c r="AI930" s="594" t="n"/>
      <c r="AJ930" s="595" t="n"/>
      <c r="AL930" s="594" t="n"/>
      <c r="AM930" s="595" t="n"/>
      <c r="AO930" s="594" t="n"/>
      <c r="AP930" s="595" t="n"/>
      <c r="AR930" s="594" t="n"/>
      <c r="AS930" s="595" t="n"/>
    </row>
    <row r="931" ht="15.75" customHeight="1" s="26">
      <c r="B931" s="593" t="n"/>
      <c r="E931" s="594" t="n"/>
      <c r="F931" s="595" t="n"/>
      <c r="H931" s="594" t="n"/>
      <c r="I931" s="595" t="n"/>
      <c r="K931" s="594" t="n"/>
      <c r="L931" s="595" t="n"/>
      <c r="N931" s="594" t="n"/>
      <c r="O931" s="595" t="n"/>
      <c r="Q931" s="594" t="n"/>
      <c r="R931" s="595" t="n"/>
      <c r="T931" s="594" t="n"/>
      <c r="U931" s="595" t="n"/>
      <c r="W931" s="594" t="n"/>
      <c r="X931" s="595" t="n"/>
      <c r="Z931" s="594" t="n"/>
      <c r="AA931" s="595" t="n"/>
      <c r="AC931" s="594" t="n"/>
      <c r="AD931" s="595" t="n"/>
      <c r="AF931" s="594" t="n"/>
      <c r="AG931" s="595" t="n"/>
      <c r="AI931" s="594" t="n"/>
      <c r="AJ931" s="595" t="n"/>
      <c r="AL931" s="594" t="n"/>
      <c r="AM931" s="595" t="n"/>
      <c r="AO931" s="594" t="n"/>
      <c r="AP931" s="595" t="n"/>
      <c r="AR931" s="594" t="n"/>
      <c r="AS931" s="595" t="n"/>
    </row>
    <row r="932" ht="15.75" customHeight="1" s="26">
      <c r="B932" s="593" t="n"/>
      <c r="E932" s="594" t="n"/>
      <c r="F932" s="595" t="n"/>
      <c r="H932" s="594" t="n"/>
      <c r="I932" s="595" t="n"/>
      <c r="K932" s="594" t="n"/>
      <c r="L932" s="595" t="n"/>
      <c r="N932" s="594" t="n"/>
      <c r="O932" s="595" t="n"/>
      <c r="Q932" s="594" t="n"/>
      <c r="R932" s="595" t="n"/>
      <c r="T932" s="594" t="n"/>
      <c r="U932" s="595" t="n"/>
      <c r="W932" s="594" t="n"/>
      <c r="X932" s="595" t="n"/>
      <c r="Z932" s="594" t="n"/>
      <c r="AA932" s="595" t="n"/>
      <c r="AC932" s="594" t="n"/>
      <c r="AD932" s="595" t="n"/>
      <c r="AF932" s="594" t="n"/>
      <c r="AG932" s="595" t="n"/>
      <c r="AI932" s="594" t="n"/>
      <c r="AJ932" s="595" t="n"/>
      <c r="AL932" s="594" t="n"/>
      <c r="AM932" s="595" t="n"/>
      <c r="AO932" s="594" t="n"/>
      <c r="AP932" s="595" t="n"/>
      <c r="AR932" s="594" t="n"/>
      <c r="AS932" s="595" t="n"/>
    </row>
    <row r="933" ht="15.75" customHeight="1" s="26">
      <c r="B933" s="593" t="n"/>
      <c r="E933" s="594" t="n"/>
      <c r="F933" s="595" t="n"/>
      <c r="H933" s="594" t="n"/>
      <c r="I933" s="595" t="n"/>
      <c r="K933" s="594" t="n"/>
      <c r="L933" s="595" t="n"/>
      <c r="N933" s="594" t="n"/>
      <c r="O933" s="595" t="n"/>
      <c r="Q933" s="594" t="n"/>
      <c r="R933" s="595" t="n"/>
      <c r="T933" s="594" t="n"/>
      <c r="U933" s="595" t="n"/>
      <c r="W933" s="594" t="n"/>
      <c r="X933" s="595" t="n"/>
      <c r="Z933" s="594" t="n"/>
      <c r="AA933" s="595" t="n"/>
      <c r="AC933" s="594" t="n"/>
      <c r="AD933" s="595" t="n"/>
      <c r="AF933" s="594" t="n"/>
      <c r="AG933" s="595" t="n"/>
      <c r="AI933" s="594" t="n"/>
      <c r="AJ933" s="595" t="n"/>
      <c r="AL933" s="594" t="n"/>
      <c r="AM933" s="595" t="n"/>
      <c r="AO933" s="594" t="n"/>
      <c r="AP933" s="595" t="n"/>
      <c r="AR933" s="594" t="n"/>
      <c r="AS933" s="595" t="n"/>
    </row>
    <row r="934" ht="15.75" customHeight="1" s="26">
      <c r="B934" s="593" t="n"/>
      <c r="E934" s="594" t="n"/>
      <c r="F934" s="595" t="n"/>
      <c r="H934" s="594" t="n"/>
      <c r="I934" s="595" t="n"/>
      <c r="K934" s="594" t="n"/>
      <c r="L934" s="595" t="n"/>
      <c r="N934" s="594" t="n"/>
      <c r="O934" s="595" t="n"/>
      <c r="Q934" s="594" t="n"/>
      <c r="R934" s="595" t="n"/>
      <c r="T934" s="594" t="n"/>
      <c r="U934" s="595" t="n"/>
      <c r="W934" s="594" t="n"/>
      <c r="X934" s="595" t="n"/>
      <c r="Z934" s="594" t="n"/>
      <c r="AA934" s="595" t="n"/>
      <c r="AC934" s="594" t="n"/>
      <c r="AD934" s="595" t="n"/>
      <c r="AF934" s="594" t="n"/>
      <c r="AG934" s="595" t="n"/>
      <c r="AI934" s="594" t="n"/>
      <c r="AJ934" s="595" t="n"/>
      <c r="AL934" s="594" t="n"/>
      <c r="AM934" s="595" t="n"/>
      <c r="AO934" s="594" t="n"/>
      <c r="AP934" s="595" t="n"/>
      <c r="AR934" s="594" t="n"/>
      <c r="AS934" s="595" t="n"/>
    </row>
    <row r="935" ht="15.75" customHeight="1" s="26">
      <c r="B935" s="593" t="n"/>
      <c r="E935" s="594" t="n"/>
      <c r="F935" s="595" t="n"/>
      <c r="H935" s="594" t="n"/>
      <c r="I935" s="595" t="n"/>
      <c r="K935" s="594" t="n"/>
      <c r="L935" s="595" t="n"/>
      <c r="N935" s="594" t="n"/>
      <c r="O935" s="595" t="n"/>
      <c r="Q935" s="594" t="n"/>
      <c r="R935" s="595" t="n"/>
      <c r="T935" s="594" t="n"/>
      <c r="U935" s="595" t="n"/>
      <c r="W935" s="594" t="n"/>
      <c r="X935" s="595" t="n"/>
      <c r="Z935" s="594" t="n"/>
      <c r="AA935" s="595" t="n"/>
      <c r="AC935" s="594" t="n"/>
      <c r="AD935" s="595" t="n"/>
      <c r="AF935" s="594" t="n"/>
      <c r="AG935" s="595" t="n"/>
      <c r="AI935" s="594" t="n"/>
      <c r="AJ935" s="595" t="n"/>
      <c r="AL935" s="594" t="n"/>
      <c r="AM935" s="595" t="n"/>
      <c r="AO935" s="594" t="n"/>
      <c r="AP935" s="595" t="n"/>
      <c r="AR935" s="594" t="n"/>
      <c r="AS935" s="595" t="n"/>
    </row>
    <row r="936" ht="15.75" customHeight="1" s="26">
      <c r="B936" s="593" t="n"/>
      <c r="E936" s="594" t="n"/>
      <c r="F936" s="595" t="n"/>
      <c r="H936" s="594" t="n"/>
      <c r="I936" s="595" t="n"/>
      <c r="K936" s="594" t="n"/>
      <c r="L936" s="595" t="n"/>
      <c r="N936" s="594" t="n"/>
      <c r="O936" s="595" t="n"/>
      <c r="Q936" s="594" t="n"/>
      <c r="R936" s="595" t="n"/>
      <c r="T936" s="594" t="n"/>
      <c r="U936" s="595" t="n"/>
      <c r="W936" s="594" t="n"/>
      <c r="X936" s="595" t="n"/>
      <c r="Z936" s="594" t="n"/>
      <c r="AA936" s="595" t="n"/>
      <c r="AC936" s="594" t="n"/>
      <c r="AD936" s="595" t="n"/>
      <c r="AF936" s="594" t="n"/>
      <c r="AG936" s="595" t="n"/>
      <c r="AI936" s="594" t="n"/>
      <c r="AJ936" s="595" t="n"/>
      <c r="AL936" s="594" t="n"/>
      <c r="AM936" s="595" t="n"/>
      <c r="AO936" s="594" t="n"/>
      <c r="AP936" s="595" t="n"/>
      <c r="AR936" s="594" t="n"/>
      <c r="AS936" s="595" t="n"/>
    </row>
    <row r="937" ht="15.75" customHeight="1" s="26">
      <c r="B937" s="593" t="n"/>
      <c r="E937" s="594" t="n"/>
      <c r="F937" s="595" t="n"/>
      <c r="H937" s="594" t="n"/>
      <c r="I937" s="595" t="n"/>
      <c r="K937" s="594" t="n"/>
      <c r="L937" s="595" t="n"/>
      <c r="N937" s="594" t="n"/>
      <c r="O937" s="595" t="n"/>
      <c r="Q937" s="594" t="n"/>
      <c r="R937" s="595" t="n"/>
      <c r="T937" s="594" t="n"/>
      <c r="U937" s="595" t="n"/>
      <c r="W937" s="594" t="n"/>
      <c r="X937" s="595" t="n"/>
      <c r="Z937" s="594" t="n"/>
      <c r="AA937" s="595" t="n"/>
      <c r="AC937" s="594" t="n"/>
      <c r="AD937" s="595" t="n"/>
      <c r="AF937" s="594" t="n"/>
      <c r="AG937" s="595" t="n"/>
      <c r="AI937" s="594" t="n"/>
      <c r="AJ937" s="595" t="n"/>
      <c r="AL937" s="594" t="n"/>
      <c r="AM937" s="595" t="n"/>
      <c r="AO937" s="594" t="n"/>
      <c r="AP937" s="595" t="n"/>
      <c r="AR937" s="594" t="n"/>
      <c r="AS937" s="595" t="n"/>
    </row>
    <row r="938" ht="15.75" customHeight="1" s="26">
      <c r="B938" s="593" t="n"/>
      <c r="E938" s="594" t="n"/>
      <c r="F938" s="595" t="n"/>
      <c r="H938" s="594" t="n"/>
      <c r="I938" s="595" t="n"/>
      <c r="K938" s="594" t="n"/>
      <c r="L938" s="595" t="n"/>
      <c r="N938" s="594" t="n"/>
      <c r="O938" s="595" t="n"/>
      <c r="Q938" s="594" t="n"/>
      <c r="R938" s="595" t="n"/>
      <c r="T938" s="594" t="n"/>
      <c r="U938" s="595" t="n"/>
      <c r="W938" s="594" t="n"/>
      <c r="X938" s="595" t="n"/>
      <c r="Z938" s="594" t="n"/>
      <c r="AA938" s="595" t="n"/>
      <c r="AC938" s="594" t="n"/>
      <c r="AD938" s="595" t="n"/>
      <c r="AF938" s="594" t="n"/>
      <c r="AG938" s="595" t="n"/>
      <c r="AI938" s="594" t="n"/>
      <c r="AJ938" s="595" t="n"/>
      <c r="AL938" s="594" t="n"/>
      <c r="AM938" s="595" t="n"/>
      <c r="AO938" s="594" t="n"/>
      <c r="AP938" s="595" t="n"/>
      <c r="AR938" s="594" t="n"/>
      <c r="AS938" s="595" t="n"/>
    </row>
    <row r="939" ht="15.75" customHeight="1" s="26">
      <c r="B939" s="593" t="n"/>
      <c r="E939" s="594" t="n"/>
      <c r="F939" s="595" t="n"/>
      <c r="H939" s="594" t="n"/>
      <c r="I939" s="595" t="n"/>
      <c r="K939" s="594" t="n"/>
      <c r="L939" s="595" t="n"/>
      <c r="N939" s="594" t="n"/>
      <c r="O939" s="595" t="n"/>
      <c r="Q939" s="594" t="n"/>
      <c r="R939" s="595" t="n"/>
      <c r="T939" s="594" t="n"/>
      <c r="U939" s="595" t="n"/>
      <c r="W939" s="594" t="n"/>
      <c r="X939" s="595" t="n"/>
      <c r="Z939" s="594" t="n"/>
      <c r="AA939" s="595" t="n"/>
      <c r="AC939" s="594" t="n"/>
      <c r="AD939" s="595" t="n"/>
      <c r="AF939" s="594" t="n"/>
      <c r="AG939" s="595" t="n"/>
      <c r="AI939" s="594" t="n"/>
      <c r="AJ939" s="595" t="n"/>
      <c r="AL939" s="594" t="n"/>
      <c r="AM939" s="595" t="n"/>
      <c r="AO939" s="594" t="n"/>
      <c r="AP939" s="595" t="n"/>
      <c r="AR939" s="594" t="n"/>
      <c r="AS939" s="595" t="n"/>
    </row>
    <row r="940" ht="15.75" customHeight="1" s="26">
      <c r="B940" s="593" t="n"/>
      <c r="E940" s="594" t="n"/>
      <c r="F940" s="595" t="n"/>
      <c r="H940" s="594" t="n"/>
      <c r="I940" s="595" t="n"/>
      <c r="K940" s="594" t="n"/>
      <c r="L940" s="595" t="n"/>
      <c r="N940" s="594" t="n"/>
      <c r="O940" s="595" t="n"/>
      <c r="Q940" s="594" t="n"/>
      <c r="R940" s="595" t="n"/>
      <c r="T940" s="594" t="n"/>
      <c r="U940" s="595" t="n"/>
      <c r="W940" s="594" t="n"/>
      <c r="X940" s="595" t="n"/>
      <c r="Z940" s="594" t="n"/>
      <c r="AA940" s="595" t="n"/>
      <c r="AC940" s="594" t="n"/>
      <c r="AD940" s="595" t="n"/>
      <c r="AF940" s="594" t="n"/>
      <c r="AG940" s="595" t="n"/>
      <c r="AI940" s="594" t="n"/>
      <c r="AJ940" s="595" t="n"/>
      <c r="AL940" s="594" t="n"/>
      <c r="AM940" s="595" t="n"/>
      <c r="AO940" s="594" t="n"/>
      <c r="AP940" s="595" t="n"/>
      <c r="AR940" s="594" t="n"/>
      <c r="AS940" s="595" t="n"/>
    </row>
    <row r="941" ht="15.75" customHeight="1" s="26">
      <c r="B941" s="593" t="n"/>
      <c r="E941" s="594" t="n"/>
      <c r="F941" s="595" t="n"/>
      <c r="H941" s="594" t="n"/>
      <c r="I941" s="595" t="n"/>
      <c r="K941" s="594" t="n"/>
      <c r="L941" s="595" t="n"/>
      <c r="N941" s="594" t="n"/>
      <c r="O941" s="595" t="n"/>
      <c r="Q941" s="594" t="n"/>
      <c r="R941" s="595" t="n"/>
      <c r="T941" s="594" t="n"/>
      <c r="U941" s="595" t="n"/>
      <c r="W941" s="594" t="n"/>
      <c r="X941" s="595" t="n"/>
      <c r="Z941" s="594" t="n"/>
      <c r="AA941" s="595" t="n"/>
      <c r="AC941" s="594" t="n"/>
      <c r="AD941" s="595" t="n"/>
      <c r="AF941" s="594" t="n"/>
      <c r="AG941" s="595" t="n"/>
      <c r="AI941" s="594" t="n"/>
      <c r="AJ941" s="595" t="n"/>
      <c r="AL941" s="594" t="n"/>
      <c r="AM941" s="595" t="n"/>
      <c r="AO941" s="594" t="n"/>
      <c r="AP941" s="595" t="n"/>
      <c r="AR941" s="594" t="n"/>
      <c r="AS941" s="595" t="n"/>
    </row>
    <row r="942" ht="15.75" customHeight="1" s="26">
      <c r="B942" s="593" t="n"/>
      <c r="E942" s="594" t="n"/>
      <c r="F942" s="595" t="n"/>
      <c r="H942" s="594" t="n"/>
      <c r="I942" s="595" t="n"/>
      <c r="K942" s="594" t="n"/>
      <c r="L942" s="595" t="n"/>
      <c r="N942" s="594" t="n"/>
      <c r="O942" s="595" t="n"/>
      <c r="Q942" s="594" t="n"/>
      <c r="R942" s="595" t="n"/>
      <c r="T942" s="594" t="n"/>
      <c r="U942" s="595" t="n"/>
      <c r="W942" s="594" t="n"/>
      <c r="X942" s="595" t="n"/>
      <c r="Z942" s="594" t="n"/>
      <c r="AA942" s="595" t="n"/>
      <c r="AC942" s="594" t="n"/>
      <c r="AD942" s="595" t="n"/>
      <c r="AF942" s="594" t="n"/>
      <c r="AG942" s="595" t="n"/>
      <c r="AI942" s="594" t="n"/>
      <c r="AJ942" s="595" t="n"/>
      <c r="AL942" s="594" t="n"/>
      <c r="AM942" s="595" t="n"/>
      <c r="AO942" s="594" t="n"/>
      <c r="AP942" s="595" t="n"/>
      <c r="AR942" s="594" t="n"/>
      <c r="AS942" s="595" t="n"/>
    </row>
    <row r="943" ht="15.75" customHeight="1" s="26">
      <c r="B943" s="593" t="n"/>
      <c r="E943" s="594" t="n"/>
      <c r="F943" s="595" t="n"/>
      <c r="H943" s="594" t="n"/>
      <c r="I943" s="595" t="n"/>
      <c r="K943" s="594" t="n"/>
      <c r="L943" s="595" t="n"/>
      <c r="N943" s="594" t="n"/>
      <c r="O943" s="595" t="n"/>
      <c r="Q943" s="594" t="n"/>
      <c r="R943" s="595" t="n"/>
      <c r="T943" s="594" t="n"/>
      <c r="U943" s="595" t="n"/>
      <c r="W943" s="594" t="n"/>
      <c r="X943" s="595" t="n"/>
      <c r="Z943" s="594" t="n"/>
      <c r="AA943" s="595" t="n"/>
      <c r="AC943" s="594" t="n"/>
      <c r="AD943" s="595" t="n"/>
      <c r="AF943" s="594" t="n"/>
      <c r="AG943" s="595" t="n"/>
      <c r="AI943" s="594" t="n"/>
      <c r="AJ943" s="595" t="n"/>
      <c r="AL943" s="594" t="n"/>
      <c r="AM943" s="595" t="n"/>
      <c r="AO943" s="594" t="n"/>
      <c r="AP943" s="595" t="n"/>
      <c r="AR943" s="594" t="n"/>
      <c r="AS943" s="595" t="n"/>
    </row>
    <row r="944" ht="15.75" customHeight="1" s="26">
      <c r="B944" s="593" t="n"/>
      <c r="E944" s="594" t="n"/>
      <c r="F944" s="595" t="n"/>
      <c r="H944" s="594" t="n"/>
      <c r="I944" s="595" t="n"/>
      <c r="K944" s="594" t="n"/>
      <c r="L944" s="595" t="n"/>
      <c r="N944" s="594" t="n"/>
      <c r="O944" s="595" t="n"/>
      <c r="Q944" s="594" t="n"/>
      <c r="R944" s="595" t="n"/>
      <c r="T944" s="594" t="n"/>
      <c r="U944" s="595" t="n"/>
      <c r="W944" s="594" t="n"/>
      <c r="X944" s="595" t="n"/>
      <c r="Z944" s="594" t="n"/>
      <c r="AA944" s="595" t="n"/>
      <c r="AC944" s="594" t="n"/>
      <c r="AD944" s="595" t="n"/>
      <c r="AF944" s="594" t="n"/>
      <c r="AG944" s="595" t="n"/>
      <c r="AI944" s="594" t="n"/>
      <c r="AJ944" s="595" t="n"/>
      <c r="AL944" s="594" t="n"/>
      <c r="AM944" s="595" t="n"/>
      <c r="AO944" s="594" t="n"/>
      <c r="AP944" s="595" t="n"/>
      <c r="AR944" s="594" t="n"/>
      <c r="AS944" s="595" t="n"/>
    </row>
    <row r="945" ht="15.75" customHeight="1" s="26">
      <c r="B945" s="593" t="n"/>
      <c r="E945" s="594" t="n"/>
      <c r="F945" s="595" t="n"/>
      <c r="H945" s="594" t="n"/>
      <c r="I945" s="595" t="n"/>
      <c r="K945" s="594" t="n"/>
      <c r="L945" s="595" t="n"/>
      <c r="N945" s="594" t="n"/>
      <c r="O945" s="595" t="n"/>
      <c r="Q945" s="594" t="n"/>
      <c r="R945" s="595" t="n"/>
      <c r="T945" s="594" t="n"/>
      <c r="U945" s="595" t="n"/>
      <c r="W945" s="594" t="n"/>
      <c r="X945" s="595" t="n"/>
      <c r="Z945" s="594" t="n"/>
      <c r="AA945" s="595" t="n"/>
      <c r="AC945" s="594" t="n"/>
      <c r="AD945" s="595" t="n"/>
      <c r="AF945" s="594" t="n"/>
      <c r="AG945" s="595" t="n"/>
      <c r="AI945" s="594" t="n"/>
      <c r="AJ945" s="595" t="n"/>
      <c r="AL945" s="594" t="n"/>
      <c r="AM945" s="595" t="n"/>
      <c r="AO945" s="594" t="n"/>
      <c r="AP945" s="595" t="n"/>
      <c r="AR945" s="594" t="n"/>
      <c r="AS945" s="595" t="n"/>
    </row>
    <row r="946" ht="15.75" customHeight="1" s="26">
      <c r="B946" s="593" t="n"/>
      <c r="E946" s="594" t="n"/>
      <c r="F946" s="595" t="n"/>
      <c r="H946" s="594" t="n"/>
      <c r="I946" s="595" t="n"/>
      <c r="K946" s="594" t="n"/>
      <c r="L946" s="595" t="n"/>
      <c r="N946" s="594" t="n"/>
      <c r="O946" s="595" t="n"/>
      <c r="Q946" s="594" t="n"/>
      <c r="R946" s="595" t="n"/>
      <c r="T946" s="594" t="n"/>
      <c r="U946" s="595" t="n"/>
      <c r="W946" s="594" t="n"/>
      <c r="X946" s="595" t="n"/>
      <c r="Z946" s="594" t="n"/>
      <c r="AA946" s="595" t="n"/>
      <c r="AC946" s="594" t="n"/>
      <c r="AD946" s="595" t="n"/>
      <c r="AF946" s="594" t="n"/>
      <c r="AG946" s="595" t="n"/>
      <c r="AI946" s="594" t="n"/>
      <c r="AJ946" s="595" t="n"/>
      <c r="AL946" s="594" t="n"/>
      <c r="AM946" s="595" t="n"/>
      <c r="AO946" s="594" t="n"/>
      <c r="AP946" s="595" t="n"/>
      <c r="AR946" s="594" t="n"/>
      <c r="AS946" s="595" t="n"/>
    </row>
    <row r="947" ht="15.75" customHeight="1" s="26">
      <c r="B947" s="593" t="n"/>
      <c r="E947" s="594" t="n"/>
      <c r="F947" s="595" t="n"/>
      <c r="H947" s="594" t="n"/>
      <c r="I947" s="595" t="n"/>
      <c r="K947" s="594" t="n"/>
      <c r="L947" s="595" t="n"/>
      <c r="N947" s="594" t="n"/>
      <c r="O947" s="595" t="n"/>
      <c r="Q947" s="594" t="n"/>
      <c r="R947" s="595" t="n"/>
      <c r="T947" s="594" t="n"/>
      <c r="U947" s="595" t="n"/>
      <c r="W947" s="594" t="n"/>
      <c r="X947" s="595" t="n"/>
      <c r="Z947" s="594" t="n"/>
      <c r="AA947" s="595" t="n"/>
      <c r="AC947" s="594" t="n"/>
      <c r="AD947" s="595" t="n"/>
      <c r="AF947" s="594" t="n"/>
      <c r="AG947" s="595" t="n"/>
      <c r="AI947" s="594" t="n"/>
      <c r="AJ947" s="595" t="n"/>
      <c r="AL947" s="594" t="n"/>
      <c r="AM947" s="595" t="n"/>
      <c r="AO947" s="594" t="n"/>
      <c r="AP947" s="595" t="n"/>
      <c r="AR947" s="594" t="n"/>
      <c r="AS947" s="595" t="n"/>
    </row>
    <row r="948" ht="15.75" customHeight="1" s="26">
      <c r="B948" s="593" t="n"/>
      <c r="E948" s="594" t="n"/>
      <c r="F948" s="595" t="n"/>
      <c r="H948" s="594" t="n"/>
      <c r="I948" s="595" t="n"/>
      <c r="K948" s="594" t="n"/>
      <c r="L948" s="595" t="n"/>
      <c r="N948" s="594" t="n"/>
      <c r="O948" s="595" t="n"/>
      <c r="Q948" s="594" t="n"/>
      <c r="R948" s="595" t="n"/>
      <c r="T948" s="594" t="n"/>
      <c r="U948" s="595" t="n"/>
      <c r="W948" s="594" t="n"/>
      <c r="X948" s="595" t="n"/>
      <c r="Z948" s="594" t="n"/>
      <c r="AA948" s="595" t="n"/>
      <c r="AC948" s="594" t="n"/>
      <c r="AD948" s="595" t="n"/>
      <c r="AF948" s="594" t="n"/>
      <c r="AG948" s="595" t="n"/>
      <c r="AI948" s="594" t="n"/>
      <c r="AJ948" s="595" t="n"/>
      <c r="AL948" s="594" t="n"/>
      <c r="AM948" s="595" t="n"/>
      <c r="AO948" s="594" t="n"/>
      <c r="AP948" s="595" t="n"/>
      <c r="AR948" s="594" t="n"/>
      <c r="AS948" s="595" t="n"/>
    </row>
    <row r="949" ht="15.75" customHeight="1" s="26">
      <c r="B949" s="593" t="n"/>
      <c r="E949" s="594" t="n"/>
      <c r="F949" s="595" t="n"/>
      <c r="H949" s="594" t="n"/>
      <c r="I949" s="595" t="n"/>
      <c r="K949" s="594" t="n"/>
      <c r="L949" s="595" t="n"/>
      <c r="N949" s="594" t="n"/>
      <c r="O949" s="595" t="n"/>
      <c r="Q949" s="594" t="n"/>
      <c r="R949" s="595" t="n"/>
      <c r="T949" s="594" t="n"/>
      <c r="U949" s="595" t="n"/>
      <c r="W949" s="594" t="n"/>
      <c r="X949" s="595" t="n"/>
      <c r="Z949" s="594" t="n"/>
      <c r="AA949" s="595" t="n"/>
      <c r="AC949" s="594" t="n"/>
      <c r="AD949" s="595" t="n"/>
      <c r="AF949" s="594" t="n"/>
      <c r="AG949" s="595" t="n"/>
      <c r="AI949" s="594" t="n"/>
      <c r="AJ949" s="595" t="n"/>
      <c r="AL949" s="594" t="n"/>
      <c r="AM949" s="595" t="n"/>
      <c r="AO949" s="594" t="n"/>
      <c r="AP949" s="595" t="n"/>
      <c r="AR949" s="594" t="n"/>
      <c r="AS949" s="595" t="n"/>
    </row>
    <row r="950" ht="15.75" customHeight="1" s="26">
      <c r="B950" s="593" t="n"/>
      <c r="E950" s="594" t="n"/>
      <c r="F950" s="595" t="n"/>
      <c r="H950" s="594" t="n"/>
      <c r="I950" s="595" t="n"/>
      <c r="K950" s="594" t="n"/>
      <c r="L950" s="595" t="n"/>
      <c r="N950" s="594" t="n"/>
      <c r="O950" s="595" t="n"/>
      <c r="Q950" s="594" t="n"/>
      <c r="R950" s="595" t="n"/>
      <c r="T950" s="594" t="n"/>
      <c r="U950" s="595" t="n"/>
      <c r="W950" s="594" t="n"/>
      <c r="X950" s="595" t="n"/>
      <c r="Z950" s="594" t="n"/>
      <c r="AA950" s="595" t="n"/>
      <c r="AC950" s="594" t="n"/>
      <c r="AD950" s="595" t="n"/>
      <c r="AF950" s="594" t="n"/>
      <c r="AG950" s="595" t="n"/>
      <c r="AI950" s="594" t="n"/>
      <c r="AJ950" s="595" t="n"/>
      <c r="AL950" s="594" t="n"/>
      <c r="AM950" s="595" t="n"/>
      <c r="AO950" s="594" t="n"/>
      <c r="AP950" s="595" t="n"/>
      <c r="AR950" s="594" t="n"/>
      <c r="AS950" s="595" t="n"/>
    </row>
    <row r="951" ht="15.75" customHeight="1" s="26">
      <c r="B951" s="593" t="n"/>
      <c r="E951" s="594" t="n"/>
      <c r="F951" s="595" t="n"/>
      <c r="H951" s="594" t="n"/>
      <c r="I951" s="595" t="n"/>
      <c r="K951" s="594" t="n"/>
      <c r="L951" s="595" t="n"/>
      <c r="N951" s="594" t="n"/>
      <c r="O951" s="595" t="n"/>
      <c r="Q951" s="594" t="n"/>
      <c r="R951" s="595" t="n"/>
      <c r="T951" s="594" t="n"/>
      <c r="U951" s="595" t="n"/>
      <c r="W951" s="594" t="n"/>
      <c r="X951" s="595" t="n"/>
      <c r="Z951" s="594" t="n"/>
      <c r="AA951" s="595" t="n"/>
      <c r="AC951" s="594" t="n"/>
      <c r="AD951" s="595" t="n"/>
      <c r="AF951" s="594" t="n"/>
      <c r="AG951" s="595" t="n"/>
      <c r="AI951" s="594" t="n"/>
      <c r="AJ951" s="595" t="n"/>
      <c r="AL951" s="594" t="n"/>
      <c r="AM951" s="595" t="n"/>
      <c r="AO951" s="594" t="n"/>
      <c r="AP951" s="595" t="n"/>
      <c r="AR951" s="594" t="n"/>
      <c r="AS951" s="595" t="n"/>
    </row>
    <row r="952" ht="15.75" customHeight="1" s="26">
      <c r="B952" s="593" t="n"/>
      <c r="E952" s="594" t="n"/>
      <c r="F952" s="595" t="n"/>
      <c r="H952" s="594" t="n"/>
      <c r="I952" s="595" t="n"/>
      <c r="K952" s="594" t="n"/>
      <c r="L952" s="595" t="n"/>
      <c r="N952" s="594" t="n"/>
      <c r="O952" s="595" t="n"/>
      <c r="Q952" s="594" t="n"/>
      <c r="R952" s="595" t="n"/>
      <c r="T952" s="594" t="n"/>
      <c r="U952" s="595" t="n"/>
      <c r="W952" s="594" t="n"/>
      <c r="X952" s="595" t="n"/>
      <c r="Z952" s="594" t="n"/>
      <c r="AA952" s="595" t="n"/>
      <c r="AC952" s="594" t="n"/>
      <c r="AD952" s="595" t="n"/>
      <c r="AF952" s="594" t="n"/>
      <c r="AG952" s="595" t="n"/>
      <c r="AI952" s="594" t="n"/>
      <c r="AJ952" s="595" t="n"/>
      <c r="AL952" s="594" t="n"/>
      <c r="AM952" s="595" t="n"/>
      <c r="AO952" s="594" t="n"/>
      <c r="AP952" s="595" t="n"/>
      <c r="AR952" s="594" t="n"/>
      <c r="AS952" s="595" t="n"/>
    </row>
    <row r="953" ht="15.75" customHeight="1" s="26">
      <c r="B953" s="593" t="n"/>
      <c r="E953" s="594" t="n"/>
      <c r="F953" s="595" t="n"/>
      <c r="H953" s="594" t="n"/>
      <c r="I953" s="595" t="n"/>
      <c r="K953" s="594" t="n"/>
      <c r="L953" s="595" t="n"/>
      <c r="N953" s="594" t="n"/>
      <c r="O953" s="595" t="n"/>
      <c r="Q953" s="594" t="n"/>
      <c r="R953" s="595" t="n"/>
      <c r="T953" s="594" t="n"/>
      <c r="U953" s="595" t="n"/>
      <c r="W953" s="594" t="n"/>
      <c r="X953" s="595" t="n"/>
      <c r="Z953" s="594" t="n"/>
      <c r="AA953" s="595" t="n"/>
      <c r="AC953" s="594" t="n"/>
      <c r="AD953" s="595" t="n"/>
      <c r="AF953" s="594" t="n"/>
      <c r="AG953" s="595" t="n"/>
      <c r="AI953" s="594" t="n"/>
      <c r="AJ953" s="595" t="n"/>
      <c r="AL953" s="594" t="n"/>
      <c r="AM953" s="595" t="n"/>
      <c r="AO953" s="594" t="n"/>
      <c r="AP953" s="595" t="n"/>
      <c r="AR953" s="594" t="n"/>
      <c r="AS953" s="595" t="n"/>
    </row>
    <row r="954" ht="15.75" customHeight="1" s="26">
      <c r="B954" s="593" t="n"/>
      <c r="E954" s="594" t="n"/>
      <c r="F954" s="595" t="n"/>
      <c r="H954" s="594" t="n"/>
      <c r="I954" s="595" t="n"/>
      <c r="K954" s="594" t="n"/>
      <c r="L954" s="595" t="n"/>
      <c r="N954" s="594" t="n"/>
      <c r="O954" s="595" t="n"/>
      <c r="Q954" s="594" t="n"/>
      <c r="R954" s="595" t="n"/>
      <c r="T954" s="594" t="n"/>
      <c r="U954" s="595" t="n"/>
      <c r="W954" s="594" t="n"/>
      <c r="X954" s="595" t="n"/>
      <c r="Z954" s="594" t="n"/>
      <c r="AA954" s="595" t="n"/>
      <c r="AC954" s="594" t="n"/>
      <c r="AD954" s="595" t="n"/>
      <c r="AF954" s="594" t="n"/>
      <c r="AG954" s="595" t="n"/>
      <c r="AI954" s="594" t="n"/>
      <c r="AJ954" s="595" t="n"/>
      <c r="AL954" s="594" t="n"/>
      <c r="AM954" s="595" t="n"/>
      <c r="AO954" s="594" t="n"/>
      <c r="AP954" s="595" t="n"/>
      <c r="AR954" s="594" t="n"/>
      <c r="AS954" s="595" t="n"/>
    </row>
    <row r="955" ht="15.75" customHeight="1" s="26">
      <c r="B955" s="593" t="n"/>
      <c r="E955" s="594" t="n"/>
      <c r="F955" s="595" t="n"/>
      <c r="H955" s="594" t="n"/>
      <c r="I955" s="595" t="n"/>
      <c r="K955" s="594" t="n"/>
      <c r="L955" s="595" t="n"/>
      <c r="N955" s="594" t="n"/>
      <c r="O955" s="595" t="n"/>
      <c r="Q955" s="594" t="n"/>
      <c r="R955" s="595" t="n"/>
      <c r="T955" s="594" t="n"/>
      <c r="U955" s="595" t="n"/>
      <c r="W955" s="594" t="n"/>
      <c r="X955" s="595" t="n"/>
      <c r="Z955" s="594" t="n"/>
      <c r="AA955" s="595" t="n"/>
      <c r="AC955" s="594" t="n"/>
      <c r="AD955" s="595" t="n"/>
      <c r="AF955" s="594" t="n"/>
      <c r="AG955" s="595" t="n"/>
      <c r="AI955" s="594" t="n"/>
      <c r="AJ955" s="595" t="n"/>
      <c r="AL955" s="594" t="n"/>
      <c r="AM955" s="595" t="n"/>
      <c r="AO955" s="594" t="n"/>
      <c r="AP955" s="595" t="n"/>
      <c r="AR955" s="594" t="n"/>
      <c r="AS955" s="595" t="n"/>
    </row>
    <row r="956" ht="15.75" customHeight="1" s="26">
      <c r="B956" s="593" t="n"/>
      <c r="E956" s="594" t="n"/>
      <c r="F956" s="595" t="n"/>
      <c r="H956" s="594" t="n"/>
      <c r="I956" s="595" t="n"/>
      <c r="K956" s="594" t="n"/>
      <c r="L956" s="595" t="n"/>
      <c r="N956" s="594" t="n"/>
      <c r="O956" s="595" t="n"/>
      <c r="Q956" s="594" t="n"/>
      <c r="R956" s="595" t="n"/>
      <c r="T956" s="594" t="n"/>
      <c r="U956" s="595" t="n"/>
      <c r="W956" s="594" t="n"/>
      <c r="X956" s="595" t="n"/>
      <c r="Z956" s="594" t="n"/>
      <c r="AA956" s="595" t="n"/>
      <c r="AC956" s="594" t="n"/>
      <c r="AD956" s="595" t="n"/>
      <c r="AF956" s="594" t="n"/>
      <c r="AG956" s="595" t="n"/>
      <c r="AI956" s="594" t="n"/>
      <c r="AJ956" s="595" t="n"/>
      <c r="AL956" s="594" t="n"/>
      <c r="AM956" s="595" t="n"/>
      <c r="AO956" s="594" t="n"/>
      <c r="AP956" s="595" t="n"/>
      <c r="AR956" s="594" t="n"/>
      <c r="AS956" s="595" t="n"/>
    </row>
    <row r="957" ht="15.75" customHeight="1" s="26">
      <c r="B957" s="593" t="n"/>
      <c r="E957" s="594" t="n"/>
      <c r="F957" s="595" t="n"/>
      <c r="H957" s="594" t="n"/>
      <c r="I957" s="595" t="n"/>
      <c r="K957" s="594" t="n"/>
      <c r="L957" s="595" t="n"/>
      <c r="N957" s="594" t="n"/>
      <c r="O957" s="595" t="n"/>
      <c r="Q957" s="594" t="n"/>
      <c r="R957" s="595" t="n"/>
      <c r="T957" s="594" t="n"/>
      <c r="U957" s="595" t="n"/>
      <c r="W957" s="594" t="n"/>
      <c r="X957" s="595" t="n"/>
      <c r="Z957" s="594" t="n"/>
      <c r="AA957" s="595" t="n"/>
      <c r="AC957" s="594" t="n"/>
      <c r="AD957" s="595" t="n"/>
      <c r="AF957" s="594" t="n"/>
      <c r="AG957" s="595" t="n"/>
      <c r="AI957" s="594" t="n"/>
      <c r="AJ957" s="595" t="n"/>
      <c r="AL957" s="594" t="n"/>
      <c r="AM957" s="595" t="n"/>
      <c r="AO957" s="594" t="n"/>
      <c r="AP957" s="595" t="n"/>
      <c r="AR957" s="594" t="n"/>
      <c r="AS957" s="595" t="n"/>
    </row>
    <row r="958" ht="15.75" customHeight="1" s="26">
      <c r="B958" s="593" t="n"/>
      <c r="E958" s="594" t="n"/>
      <c r="F958" s="595" t="n"/>
      <c r="H958" s="594" t="n"/>
      <c r="I958" s="595" t="n"/>
      <c r="K958" s="594" t="n"/>
      <c r="L958" s="595" t="n"/>
      <c r="N958" s="594" t="n"/>
      <c r="O958" s="595" t="n"/>
      <c r="Q958" s="594" t="n"/>
      <c r="R958" s="595" t="n"/>
      <c r="T958" s="594" t="n"/>
      <c r="U958" s="595" t="n"/>
      <c r="W958" s="594" t="n"/>
      <c r="X958" s="595" t="n"/>
      <c r="Z958" s="594" t="n"/>
      <c r="AA958" s="595" t="n"/>
      <c r="AC958" s="594" t="n"/>
      <c r="AD958" s="595" t="n"/>
      <c r="AF958" s="594" t="n"/>
      <c r="AG958" s="595" t="n"/>
      <c r="AI958" s="594" t="n"/>
      <c r="AJ958" s="595" t="n"/>
      <c r="AL958" s="594" t="n"/>
      <c r="AM958" s="595" t="n"/>
      <c r="AO958" s="594" t="n"/>
      <c r="AP958" s="595" t="n"/>
      <c r="AR958" s="594" t="n"/>
      <c r="AS958" s="595" t="n"/>
    </row>
    <row r="959" ht="15.75" customHeight="1" s="26">
      <c r="B959" s="593" t="n"/>
      <c r="E959" s="594" t="n"/>
      <c r="F959" s="595" t="n"/>
      <c r="H959" s="594" t="n"/>
      <c r="I959" s="595" t="n"/>
      <c r="K959" s="594" t="n"/>
      <c r="L959" s="595" t="n"/>
      <c r="N959" s="594" t="n"/>
      <c r="O959" s="595" t="n"/>
      <c r="Q959" s="594" t="n"/>
      <c r="R959" s="595" t="n"/>
      <c r="T959" s="594" t="n"/>
      <c r="U959" s="595" t="n"/>
      <c r="W959" s="594" t="n"/>
      <c r="X959" s="595" t="n"/>
      <c r="Z959" s="594" t="n"/>
      <c r="AA959" s="595" t="n"/>
      <c r="AC959" s="594" t="n"/>
      <c r="AD959" s="595" t="n"/>
      <c r="AF959" s="594" t="n"/>
      <c r="AG959" s="595" t="n"/>
      <c r="AI959" s="594" t="n"/>
      <c r="AJ959" s="595" t="n"/>
      <c r="AL959" s="594" t="n"/>
      <c r="AM959" s="595" t="n"/>
      <c r="AO959" s="594" t="n"/>
      <c r="AP959" s="595" t="n"/>
      <c r="AR959" s="594" t="n"/>
      <c r="AS959" s="595" t="n"/>
    </row>
    <row r="960" ht="15.75" customHeight="1" s="26">
      <c r="B960" s="593" t="n"/>
      <c r="E960" s="594" t="n"/>
      <c r="F960" s="595" t="n"/>
      <c r="H960" s="594" t="n"/>
      <c r="I960" s="595" t="n"/>
      <c r="K960" s="594" t="n"/>
      <c r="L960" s="595" t="n"/>
      <c r="N960" s="594" t="n"/>
      <c r="O960" s="595" t="n"/>
      <c r="Q960" s="594" t="n"/>
      <c r="R960" s="595" t="n"/>
      <c r="T960" s="594" t="n"/>
      <c r="U960" s="595" t="n"/>
      <c r="W960" s="594" t="n"/>
      <c r="X960" s="595" t="n"/>
      <c r="Z960" s="594" t="n"/>
      <c r="AA960" s="595" t="n"/>
      <c r="AC960" s="594" t="n"/>
      <c r="AD960" s="595" t="n"/>
      <c r="AF960" s="594" t="n"/>
      <c r="AG960" s="595" t="n"/>
      <c r="AI960" s="594" t="n"/>
      <c r="AJ960" s="595" t="n"/>
      <c r="AL960" s="594" t="n"/>
      <c r="AM960" s="595" t="n"/>
      <c r="AO960" s="594" t="n"/>
      <c r="AP960" s="595" t="n"/>
      <c r="AR960" s="594" t="n"/>
      <c r="AS960" s="595" t="n"/>
    </row>
    <row r="961" ht="15.75" customHeight="1" s="26">
      <c r="B961" s="593" t="n"/>
      <c r="E961" s="594" t="n"/>
      <c r="F961" s="595" t="n"/>
      <c r="H961" s="594" t="n"/>
      <c r="I961" s="595" t="n"/>
      <c r="K961" s="594" t="n"/>
      <c r="L961" s="595" t="n"/>
      <c r="N961" s="594" t="n"/>
      <c r="O961" s="595" t="n"/>
      <c r="Q961" s="594" t="n"/>
      <c r="R961" s="595" t="n"/>
      <c r="T961" s="594" t="n"/>
      <c r="U961" s="595" t="n"/>
      <c r="W961" s="594" t="n"/>
      <c r="X961" s="595" t="n"/>
      <c r="Z961" s="594" t="n"/>
      <c r="AA961" s="595" t="n"/>
      <c r="AC961" s="594" t="n"/>
      <c r="AD961" s="595" t="n"/>
      <c r="AF961" s="594" t="n"/>
      <c r="AG961" s="595" t="n"/>
      <c r="AI961" s="594" t="n"/>
      <c r="AJ961" s="595" t="n"/>
      <c r="AL961" s="594" t="n"/>
      <c r="AM961" s="595" t="n"/>
      <c r="AO961" s="594" t="n"/>
      <c r="AP961" s="595" t="n"/>
      <c r="AR961" s="594" t="n"/>
      <c r="AS961" s="595" t="n"/>
    </row>
    <row r="962" ht="15.75" customHeight="1" s="26">
      <c r="B962" s="593" t="n"/>
      <c r="E962" s="594" t="n"/>
      <c r="F962" s="595" t="n"/>
      <c r="H962" s="594" t="n"/>
      <c r="I962" s="595" t="n"/>
      <c r="K962" s="594" t="n"/>
      <c r="L962" s="595" t="n"/>
      <c r="N962" s="594" t="n"/>
      <c r="O962" s="595" t="n"/>
      <c r="Q962" s="594" t="n"/>
      <c r="R962" s="595" t="n"/>
      <c r="T962" s="594" t="n"/>
      <c r="U962" s="595" t="n"/>
      <c r="W962" s="594" t="n"/>
      <c r="X962" s="595" t="n"/>
      <c r="Z962" s="594" t="n"/>
      <c r="AA962" s="595" t="n"/>
      <c r="AC962" s="594" t="n"/>
      <c r="AD962" s="595" t="n"/>
      <c r="AF962" s="594" t="n"/>
      <c r="AG962" s="595" t="n"/>
      <c r="AI962" s="594" t="n"/>
      <c r="AJ962" s="595" t="n"/>
      <c r="AL962" s="594" t="n"/>
      <c r="AM962" s="595" t="n"/>
      <c r="AO962" s="594" t="n"/>
      <c r="AP962" s="595" t="n"/>
      <c r="AR962" s="594" t="n"/>
      <c r="AS962" s="595" t="n"/>
    </row>
    <row r="963" ht="15.75" customHeight="1" s="26">
      <c r="B963" s="593" t="n"/>
      <c r="E963" s="594" t="n"/>
      <c r="F963" s="595" t="n"/>
      <c r="H963" s="594" t="n"/>
      <c r="I963" s="595" t="n"/>
      <c r="K963" s="594" t="n"/>
      <c r="L963" s="595" t="n"/>
      <c r="N963" s="594" t="n"/>
      <c r="O963" s="595" t="n"/>
      <c r="Q963" s="594" t="n"/>
      <c r="R963" s="595" t="n"/>
      <c r="T963" s="594" t="n"/>
      <c r="U963" s="595" t="n"/>
      <c r="W963" s="594" t="n"/>
      <c r="X963" s="595" t="n"/>
      <c r="Z963" s="594" t="n"/>
      <c r="AA963" s="595" t="n"/>
      <c r="AC963" s="594" t="n"/>
      <c r="AD963" s="595" t="n"/>
      <c r="AF963" s="594" t="n"/>
      <c r="AG963" s="595" t="n"/>
      <c r="AI963" s="594" t="n"/>
      <c r="AJ963" s="595" t="n"/>
      <c r="AL963" s="594" t="n"/>
      <c r="AM963" s="595" t="n"/>
      <c r="AO963" s="594" t="n"/>
      <c r="AP963" s="595" t="n"/>
      <c r="AR963" s="594" t="n"/>
      <c r="AS963" s="595" t="n"/>
    </row>
    <row r="964" ht="15.75" customHeight="1" s="26">
      <c r="B964" s="593" t="n"/>
      <c r="E964" s="594" t="n"/>
      <c r="F964" s="595" t="n"/>
      <c r="H964" s="594" t="n"/>
      <c r="I964" s="595" t="n"/>
      <c r="K964" s="594" t="n"/>
      <c r="L964" s="595" t="n"/>
      <c r="N964" s="594" t="n"/>
      <c r="O964" s="595" t="n"/>
      <c r="Q964" s="594" t="n"/>
      <c r="R964" s="595" t="n"/>
      <c r="T964" s="594" t="n"/>
      <c r="U964" s="595" t="n"/>
      <c r="W964" s="594" t="n"/>
      <c r="X964" s="595" t="n"/>
      <c r="Z964" s="594" t="n"/>
      <c r="AA964" s="595" t="n"/>
      <c r="AC964" s="594" t="n"/>
      <c r="AD964" s="595" t="n"/>
      <c r="AF964" s="594" t="n"/>
      <c r="AG964" s="595" t="n"/>
      <c r="AI964" s="594" t="n"/>
      <c r="AJ964" s="595" t="n"/>
      <c r="AL964" s="594" t="n"/>
      <c r="AM964" s="595" t="n"/>
      <c r="AO964" s="594" t="n"/>
      <c r="AP964" s="595" t="n"/>
      <c r="AR964" s="594" t="n"/>
      <c r="AS964" s="595" t="n"/>
    </row>
    <row r="965" ht="15.75" customHeight="1" s="26">
      <c r="B965" s="593" t="n"/>
      <c r="E965" s="594" t="n"/>
      <c r="F965" s="595" t="n"/>
      <c r="H965" s="594" t="n"/>
      <c r="I965" s="595" t="n"/>
      <c r="K965" s="594" t="n"/>
      <c r="L965" s="595" t="n"/>
      <c r="N965" s="594" t="n"/>
      <c r="O965" s="595" t="n"/>
      <c r="Q965" s="594" t="n"/>
      <c r="R965" s="595" t="n"/>
      <c r="T965" s="594" t="n"/>
      <c r="U965" s="595" t="n"/>
      <c r="W965" s="594" t="n"/>
      <c r="X965" s="595" t="n"/>
      <c r="Z965" s="594" t="n"/>
      <c r="AA965" s="595" t="n"/>
      <c r="AC965" s="594" t="n"/>
      <c r="AD965" s="595" t="n"/>
      <c r="AF965" s="594" t="n"/>
      <c r="AG965" s="595" t="n"/>
      <c r="AI965" s="594" t="n"/>
      <c r="AJ965" s="595" t="n"/>
      <c r="AL965" s="594" t="n"/>
      <c r="AM965" s="595" t="n"/>
      <c r="AO965" s="594" t="n"/>
      <c r="AP965" s="595" t="n"/>
      <c r="AR965" s="594" t="n"/>
      <c r="AS965" s="595" t="n"/>
    </row>
    <row r="966" ht="15.75" customHeight="1" s="26">
      <c r="B966" s="593" t="n"/>
      <c r="E966" s="594" t="n"/>
      <c r="F966" s="595" t="n"/>
      <c r="H966" s="594" t="n"/>
      <c r="I966" s="595" t="n"/>
      <c r="K966" s="594" t="n"/>
      <c r="L966" s="595" t="n"/>
      <c r="N966" s="594" t="n"/>
      <c r="O966" s="595" t="n"/>
      <c r="Q966" s="594" t="n"/>
      <c r="R966" s="595" t="n"/>
      <c r="T966" s="594" t="n"/>
      <c r="U966" s="595" t="n"/>
      <c r="W966" s="594" t="n"/>
      <c r="X966" s="595" t="n"/>
      <c r="Z966" s="594" t="n"/>
      <c r="AA966" s="595" t="n"/>
      <c r="AC966" s="594" t="n"/>
      <c r="AD966" s="595" t="n"/>
      <c r="AF966" s="594" t="n"/>
      <c r="AG966" s="595" t="n"/>
      <c r="AI966" s="594" t="n"/>
      <c r="AJ966" s="595" t="n"/>
      <c r="AL966" s="594" t="n"/>
      <c r="AM966" s="595" t="n"/>
      <c r="AO966" s="594" t="n"/>
      <c r="AP966" s="595" t="n"/>
      <c r="AR966" s="594" t="n"/>
      <c r="AS966" s="595" t="n"/>
    </row>
    <row r="967" ht="15.75" customHeight="1" s="26">
      <c r="B967" s="593" t="n"/>
      <c r="E967" s="594" t="n"/>
      <c r="F967" s="595" t="n"/>
      <c r="H967" s="594" t="n"/>
      <c r="I967" s="595" t="n"/>
      <c r="K967" s="594" t="n"/>
      <c r="L967" s="595" t="n"/>
      <c r="N967" s="594" t="n"/>
      <c r="O967" s="595" t="n"/>
      <c r="Q967" s="594" t="n"/>
      <c r="R967" s="595" t="n"/>
      <c r="T967" s="594" t="n"/>
      <c r="U967" s="595" t="n"/>
      <c r="W967" s="594" t="n"/>
      <c r="X967" s="595" t="n"/>
      <c r="Z967" s="594" t="n"/>
      <c r="AA967" s="595" t="n"/>
      <c r="AC967" s="594" t="n"/>
      <c r="AD967" s="595" t="n"/>
      <c r="AF967" s="594" t="n"/>
      <c r="AG967" s="595" t="n"/>
      <c r="AI967" s="594" t="n"/>
      <c r="AJ967" s="595" t="n"/>
      <c r="AL967" s="594" t="n"/>
      <c r="AM967" s="595" t="n"/>
      <c r="AO967" s="594" t="n"/>
      <c r="AP967" s="595" t="n"/>
      <c r="AR967" s="594" t="n"/>
      <c r="AS967" s="595" t="n"/>
    </row>
    <row r="968" ht="15.75" customHeight="1" s="26">
      <c r="B968" s="593" t="n"/>
      <c r="E968" s="594" t="n"/>
      <c r="F968" s="595" t="n"/>
      <c r="H968" s="594" t="n"/>
      <c r="I968" s="595" t="n"/>
      <c r="K968" s="594" t="n"/>
      <c r="L968" s="595" t="n"/>
      <c r="N968" s="594" t="n"/>
      <c r="O968" s="595" t="n"/>
      <c r="Q968" s="594" t="n"/>
      <c r="R968" s="595" t="n"/>
      <c r="T968" s="594" t="n"/>
      <c r="U968" s="595" t="n"/>
      <c r="W968" s="594" t="n"/>
      <c r="X968" s="595" t="n"/>
      <c r="Z968" s="594" t="n"/>
      <c r="AA968" s="595" t="n"/>
      <c r="AC968" s="594" t="n"/>
      <c r="AD968" s="595" t="n"/>
      <c r="AF968" s="594" t="n"/>
      <c r="AG968" s="595" t="n"/>
      <c r="AI968" s="594" t="n"/>
      <c r="AJ968" s="595" t="n"/>
      <c r="AL968" s="594" t="n"/>
      <c r="AM968" s="595" t="n"/>
      <c r="AO968" s="594" t="n"/>
      <c r="AP968" s="595" t="n"/>
      <c r="AR968" s="594" t="n"/>
      <c r="AS968" s="595" t="n"/>
    </row>
    <row r="969" ht="15.75" customHeight="1" s="26">
      <c r="B969" s="593" t="n"/>
      <c r="E969" s="594" t="n"/>
      <c r="F969" s="595" t="n"/>
      <c r="H969" s="594" t="n"/>
      <c r="I969" s="595" t="n"/>
      <c r="K969" s="594" t="n"/>
      <c r="L969" s="595" t="n"/>
      <c r="N969" s="594" t="n"/>
      <c r="O969" s="595" t="n"/>
      <c r="Q969" s="594" t="n"/>
      <c r="R969" s="595" t="n"/>
      <c r="T969" s="594" t="n"/>
      <c r="U969" s="595" t="n"/>
      <c r="W969" s="594" t="n"/>
      <c r="X969" s="595" t="n"/>
      <c r="Z969" s="594" t="n"/>
      <c r="AA969" s="595" t="n"/>
      <c r="AC969" s="594" t="n"/>
      <c r="AD969" s="595" t="n"/>
      <c r="AF969" s="594" t="n"/>
      <c r="AG969" s="595" t="n"/>
      <c r="AI969" s="594" t="n"/>
      <c r="AJ969" s="595" t="n"/>
      <c r="AL969" s="594" t="n"/>
      <c r="AM969" s="595" t="n"/>
      <c r="AO969" s="594" t="n"/>
      <c r="AP969" s="595" t="n"/>
      <c r="AR969" s="594" t="n"/>
      <c r="AS969" s="595" t="n"/>
    </row>
    <row r="970" ht="15.75" customHeight="1" s="26">
      <c r="B970" s="593" t="n"/>
      <c r="E970" s="594" t="n"/>
      <c r="F970" s="595" t="n"/>
      <c r="H970" s="594" t="n"/>
      <c r="I970" s="595" t="n"/>
      <c r="K970" s="594" t="n"/>
      <c r="L970" s="595" t="n"/>
      <c r="N970" s="594" t="n"/>
      <c r="O970" s="595" t="n"/>
      <c r="Q970" s="594" t="n"/>
      <c r="R970" s="595" t="n"/>
      <c r="T970" s="594" t="n"/>
      <c r="U970" s="595" t="n"/>
      <c r="W970" s="594" t="n"/>
      <c r="X970" s="595" t="n"/>
      <c r="Z970" s="594" t="n"/>
      <c r="AA970" s="595" t="n"/>
      <c r="AC970" s="594" t="n"/>
      <c r="AD970" s="595" t="n"/>
      <c r="AF970" s="594" t="n"/>
      <c r="AG970" s="595" t="n"/>
      <c r="AI970" s="594" t="n"/>
      <c r="AJ970" s="595" t="n"/>
      <c r="AL970" s="594" t="n"/>
      <c r="AM970" s="595" t="n"/>
      <c r="AO970" s="594" t="n"/>
      <c r="AP970" s="595" t="n"/>
      <c r="AR970" s="594" t="n"/>
      <c r="AS970" s="595" t="n"/>
    </row>
    <row r="971" ht="15.75" customHeight="1" s="26">
      <c r="B971" s="593" t="n"/>
      <c r="E971" s="594" t="n"/>
      <c r="F971" s="595" t="n"/>
      <c r="H971" s="594" t="n"/>
      <c r="I971" s="595" t="n"/>
      <c r="K971" s="594" t="n"/>
      <c r="L971" s="595" t="n"/>
      <c r="N971" s="594" t="n"/>
      <c r="O971" s="595" t="n"/>
      <c r="Q971" s="594" t="n"/>
      <c r="R971" s="595" t="n"/>
      <c r="T971" s="594" t="n"/>
      <c r="U971" s="595" t="n"/>
      <c r="W971" s="594" t="n"/>
      <c r="X971" s="595" t="n"/>
      <c r="Z971" s="594" t="n"/>
      <c r="AA971" s="595" t="n"/>
      <c r="AC971" s="594" t="n"/>
      <c r="AD971" s="595" t="n"/>
      <c r="AF971" s="594" t="n"/>
      <c r="AG971" s="595" t="n"/>
      <c r="AI971" s="594" t="n"/>
      <c r="AJ971" s="595" t="n"/>
      <c r="AL971" s="594" t="n"/>
      <c r="AM971" s="595" t="n"/>
      <c r="AO971" s="594" t="n"/>
      <c r="AP971" s="595" t="n"/>
      <c r="AR971" s="594" t="n"/>
      <c r="AS971" s="595" t="n"/>
    </row>
    <row r="972" ht="15.75" customHeight="1" s="26">
      <c r="B972" s="593" t="n"/>
      <c r="E972" s="594" t="n"/>
      <c r="F972" s="595" t="n"/>
      <c r="H972" s="594" t="n"/>
      <c r="I972" s="595" t="n"/>
      <c r="K972" s="594" t="n"/>
      <c r="L972" s="595" t="n"/>
      <c r="N972" s="594" t="n"/>
      <c r="O972" s="595" t="n"/>
      <c r="Q972" s="594" t="n"/>
      <c r="R972" s="595" t="n"/>
      <c r="T972" s="594" t="n"/>
      <c r="U972" s="595" t="n"/>
      <c r="W972" s="594" t="n"/>
      <c r="X972" s="595" t="n"/>
      <c r="Z972" s="594" t="n"/>
      <c r="AA972" s="595" t="n"/>
      <c r="AC972" s="594" t="n"/>
      <c r="AD972" s="595" t="n"/>
      <c r="AF972" s="594" t="n"/>
      <c r="AG972" s="595" t="n"/>
      <c r="AI972" s="594" t="n"/>
      <c r="AJ972" s="595" t="n"/>
      <c r="AL972" s="594" t="n"/>
      <c r="AM972" s="595" t="n"/>
      <c r="AO972" s="594" t="n"/>
      <c r="AP972" s="595" t="n"/>
      <c r="AR972" s="594" t="n"/>
      <c r="AS972" s="595" t="n"/>
    </row>
    <row r="973" ht="15.75" customHeight="1" s="26">
      <c r="B973" s="593" t="n"/>
      <c r="E973" s="594" t="n"/>
      <c r="F973" s="595" t="n"/>
      <c r="H973" s="594" t="n"/>
      <c r="I973" s="595" t="n"/>
      <c r="K973" s="594" t="n"/>
      <c r="L973" s="595" t="n"/>
      <c r="N973" s="594" t="n"/>
      <c r="O973" s="595" t="n"/>
      <c r="Q973" s="594" t="n"/>
      <c r="R973" s="595" t="n"/>
      <c r="T973" s="594" t="n"/>
      <c r="U973" s="595" t="n"/>
      <c r="W973" s="594" t="n"/>
      <c r="X973" s="595" t="n"/>
      <c r="Z973" s="594" t="n"/>
      <c r="AA973" s="595" t="n"/>
      <c r="AC973" s="594" t="n"/>
      <c r="AD973" s="595" t="n"/>
      <c r="AF973" s="594" t="n"/>
      <c r="AG973" s="595" t="n"/>
      <c r="AI973" s="594" t="n"/>
      <c r="AJ973" s="595" t="n"/>
      <c r="AL973" s="594" t="n"/>
      <c r="AM973" s="595" t="n"/>
      <c r="AO973" s="594" t="n"/>
      <c r="AP973" s="595" t="n"/>
      <c r="AR973" s="594" t="n"/>
      <c r="AS973" s="595" t="n"/>
    </row>
    <row r="974" ht="15.75" customHeight="1" s="26">
      <c r="B974" s="593" t="n"/>
      <c r="E974" s="594" t="n"/>
      <c r="F974" s="595" t="n"/>
      <c r="H974" s="594" t="n"/>
      <c r="I974" s="595" t="n"/>
      <c r="K974" s="594" t="n"/>
      <c r="L974" s="595" t="n"/>
      <c r="N974" s="594" t="n"/>
      <c r="O974" s="595" t="n"/>
      <c r="Q974" s="594" t="n"/>
      <c r="R974" s="595" t="n"/>
      <c r="T974" s="594" t="n"/>
      <c r="U974" s="595" t="n"/>
      <c r="W974" s="594" t="n"/>
      <c r="X974" s="595" t="n"/>
      <c r="Z974" s="594" t="n"/>
      <c r="AA974" s="595" t="n"/>
      <c r="AC974" s="594" t="n"/>
      <c r="AD974" s="595" t="n"/>
      <c r="AF974" s="594" t="n"/>
      <c r="AG974" s="595" t="n"/>
      <c r="AI974" s="594" t="n"/>
      <c r="AJ974" s="595" t="n"/>
      <c r="AL974" s="594" t="n"/>
      <c r="AM974" s="595" t="n"/>
      <c r="AO974" s="594" t="n"/>
      <c r="AP974" s="595" t="n"/>
      <c r="AR974" s="594" t="n"/>
      <c r="AS974" s="595" t="n"/>
    </row>
    <row r="975" ht="15.75" customHeight="1" s="26">
      <c r="B975" s="593" t="n"/>
      <c r="E975" s="594" t="n"/>
      <c r="F975" s="595" t="n"/>
      <c r="H975" s="594" t="n"/>
      <c r="I975" s="595" t="n"/>
      <c r="K975" s="594" t="n"/>
      <c r="L975" s="595" t="n"/>
      <c r="N975" s="594" t="n"/>
      <c r="O975" s="595" t="n"/>
      <c r="Q975" s="594" t="n"/>
      <c r="R975" s="595" t="n"/>
      <c r="T975" s="594" t="n"/>
      <c r="U975" s="595" t="n"/>
      <c r="W975" s="594" t="n"/>
      <c r="X975" s="595" t="n"/>
      <c r="Z975" s="594" t="n"/>
      <c r="AA975" s="595" t="n"/>
      <c r="AC975" s="594" t="n"/>
      <c r="AD975" s="595" t="n"/>
      <c r="AF975" s="594" t="n"/>
      <c r="AG975" s="595" t="n"/>
      <c r="AI975" s="594" t="n"/>
      <c r="AJ975" s="595" t="n"/>
      <c r="AL975" s="594" t="n"/>
      <c r="AM975" s="595" t="n"/>
      <c r="AO975" s="594" t="n"/>
      <c r="AP975" s="595" t="n"/>
      <c r="AR975" s="594" t="n"/>
      <c r="AS975" s="595" t="n"/>
    </row>
    <row r="976" ht="15.75" customHeight="1" s="26">
      <c r="B976" s="593" t="n"/>
      <c r="E976" s="594" t="n"/>
      <c r="F976" s="595" t="n"/>
      <c r="H976" s="594" t="n"/>
      <c r="I976" s="595" t="n"/>
      <c r="K976" s="594" t="n"/>
      <c r="L976" s="595" t="n"/>
      <c r="N976" s="594" t="n"/>
      <c r="O976" s="595" t="n"/>
      <c r="Q976" s="594" t="n"/>
      <c r="R976" s="595" t="n"/>
      <c r="T976" s="594" t="n"/>
      <c r="U976" s="595" t="n"/>
      <c r="W976" s="594" t="n"/>
      <c r="X976" s="595" t="n"/>
      <c r="Z976" s="594" t="n"/>
      <c r="AA976" s="595" t="n"/>
      <c r="AC976" s="594" t="n"/>
      <c r="AD976" s="595" t="n"/>
      <c r="AF976" s="594" t="n"/>
      <c r="AG976" s="595" t="n"/>
      <c r="AI976" s="594" t="n"/>
      <c r="AJ976" s="595" t="n"/>
      <c r="AL976" s="594" t="n"/>
      <c r="AM976" s="595" t="n"/>
      <c r="AO976" s="594" t="n"/>
      <c r="AP976" s="595" t="n"/>
      <c r="AR976" s="594" t="n"/>
      <c r="AS976" s="595" t="n"/>
    </row>
    <row r="977" ht="15.75" customHeight="1" s="26">
      <c r="B977" s="593" t="n"/>
      <c r="E977" s="594" t="n"/>
      <c r="F977" s="595" t="n"/>
      <c r="H977" s="594" t="n"/>
      <c r="I977" s="595" t="n"/>
      <c r="K977" s="594" t="n"/>
      <c r="L977" s="595" t="n"/>
      <c r="N977" s="594" t="n"/>
      <c r="O977" s="595" t="n"/>
      <c r="Q977" s="594" t="n"/>
      <c r="R977" s="595" t="n"/>
      <c r="T977" s="594" t="n"/>
      <c r="U977" s="595" t="n"/>
      <c r="W977" s="594" t="n"/>
      <c r="X977" s="595" t="n"/>
      <c r="Z977" s="594" t="n"/>
      <c r="AA977" s="595" t="n"/>
      <c r="AC977" s="594" t="n"/>
      <c r="AD977" s="595" t="n"/>
      <c r="AF977" s="594" t="n"/>
      <c r="AG977" s="595" t="n"/>
      <c r="AI977" s="594" t="n"/>
      <c r="AJ977" s="595" t="n"/>
      <c r="AL977" s="594" t="n"/>
      <c r="AM977" s="595" t="n"/>
      <c r="AO977" s="594" t="n"/>
      <c r="AP977" s="595" t="n"/>
      <c r="AR977" s="594" t="n"/>
      <c r="AS977" s="595" t="n"/>
    </row>
    <row r="978" ht="15.75" customHeight="1" s="26">
      <c r="B978" s="593" t="n"/>
      <c r="E978" s="594" t="n"/>
      <c r="F978" s="595" t="n"/>
      <c r="H978" s="594" t="n"/>
      <c r="I978" s="595" t="n"/>
      <c r="K978" s="594" t="n"/>
      <c r="L978" s="595" t="n"/>
      <c r="N978" s="594" t="n"/>
      <c r="O978" s="595" t="n"/>
      <c r="Q978" s="594" t="n"/>
      <c r="R978" s="595" t="n"/>
      <c r="T978" s="594" t="n"/>
      <c r="U978" s="595" t="n"/>
      <c r="W978" s="594" t="n"/>
      <c r="X978" s="595" t="n"/>
      <c r="Z978" s="594" t="n"/>
      <c r="AA978" s="595" t="n"/>
      <c r="AC978" s="594" t="n"/>
      <c r="AD978" s="595" t="n"/>
      <c r="AF978" s="594" t="n"/>
      <c r="AG978" s="595" t="n"/>
      <c r="AI978" s="594" t="n"/>
      <c r="AJ978" s="595" t="n"/>
      <c r="AL978" s="594" t="n"/>
      <c r="AM978" s="595" t="n"/>
      <c r="AO978" s="594" t="n"/>
      <c r="AP978" s="595" t="n"/>
      <c r="AR978" s="594" t="n"/>
      <c r="AS978" s="595" t="n"/>
    </row>
    <row r="979" ht="15.75" customHeight="1" s="26">
      <c r="B979" s="593" t="n"/>
      <c r="E979" s="594" t="n"/>
      <c r="F979" s="595" t="n"/>
      <c r="H979" s="594" t="n"/>
      <c r="I979" s="595" t="n"/>
      <c r="K979" s="594" t="n"/>
      <c r="L979" s="595" t="n"/>
      <c r="N979" s="594" t="n"/>
      <c r="O979" s="595" t="n"/>
      <c r="Q979" s="594" t="n"/>
      <c r="R979" s="595" t="n"/>
      <c r="T979" s="594" t="n"/>
      <c r="U979" s="595" t="n"/>
      <c r="W979" s="594" t="n"/>
      <c r="X979" s="595" t="n"/>
      <c r="Z979" s="594" t="n"/>
      <c r="AA979" s="595" t="n"/>
      <c r="AC979" s="594" t="n"/>
      <c r="AD979" s="595" t="n"/>
      <c r="AF979" s="594" t="n"/>
      <c r="AG979" s="595" t="n"/>
      <c r="AI979" s="594" t="n"/>
      <c r="AJ979" s="595" t="n"/>
      <c r="AL979" s="594" t="n"/>
      <c r="AM979" s="595" t="n"/>
      <c r="AO979" s="594" t="n"/>
      <c r="AP979" s="595" t="n"/>
      <c r="AR979" s="594" t="n"/>
      <c r="AS979" s="595" t="n"/>
    </row>
    <row r="980" ht="15.75" customHeight="1" s="26">
      <c r="B980" s="593" t="n"/>
      <c r="E980" s="594" t="n"/>
      <c r="F980" s="595" t="n"/>
      <c r="H980" s="594" t="n"/>
      <c r="I980" s="595" t="n"/>
      <c r="K980" s="594" t="n"/>
      <c r="L980" s="595" t="n"/>
      <c r="N980" s="594" t="n"/>
      <c r="O980" s="595" t="n"/>
      <c r="Q980" s="594" t="n"/>
      <c r="R980" s="595" t="n"/>
      <c r="T980" s="594" t="n"/>
      <c r="U980" s="595" t="n"/>
      <c r="W980" s="594" t="n"/>
      <c r="X980" s="595" t="n"/>
      <c r="Z980" s="594" t="n"/>
      <c r="AA980" s="595" t="n"/>
      <c r="AC980" s="594" t="n"/>
      <c r="AD980" s="595" t="n"/>
      <c r="AF980" s="594" t="n"/>
      <c r="AG980" s="595" t="n"/>
      <c r="AI980" s="594" t="n"/>
      <c r="AJ980" s="595" t="n"/>
      <c r="AL980" s="594" t="n"/>
      <c r="AM980" s="595" t="n"/>
      <c r="AO980" s="594" t="n"/>
      <c r="AP980" s="595" t="n"/>
      <c r="AR980" s="594" t="n"/>
      <c r="AS980" s="595" t="n"/>
    </row>
    <row r="981" ht="15.75" customHeight="1" s="26">
      <c r="B981" s="593" t="n"/>
      <c r="E981" s="594" t="n"/>
      <c r="F981" s="595" t="n"/>
      <c r="H981" s="594" t="n"/>
      <c r="I981" s="595" t="n"/>
      <c r="K981" s="594" t="n"/>
      <c r="L981" s="595" t="n"/>
      <c r="N981" s="594" t="n"/>
      <c r="O981" s="595" t="n"/>
      <c r="Q981" s="594" t="n"/>
      <c r="R981" s="595" t="n"/>
      <c r="T981" s="594" t="n"/>
      <c r="U981" s="595" t="n"/>
      <c r="W981" s="594" t="n"/>
      <c r="X981" s="595" t="n"/>
      <c r="Z981" s="594" t="n"/>
      <c r="AA981" s="595" t="n"/>
      <c r="AC981" s="594" t="n"/>
      <c r="AD981" s="595" t="n"/>
      <c r="AF981" s="594" t="n"/>
      <c r="AG981" s="595" t="n"/>
      <c r="AI981" s="594" t="n"/>
      <c r="AJ981" s="595" t="n"/>
      <c r="AL981" s="594" t="n"/>
      <c r="AM981" s="595" t="n"/>
      <c r="AO981" s="594" t="n"/>
      <c r="AP981" s="595" t="n"/>
      <c r="AR981" s="594" t="n"/>
      <c r="AS981" s="595" t="n"/>
    </row>
    <row r="982" ht="15.75" customHeight="1" s="26">
      <c r="B982" s="593" t="n"/>
      <c r="E982" s="594" t="n"/>
      <c r="F982" s="595" t="n"/>
      <c r="H982" s="594" t="n"/>
      <c r="I982" s="595" t="n"/>
      <c r="K982" s="594" t="n"/>
      <c r="L982" s="595" t="n"/>
      <c r="N982" s="594" t="n"/>
      <c r="O982" s="595" t="n"/>
      <c r="Q982" s="594" t="n"/>
      <c r="R982" s="595" t="n"/>
      <c r="T982" s="594" t="n"/>
      <c r="U982" s="595" t="n"/>
      <c r="W982" s="594" t="n"/>
      <c r="X982" s="595" t="n"/>
      <c r="Z982" s="594" t="n"/>
      <c r="AA982" s="595" t="n"/>
      <c r="AC982" s="594" t="n"/>
      <c r="AD982" s="595" t="n"/>
      <c r="AF982" s="594" t="n"/>
      <c r="AG982" s="595" t="n"/>
      <c r="AI982" s="594" t="n"/>
      <c r="AJ982" s="595" t="n"/>
      <c r="AL982" s="594" t="n"/>
      <c r="AM982" s="595" t="n"/>
      <c r="AO982" s="594" t="n"/>
      <c r="AP982" s="595" t="n"/>
      <c r="AR982" s="594" t="n"/>
      <c r="AS982" s="595" t="n"/>
    </row>
    <row r="983" ht="15.75" customHeight="1" s="26">
      <c r="B983" s="593" t="n"/>
      <c r="E983" s="594" t="n"/>
      <c r="F983" s="595" t="n"/>
      <c r="H983" s="594" t="n"/>
      <c r="I983" s="595" t="n"/>
      <c r="K983" s="594" t="n"/>
      <c r="L983" s="595" t="n"/>
      <c r="N983" s="594" t="n"/>
      <c r="O983" s="595" t="n"/>
      <c r="Q983" s="594" t="n"/>
      <c r="R983" s="595" t="n"/>
      <c r="T983" s="594" t="n"/>
      <c r="U983" s="595" t="n"/>
      <c r="W983" s="594" t="n"/>
      <c r="X983" s="595" t="n"/>
      <c r="Z983" s="594" t="n"/>
      <c r="AA983" s="595" t="n"/>
      <c r="AC983" s="594" t="n"/>
      <c r="AD983" s="595" t="n"/>
      <c r="AF983" s="594" t="n"/>
      <c r="AG983" s="595" t="n"/>
      <c r="AI983" s="594" t="n"/>
      <c r="AJ983" s="595" t="n"/>
      <c r="AL983" s="594" t="n"/>
      <c r="AM983" s="595" t="n"/>
      <c r="AO983" s="594" t="n"/>
      <c r="AP983" s="595" t="n"/>
      <c r="AR983" s="594" t="n"/>
      <c r="AS983" s="595" t="n"/>
    </row>
    <row r="984" ht="15.75" customHeight="1" s="26">
      <c r="B984" s="593" t="n"/>
      <c r="E984" s="594" t="n"/>
      <c r="F984" s="595" t="n"/>
      <c r="H984" s="594" t="n"/>
      <c r="I984" s="595" t="n"/>
      <c r="K984" s="594" t="n"/>
      <c r="L984" s="595" t="n"/>
      <c r="N984" s="594" t="n"/>
      <c r="O984" s="595" t="n"/>
      <c r="Q984" s="594" t="n"/>
      <c r="R984" s="595" t="n"/>
      <c r="T984" s="594" t="n"/>
      <c r="U984" s="595" t="n"/>
      <c r="W984" s="594" t="n"/>
      <c r="X984" s="595" t="n"/>
      <c r="Z984" s="594" t="n"/>
      <c r="AA984" s="595" t="n"/>
      <c r="AC984" s="594" t="n"/>
      <c r="AD984" s="595" t="n"/>
      <c r="AF984" s="594" t="n"/>
      <c r="AG984" s="595" t="n"/>
      <c r="AI984" s="594" t="n"/>
      <c r="AJ984" s="595" t="n"/>
      <c r="AL984" s="594" t="n"/>
      <c r="AM984" s="595" t="n"/>
      <c r="AO984" s="594" t="n"/>
      <c r="AP984" s="595" t="n"/>
      <c r="AR984" s="594" t="n"/>
      <c r="AS984" s="595" t="n"/>
    </row>
    <row r="985" ht="15.75" customHeight="1" s="26">
      <c r="B985" s="593" t="n"/>
      <c r="E985" s="594" t="n"/>
      <c r="F985" s="595" t="n"/>
      <c r="H985" s="594" t="n"/>
      <c r="I985" s="595" t="n"/>
      <c r="K985" s="594" t="n"/>
      <c r="L985" s="595" t="n"/>
      <c r="N985" s="594" t="n"/>
      <c r="O985" s="595" t="n"/>
      <c r="Q985" s="594" t="n"/>
      <c r="R985" s="595" t="n"/>
      <c r="T985" s="594" t="n"/>
      <c r="U985" s="595" t="n"/>
      <c r="W985" s="594" t="n"/>
      <c r="X985" s="595" t="n"/>
      <c r="Z985" s="594" t="n"/>
      <c r="AA985" s="595" t="n"/>
      <c r="AC985" s="594" t="n"/>
      <c r="AD985" s="595" t="n"/>
      <c r="AF985" s="594" t="n"/>
      <c r="AG985" s="595" t="n"/>
      <c r="AI985" s="594" t="n"/>
      <c r="AJ985" s="595" t="n"/>
      <c r="AL985" s="594" t="n"/>
      <c r="AM985" s="595" t="n"/>
      <c r="AO985" s="594" t="n"/>
      <c r="AP985" s="595" t="n"/>
      <c r="AR985" s="594" t="n"/>
      <c r="AS985" s="595" t="n"/>
    </row>
    <row r="986" ht="15.75" customHeight="1" s="26">
      <c r="B986" s="593" t="n"/>
      <c r="E986" s="594" t="n"/>
      <c r="F986" s="595" t="n"/>
      <c r="H986" s="594" t="n"/>
      <c r="I986" s="595" t="n"/>
      <c r="K986" s="594" t="n"/>
      <c r="L986" s="595" t="n"/>
      <c r="N986" s="594" t="n"/>
      <c r="O986" s="595" t="n"/>
      <c r="Q986" s="594" t="n"/>
      <c r="R986" s="595" t="n"/>
      <c r="T986" s="594" t="n"/>
      <c r="U986" s="595" t="n"/>
      <c r="W986" s="594" t="n"/>
      <c r="X986" s="595" t="n"/>
      <c r="Z986" s="594" t="n"/>
      <c r="AA986" s="595" t="n"/>
      <c r="AC986" s="594" t="n"/>
      <c r="AD986" s="595" t="n"/>
      <c r="AF986" s="594" t="n"/>
      <c r="AG986" s="595" t="n"/>
      <c r="AI986" s="594" t="n"/>
      <c r="AJ986" s="595" t="n"/>
      <c r="AL986" s="594" t="n"/>
      <c r="AM986" s="595" t="n"/>
      <c r="AO986" s="594" t="n"/>
      <c r="AP986" s="595" t="n"/>
      <c r="AR986" s="594" t="n"/>
      <c r="AS986" s="595" t="n"/>
    </row>
    <row r="987" ht="15.75" customHeight="1" s="26">
      <c r="B987" s="593" t="n"/>
      <c r="E987" s="594" t="n"/>
      <c r="F987" s="595" t="n"/>
      <c r="H987" s="594" t="n"/>
      <c r="I987" s="595" t="n"/>
      <c r="K987" s="594" t="n"/>
      <c r="L987" s="595" t="n"/>
      <c r="N987" s="594" t="n"/>
      <c r="O987" s="595" t="n"/>
      <c r="Q987" s="594" t="n"/>
      <c r="R987" s="595" t="n"/>
      <c r="T987" s="594" t="n"/>
      <c r="U987" s="595" t="n"/>
      <c r="W987" s="594" t="n"/>
      <c r="X987" s="595" t="n"/>
      <c r="Z987" s="594" t="n"/>
      <c r="AA987" s="595" t="n"/>
      <c r="AC987" s="594" t="n"/>
      <c r="AD987" s="595" t="n"/>
      <c r="AF987" s="594" t="n"/>
      <c r="AG987" s="595" t="n"/>
      <c r="AI987" s="594" t="n"/>
      <c r="AJ987" s="595" t="n"/>
      <c r="AL987" s="594" t="n"/>
      <c r="AM987" s="595" t="n"/>
      <c r="AO987" s="594" t="n"/>
      <c r="AP987" s="595" t="n"/>
      <c r="AR987" s="594" t="n"/>
      <c r="AS987" s="595" t="n"/>
    </row>
    <row r="988" ht="15.75" customHeight="1" s="26">
      <c r="B988" s="593" t="n"/>
      <c r="E988" s="594" t="n"/>
      <c r="F988" s="595" t="n"/>
      <c r="H988" s="594" t="n"/>
      <c r="I988" s="595" t="n"/>
      <c r="K988" s="594" t="n"/>
      <c r="L988" s="595" t="n"/>
      <c r="N988" s="594" t="n"/>
      <c r="O988" s="595" t="n"/>
      <c r="Q988" s="594" t="n"/>
      <c r="R988" s="595" t="n"/>
      <c r="T988" s="594" t="n"/>
      <c r="U988" s="595" t="n"/>
      <c r="W988" s="594" t="n"/>
      <c r="X988" s="595" t="n"/>
      <c r="Z988" s="594" t="n"/>
      <c r="AA988" s="595" t="n"/>
      <c r="AC988" s="594" t="n"/>
      <c r="AD988" s="595" t="n"/>
      <c r="AF988" s="594" t="n"/>
      <c r="AG988" s="595" t="n"/>
      <c r="AI988" s="594" t="n"/>
      <c r="AJ988" s="595" t="n"/>
      <c r="AL988" s="594" t="n"/>
      <c r="AM988" s="595" t="n"/>
      <c r="AO988" s="594" t="n"/>
      <c r="AP988" s="595" t="n"/>
      <c r="AR988" s="594" t="n"/>
      <c r="AS988" s="595" t="n"/>
    </row>
    <row r="989" ht="15.75" customHeight="1" s="26">
      <c r="B989" s="593" t="n"/>
      <c r="E989" s="594" t="n"/>
      <c r="F989" s="595" t="n"/>
      <c r="H989" s="594" t="n"/>
      <c r="I989" s="595" t="n"/>
      <c r="K989" s="594" t="n"/>
      <c r="L989" s="595" t="n"/>
      <c r="N989" s="594" t="n"/>
      <c r="O989" s="595" t="n"/>
      <c r="Q989" s="594" t="n"/>
      <c r="R989" s="595" t="n"/>
      <c r="T989" s="594" t="n"/>
      <c r="U989" s="595" t="n"/>
      <c r="W989" s="594" t="n"/>
      <c r="X989" s="595" t="n"/>
      <c r="Z989" s="594" t="n"/>
      <c r="AA989" s="595" t="n"/>
      <c r="AC989" s="594" t="n"/>
      <c r="AD989" s="595" t="n"/>
      <c r="AF989" s="594" t="n"/>
      <c r="AG989" s="595" t="n"/>
      <c r="AI989" s="594" t="n"/>
      <c r="AJ989" s="595" t="n"/>
      <c r="AL989" s="594" t="n"/>
      <c r="AM989" s="595" t="n"/>
      <c r="AO989" s="594" t="n"/>
      <c r="AP989" s="595" t="n"/>
      <c r="AR989" s="594" t="n"/>
      <c r="AS989" s="595" t="n"/>
    </row>
    <row r="990" ht="15.75" customHeight="1" s="26">
      <c r="B990" s="593" t="n"/>
      <c r="E990" s="594" t="n"/>
      <c r="F990" s="595" t="n"/>
      <c r="H990" s="594" t="n"/>
      <c r="I990" s="595" t="n"/>
      <c r="K990" s="594" t="n"/>
      <c r="L990" s="595" t="n"/>
      <c r="N990" s="594" t="n"/>
      <c r="O990" s="595" t="n"/>
      <c r="Q990" s="594" t="n"/>
      <c r="R990" s="595" t="n"/>
      <c r="T990" s="594" t="n"/>
      <c r="U990" s="595" t="n"/>
      <c r="W990" s="594" t="n"/>
      <c r="X990" s="595" t="n"/>
      <c r="Z990" s="594" t="n"/>
      <c r="AA990" s="595" t="n"/>
      <c r="AC990" s="594" t="n"/>
      <c r="AD990" s="595" t="n"/>
      <c r="AF990" s="594" t="n"/>
      <c r="AG990" s="595" t="n"/>
      <c r="AI990" s="594" t="n"/>
      <c r="AJ990" s="595" t="n"/>
      <c r="AL990" s="594" t="n"/>
      <c r="AM990" s="595" t="n"/>
      <c r="AO990" s="594" t="n"/>
      <c r="AP990" s="595" t="n"/>
      <c r="AR990" s="594" t="n"/>
      <c r="AS990" s="595" t="n"/>
    </row>
    <row r="991" ht="15.75" customHeight="1" s="26">
      <c r="B991" s="593" t="n"/>
      <c r="E991" s="594" t="n"/>
      <c r="F991" s="595" t="n"/>
      <c r="H991" s="594" t="n"/>
      <c r="I991" s="595" t="n"/>
      <c r="K991" s="594" t="n"/>
      <c r="L991" s="595" t="n"/>
      <c r="N991" s="594" t="n"/>
      <c r="O991" s="595" t="n"/>
      <c r="Q991" s="594" t="n"/>
      <c r="R991" s="595" t="n"/>
      <c r="T991" s="594" t="n"/>
      <c r="U991" s="595" t="n"/>
      <c r="W991" s="594" t="n"/>
      <c r="X991" s="595" t="n"/>
      <c r="Z991" s="594" t="n"/>
      <c r="AA991" s="595" t="n"/>
      <c r="AC991" s="594" t="n"/>
      <c r="AD991" s="595" t="n"/>
      <c r="AF991" s="594" t="n"/>
      <c r="AG991" s="595" t="n"/>
      <c r="AI991" s="594" t="n"/>
      <c r="AJ991" s="595" t="n"/>
      <c r="AL991" s="594" t="n"/>
      <c r="AM991" s="595" t="n"/>
      <c r="AO991" s="594" t="n"/>
      <c r="AP991" s="595" t="n"/>
      <c r="AR991" s="594" t="n"/>
      <c r="AS991" s="595" t="n"/>
    </row>
    <row r="992" ht="15.75" customHeight="1" s="26">
      <c r="B992" s="593" t="n"/>
      <c r="E992" s="594" t="n"/>
      <c r="F992" s="595" t="n"/>
      <c r="H992" s="594" t="n"/>
      <c r="I992" s="595" t="n"/>
      <c r="K992" s="594" t="n"/>
      <c r="L992" s="595" t="n"/>
      <c r="N992" s="594" t="n"/>
      <c r="O992" s="595" t="n"/>
      <c r="Q992" s="594" t="n"/>
      <c r="R992" s="595" t="n"/>
      <c r="T992" s="594" t="n"/>
      <c r="U992" s="595" t="n"/>
      <c r="W992" s="594" t="n"/>
      <c r="X992" s="595" t="n"/>
      <c r="Z992" s="594" t="n"/>
      <c r="AA992" s="595" t="n"/>
      <c r="AC992" s="594" t="n"/>
      <c r="AD992" s="595" t="n"/>
      <c r="AF992" s="594" t="n"/>
      <c r="AG992" s="595" t="n"/>
      <c r="AI992" s="594" t="n"/>
      <c r="AJ992" s="595" t="n"/>
      <c r="AL992" s="594" t="n"/>
      <c r="AM992" s="595" t="n"/>
      <c r="AO992" s="594" t="n"/>
      <c r="AP992" s="595" t="n"/>
      <c r="AR992" s="594" t="n"/>
      <c r="AS992" s="595" t="n"/>
    </row>
    <row r="993" ht="15.75" customHeight="1" s="26">
      <c r="B993" s="593" t="n"/>
      <c r="E993" s="594" t="n"/>
      <c r="F993" s="595" t="n"/>
      <c r="H993" s="594" t="n"/>
      <c r="I993" s="595" t="n"/>
      <c r="K993" s="594" t="n"/>
      <c r="L993" s="595" t="n"/>
      <c r="N993" s="594" t="n"/>
      <c r="O993" s="595" t="n"/>
      <c r="Q993" s="594" t="n"/>
      <c r="R993" s="595" t="n"/>
      <c r="T993" s="594" t="n"/>
      <c r="U993" s="595" t="n"/>
      <c r="W993" s="594" t="n"/>
      <c r="X993" s="595" t="n"/>
      <c r="Z993" s="594" t="n"/>
      <c r="AA993" s="595" t="n"/>
      <c r="AC993" s="594" t="n"/>
      <c r="AD993" s="595" t="n"/>
      <c r="AF993" s="594" t="n"/>
      <c r="AG993" s="595" t="n"/>
      <c r="AI993" s="594" t="n"/>
      <c r="AJ993" s="595" t="n"/>
      <c r="AL993" s="594" t="n"/>
      <c r="AM993" s="595" t="n"/>
      <c r="AO993" s="594" t="n"/>
      <c r="AP993" s="595" t="n"/>
      <c r="AR993" s="594" t="n"/>
      <c r="AS993" s="595" t="n"/>
    </row>
    <row r="994" ht="15.75" customHeight="1" s="26">
      <c r="B994" s="593" t="n"/>
      <c r="E994" s="594" t="n"/>
      <c r="F994" s="595" t="n"/>
      <c r="H994" s="594" t="n"/>
      <c r="I994" s="595" t="n"/>
      <c r="K994" s="594" t="n"/>
      <c r="L994" s="595" t="n"/>
      <c r="N994" s="594" t="n"/>
      <c r="O994" s="595" t="n"/>
      <c r="Q994" s="594" t="n"/>
      <c r="R994" s="595" t="n"/>
      <c r="T994" s="594" t="n"/>
      <c r="U994" s="595" t="n"/>
      <c r="W994" s="594" t="n"/>
      <c r="X994" s="595" t="n"/>
      <c r="Z994" s="594" t="n"/>
      <c r="AA994" s="595" t="n"/>
      <c r="AC994" s="594" t="n"/>
      <c r="AD994" s="595" t="n"/>
      <c r="AF994" s="594" t="n"/>
      <c r="AG994" s="595" t="n"/>
      <c r="AI994" s="594" t="n"/>
      <c r="AJ994" s="595" t="n"/>
      <c r="AL994" s="594" t="n"/>
      <c r="AM994" s="595" t="n"/>
      <c r="AO994" s="594" t="n"/>
      <c r="AP994" s="595" t="n"/>
      <c r="AR994" s="594" t="n"/>
      <c r="AS994" s="595" t="n"/>
    </row>
    <row r="995" ht="15.75" customHeight="1" s="26">
      <c r="B995" s="593" t="n"/>
      <c r="E995" s="594" t="n"/>
      <c r="F995" s="595" t="n"/>
      <c r="H995" s="594" t="n"/>
      <c r="I995" s="595" t="n"/>
      <c r="K995" s="594" t="n"/>
      <c r="L995" s="595" t="n"/>
      <c r="N995" s="594" t="n"/>
      <c r="O995" s="595" t="n"/>
      <c r="Q995" s="594" t="n"/>
      <c r="R995" s="595" t="n"/>
      <c r="T995" s="594" t="n"/>
      <c r="U995" s="595" t="n"/>
      <c r="W995" s="594" t="n"/>
      <c r="X995" s="595" t="n"/>
      <c r="Z995" s="594" t="n"/>
      <c r="AA995" s="595" t="n"/>
      <c r="AC995" s="594" t="n"/>
      <c r="AD995" s="595" t="n"/>
      <c r="AF995" s="594" t="n"/>
      <c r="AG995" s="595" t="n"/>
      <c r="AI995" s="594" t="n"/>
      <c r="AJ995" s="595" t="n"/>
      <c r="AL995" s="594" t="n"/>
      <c r="AM995" s="595" t="n"/>
      <c r="AO995" s="594" t="n"/>
      <c r="AP995" s="595" t="n"/>
      <c r="AR995" s="594" t="n"/>
      <c r="AS995" s="595" t="n"/>
    </row>
    <row r="996" ht="15.75" customHeight="1" s="26">
      <c r="B996" s="593" t="n"/>
      <c r="E996" s="594" t="n"/>
      <c r="F996" s="595" t="n"/>
      <c r="H996" s="594" t="n"/>
      <c r="I996" s="595" t="n"/>
      <c r="K996" s="594" t="n"/>
      <c r="L996" s="595" t="n"/>
      <c r="N996" s="594" t="n"/>
      <c r="O996" s="595" t="n"/>
      <c r="Q996" s="594" t="n"/>
      <c r="R996" s="595" t="n"/>
      <c r="T996" s="594" t="n"/>
      <c r="U996" s="595" t="n"/>
      <c r="W996" s="594" t="n"/>
      <c r="X996" s="595" t="n"/>
      <c r="Z996" s="594" t="n"/>
      <c r="AA996" s="595" t="n"/>
      <c r="AC996" s="594" t="n"/>
      <c r="AD996" s="595" t="n"/>
      <c r="AF996" s="594" t="n"/>
      <c r="AG996" s="595" t="n"/>
      <c r="AI996" s="594" t="n"/>
      <c r="AJ996" s="595" t="n"/>
      <c r="AL996" s="594" t="n"/>
      <c r="AM996" s="595" t="n"/>
      <c r="AO996" s="594" t="n"/>
      <c r="AP996" s="595" t="n"/>
      <c r="AR996" s="594" t="n"/>
      <c r="AS996" s="595" t="n"/>
    </row>
    <row r="997" ht="15.75" customHeight="1" s="26">
      <c r="B997" s="593" t="n"/>
      <c r="E997" s="594" t="n"/>
      <c r="F997" s="595" t="n"/>
      <c r="H997" s="594" t="n"/>
      <c r="I997" s="595" t="n"/>
      <c r="K997" s="594" t="n"/>
      <c r="L997" s="595" t="n"/>
      <c r="N997" s="594" t="n"/>
      <c r="O997" s="595" t="n"/>
      <c r="Q997" s="594" t="n"/>
      <c r="R997" s="595" t="n"/>
      <c r="T997" s="594" t="n"/>
      <c r="U997" s="595" t="n"/>
      <c r="W997" s="594" t="n"/>
      <c r="X997" s="595" t="n"/>
      <c r="Z997" s="594" t="n"/>
      <c r="AA997" s="595" t="n"/>
      <c r="AC997" s="594" t="n"/>
      <c r="AD997" s="595" t="n"/>
      <c r="AF997" s="594" t="n"/>
      <c r="AG997" s="595" t="n"/>
      <c r="AI997" s="594" t="n"/>
      <c r="AJ997" s="595" t="n"/>
      <c r="AL997" s="594" t="n"/>
      <c r="AM997" s="595" t="n"/>
      <c r="AO997" s="594" t="n"/>
      <c r="AP997" s="595" t="n"/>
      <c r="AR997" s="594" t="n"/>
      <c r="AS997" s="595" t="n"/>
    </row>
    <row r="998" ht="15.75" customHeight="1" s="26">
      <c r="B998" s="593" t="n"/>
      <c r="E998" s="594" t="n"/>
      <c r="F998" s="595" t="n"/>
      <c r="H998" s="594" t="n"/>
      <c r="I998" s="595" t="n"/>
      <c r="K998" s="594" t="n"/>
      <c r="L998" s="595" t="n"/>
      <c r="N998" s="594" t="n"/>
      <c r="O998" s="595" t="n"/>
      <c r="Q998" s="594" t="n"/>
      <c r="R998" s="595" t="n"/>
      <c r="T998" s="594" t="n"/>
      <c r="U998" s="595" t="n"/>
      <c r="W998" s="594" t="n"/>
      <c r="X998" s="595" t="n"/>
      <c r="Z998" s="594" t="n"/>
      <c r="AA998" s="595" t="n"/>
      <c r="AC998" s="594" t="n"/>
      <c r="AD998" s="595" t="n"/>
      <c r="AF998" s="594" t="n"/>
      <c r="AG998" s="595" t="n"/>
      <c r="AI998" s="594" t="n"/>
      <c r="AJ998" s="595" t="n"/>
      <c r="AL998" s="594" t="n"/>
      <c r="AM998" s="595" t="n"/>
      <c r="AO998" s="594" t="n"/>
      <c r="AP998" s="595" t="n"/>
      <c r="AR998" s="594" t="n"/>
      <c r="AS998" s="595" t="n"/>
    </row>
    <row r="999" ht="15.75" customHeight="1" s="26">
      <c r="B999" s="593" t="n"/>
      <c r="E999" s="594" t="n"/>
      <c r="F999" s="595" t="n"/>
      <c r="H999" s="594" t="n"/>
      <c r="I999" s="595" t="n"/>
      <c r="K999" s="594" t="n"/>
      <c r="L999" s="595" t="n"/>
      <c r="N999" s="594" t="n"/>
      <c r="O999" s="595" t="n"/>
      <c r="Q999" s="594" t="n"/>
      <c r="R999" s="595" t="n"/>
      <c r="T999" s="594" t="n"/>
      <c r="U999" s="595" t="n"/>
      <c r="W999" s="594" t="n"/>
      <c r="X999" s="595" t="n"/>
      <c r="Z999" s="594" t="n"/>
      <c r="AA999" s="595" t="n"/>
      <c r="AC999" s="594" t="n"/>
      <c r="AD999" s="595" t="n"/>
      <c r="AF999" s="594" t="n"/>
      <c r="AG999" s="595" t="n"/>
      <c r="AI999" s="594" t="n"/>
      <c r="AJ999" s="595" t="n"/>
      <c r="AL999" s="594" t="n"/>
      <c r="AM999" s="595" t="n"/>
      <c r="AO999" s="594" t="n"/>
      <c r="AP999" s="595" t="n"/>
      <c r="AR999" s="594" t="n"/>
      <c r="AS999" s="595" t="n"/>
    </row>
    <row r="1000" ht="15.75" customHeight="1" s="26">
      <c r="B1000" s="593" t="n"/>
      <c r="E1000" s="594" t="n"/>
      <c r="F1000" s="595" t="n"/>
      <c r="H1000" s="594" t="n"/>
      <c r="I1000" s="595" t="n"/>
      <c r="K1000" s="594" t="n"/>
      <c r="L1000" s="595" t="n"/>
      <c r="N1000" s="594" t="n"/>
      <c r="O1000" s="595" t="n"/>
      <c r="Q1000" s="594" t="n"/>
      <c r="R1000" s="595" t="n"/>
      <c r="T1000" s="594" t="n"/>
      <c r="U1000" s="595" t="n"/>
      <c r="W1000" s="594" t="n"/>
      <c r="X1000" s="595" t="n"/>
      <c r="Z1000" s="594" t="n"/>
      <c r="AA1000" s="595" t="n"/>
      <c r="AC1000" s="594" t="n"/>
      <c r="AD1000" s="595" t="n"/>
      <c r="AF1000" s="594" t="n"/>
      <c r="AG1000" s="595" t="n"/>
      <c r="AI1000" s="594" t="n"/>
      <c r="AJ1000" s="595" t="n"/>
      <c r="AL1000" s="594" t="n"/>
      <c r="AM1000" s="595" t="n"/>
      <c r="AO1000" s="594" t="n"/>
      <c r="AP1000" s="595" t="n"/>
      <c r="AR1000" s="594" t="n"/>
      <c r="AS1000" s="595" t="n"/>
    </row>
  </sheetData>
  <mergeCells count="1132">
    <mergeCell ref="AC48:AD48"/>
    <mergeCell ref="V10:X10"/>
    <mergeCell ref="S14:U14"/>
    <mergeCell ref="N76:O76"/>
    <mergeCell ref="AH63:AJ63"/>
    <mergeCell ref="K33:L33"/>
    <mergeCell ref="AQ61:AS61"/>
    <mergeCell ref="S78:U78"/>
    <mergeCell ref="V39:X39"/>
    <mergeCell ref="D53:F53"/>
    <mergeCell ref="AC62:AD62"/>
    <mergeCell ref="B37:B76"/>
    <mergeCell ref="D47:F47"/>
    <mergeCell ref="AR52:AS52"/>
    <mergeCell ref="E79:F79"/>
    <mergeCell ref="Z66:AA66"/>
    <mergeCell ref="H9:I9"/>
    <mergeCell ref="K35:L35"/>
    <mergeCell ref="AO13:AP13"/>
    <mergeCell ref="P75:R75"/>
    <mergeCell ref="S80:U80"/>
    <mergeCell ref="K81:L81"/>
    <mergeCell ref="AB67:AD67"/>
    <mergeCell ref="J75:L75"/>
    <mergeCell ref="P37:R37"/>
    <mergeCell ref="AO15:AP15"/>
    <mergeCell ref="T62:U62"/>
    <mergeCell ref="K99:L99"/>
    <mergeCell ref="W50:X50"/>
    <mergeCell ref="AK65:AM65"/>
    <mergeCell ref="P12:R12"/>
    <mergeCell ref="AH69:AJ69"/>
    <mergeCell ref="AE24:AG24"/>
    <mergeCell ref="G16:I16"/>
    <mergeCell ref="T64:U64"/>
    <mergeCell ref="AL72:AM72"/>
    <mergeCell ref="AF15:AG15"/>
    <mergeCell ref="N29:O29"/>
    <mergeCell ref="AI76:AJ76"/>
    <mergeCell ref="P14:R14"/>
    <mergeCell ref="AH22:AJ22"/>
    <mergeCell ref="AE26:AG26"/>
    <mergeCell ref="J39:L39"/>
    <mergeCell ref="AN84:AP84"/>
    <mergeCell ref="Q27:R27"/>
    <mergeCell ref="AF79:AG79"/>
    <mergeCell ref="AN78:AP78"/>
    <mergeCell ref="N31:O31"/>
    <mergeCell ref="AK82:AM82"/>
    <mergeCell ref="AC9:AD9"/>
    <mergeCell ref="AR21:AS21"/>
    <mergeCell ref="AO25:AP25"/>
    <mergeCell ref="H62:I62"/>
    <mergeCell ref="AN80:AP80"/>
    <mergeCell ref="AF81:AG81"/>
    <mergeCell ref="AC11:AD11"/>
    <mergeCell ref="AQ51:AS51"/>
    <mergeCell ref="AR50:AS50"/>
    <mergeCell ref="AK12:AM12"/>
    <mergeCell ref="P65:R65"/>
    <mergeCell ref="D41:F41"/>
    <mergeCell ref="AI29:AJ29"/>
    <mergeCell ref="T33:U33"/>
    <mergeCell ref="J65:L65"/>
    <mergeCell ref="AK14:AM14"/>
    <mergeCell ref="S28:U28"/>
    <mergeCell ref="G69:I69"/>
    <mergeCell ref="AE39:AG39"/>
    <mergeCell ref="AR27:AS27"/>
    <mergeCell ref="AB43:AD43"/>
    <mergeCell ref="E48:F48"/>
    <mergeCell ref="M6:O6"/>
    <mergeCell ref="AL27:AM27"/>
    <mergeCell ref="D43:F43"/>
    <mergeCell ref="T35:U35"/>
    <mergeCell ref="J63:L63"/>
    <mergeCell ref="AQ67:AS67"/>
    <mergeCell ref="S84:U84"/>
    <mergeCell ref="J1:L2"/>
    <mergeCell ref="Y37:AA37"/>
    <mergeCell ref="AL25:AM25"/>
    <mergeCell ref="Q38:R38"/>
    <mergeCell ref="AE53:AG53"/>
    <mergeCell ref="N42:O42"/>
    <mergeCell ref="AB57:AD57"/>
    <mergeCell ref="G4:I4"/>
    <mergeCell ref="Y12:AA12"/>
    <mergeCell ref="M26:O26"/>
    <mergeCell ref="AN8:AP8"/>
    <mergeCell ref="Y61:AA61"/>
    <mergeCell ref="AQ69:AS69"/>
    <mergeCell ref="G51:I51"/>
    <mergeCell ref="N52:O52"/>
    <mergeCell ref="D55:F55"/>
    <mergeCell ref="H17:I17"/>
    <mergeCell ref="K56:L56"/>
    <mergeCell ref="AC64:AD64"/>
    <mergeCell ref="H11:I11"/>
    <mergeCell ref="Q40:R40"/>
    <mergeCell ref="W7:X7"/>
    <mergeCell ref="D67:F67"/>
    <mergeCell ref="AQ6:AS6"/>
    <mergeCell ref="N44:O44"/>
    <mergeCell ref="Z68:AA68"/>
    <mergeCell ref="AN10:AP10"/>
    <mergeCell ref="Q15:R15"/>
    <mergeCell ref="Y41:AA41"/>
    <mergeCell ref="AN28:AP28"/>
    <mergeCell ref="H19:I19"/>
    <mergeCell ref="P45:R45"/>
    <mergeCell ref="AO79:AP79"/>
    <mergeCell ref="AO54:AP54"/>
    <mergeCell ref="D69:F69"/>
    <mergeCell ref="V55:X55"/>
    <mergeCell ref="W58:X58"/>
    <mergeCell ref="P20:R20"/>
    <mergeCell ref="Y43:AA43"/>
    <mergeCell ref="AE63:AG63"/>
    <mergeCell ref="AN30:AP30"/>
    <mergeCell ref="J14:L14"/>
    <mergeCell ref="AR17:AS17"/>
    <mergeCell ref="AR11:AS11"/>
    <mergeCell ref="AF31:AG31"/>
    <mergeCell ref="E76:F76"/>
    <mergeCell ref="AE1:AG2"/>
    <mergeCell ref="H48:I48"/>
    <mergeCell ref="AO56:AP56"/>
    <mergeCell ref="P84:R84"/>
    <mergeCell ref="W60:X60"/>
    <mergeCell ref="P22:R22"/>
    <mergeCell ref="AL38:AM38"/>
    <mergeCell ref="AI42:AJ42"/>
    <mergeCell ref="AE71:AG71"/>
    <mergeCell ref="AB4:AD4"/>
    <mergeCell ref="AB75:AD75"/>
    <mergeCell ref="J78:L78"/>
    <mergeCell ref="AQ16:AS16"/>
    <mergeCell ref="G82:I82"/>
    <mergeCell ref="J53:L53"/>
    <mergeCell ref="AR42:AS42"/>
    <mergeCell ref="AC17:AD17"/>
    <mergeCell ref="AF56:AG56"/>
    <mergeCell ref="N70:O70"/>
    <mergeCell ref="K25:L25"/>
    <mergeCell ref="AL40:AM40"/>
    <mergeCell ref="P80:R80"/>
    <mergeCell ref="AI44:AJ44"/>
    <mergeCell ref="Y67:AA67"/>
    <mergeCell ref="AO60:AP60"/>
    <mergeCell ref="AL15:AM15"/>
    <mergeCell ref="T29:U29"/>
    <mergeCell ref="AQ18:AS18"/>
    <mergeCell ref="W68:X68"/>
    <mergeCell ref="Y59:AA59"/>
    <mergeCell ref="J55:L55"/>
    <mergeCell ref="K54:L54"/>
    <mergeCell ref="D16:F16"/>
    <mergeCell ref="AR58:AS58"/>
    <mergeCell ref="AK20:AM20"/>
    <mergeCell ref="S34:U34"/>
    <mergeCell ref="AQ82:AS82"/>
    <mergeCell ref="AI83:AJ83"/>
    <mergeCell ref="K29:L29"/>
    <mergeCell ref="T58:U58"/>
    <mergeCell ref="AC83:AD83"/>
    <mergeCell ref="E29:F29"/>
    <mergeCell ref="V45:X45"/>
    <mergeCell ref="T54:U54"/>
    <mergeCell ref="V32:X32"/>
    <mergeCell ref="D18:F18"/>
    <mergeCell ref="AK84:AM84"/>
    <mergeCell ref="AK22:AM22"/>
    <mergeCell ref="V26:X26"/>
    <mergeCell ref="AB1:AD2"/>
    <mergeCell ref="S30:U30"/>
    <mergeCell ref="K31:L31"/>
    <mergeCell ref="AI85:AJ85"/>
    <mergeCell ref="K44:L44"/>
    <mergeCell ref="Q72:R72"/>
    <mergeCell ref="AR66:AS66"/>
    <mergeCell ref="E31:F31"/>
    <mergeCell ref="T83:U83"/>
    <mergeCell ref="D51:F51"/>
    <mergeCell ref="D82:F82"/>
    <mergeCell ref="J71:L71"/>
    <mergeCell ref="M32:O32"/>
    <mergeCell ref="AH41:AJ41"/>
    <mergeCell ref="AO42:AP42"/>
    <mergeCell ref="Z17:AA17"/>
    <mergeCell ref="AK80:AM80"/>
    <mergeCell ref="W21:X21"/>
    <mergeCell ref="AO29:AP29"/>
    <mergeCell ref="AR68:AS68"/>
    <mergeCell ref="AL33:AM33"/>
    <mergeCell ref="T85:U85"/>
    <mergeCell ref="J8:L8"/>
    <mergeCell ref="Q46:R46"/>
    <mergeCell ref="AE55:AG55"/>
    <mergeCell ref="G12:I12"/>
    <mergeCell ref="AB65:AD65"/>
    <mergeCell ref="J73:L73"/>
    <mergeCell ref="T60:U60"/>
    <mergeCell ref="K97:L97"/>
    <mergeCell ref="AO44:AP44"/>
    <mergeCell ref="N60:O60"/>
    <mergeCell ref="AN34:AP34"/>
    <mergeCell ref="A4:B4"/>
    <mergeCell ref="AO31:AP31"/>
    <mergeCell ref="AL35:AM35"/>
    <mergeCell ref="Q48:R48"/>
    <mergeCell ref="J10:L10"/>
    <mergeCell ref="AE59:AG59"/>
    <mergeCell ref="E72:F72"/>
    <mergeCell ref="AN49:AP49"/>
    <mergeCell ref="AK4:AM4"/>
    <mergeCell ref="AQ37:AS37"/>
    <mergeCell ref="D6:F6"/>
    <mergeCell ref="G1:I2"/>
    <mergeCell ref="P59:R59"/>
    <mergeCell ref="Y51:AA51"/>
    <mergeCell ref="Q56:R56"/>
    <mergeCell ref="AH67:AJ67"/>
    <mergeCell ref="AC7:AD7"/>
    <mergeCell ref="AR46:AS46"/>
    <mergeCell ref="E42:F42"/>
    <mergeCell ref="AL46:AM46"/>
    <mergeCell ref="AE8:AG8"/>
    <mergeCell ref="P61:R61"/>
    <mergeCell ref="AB12:AD12"/>
    <mergeCell ref="M16:O16"/>
    <mergeCell ref="E17:F17"/>
    <mergeCell ref="S49:U49"/>
    <mergeCell ref="AE73:AG73"/>
    <mergeCell ref="W74:X74"/>
    <mergeCell ref="AR48:AS48"/>
    <mergeCell ref="AR23:AS23"/>
    <mergeCell ref="AK10:AM10"/>
    <mergeCell ref="AE10:AG10"/>
    <mergeCell ref="H64:I64"/>
    <mergeCell ref="M18:O18"/>
    <mergeCell ref="E19:F19"/>
    <mergeCell ref="M45:O45"/>
    <mergeCell ref="Z72:AA72"/>
    <mergeCell ref="AQ63:AS63"/>
    <mergeCell ref="W76:X76"/>
    <mergeCell ref="AB78:AD78"/>
    <mergeCell ref="D24:F24"/>
    <mergeCell ref="T79:U79"/>
    <mergeCell ref="M47:O47"/>
    <mergeCell ref="AL56:AM56"/>
    <mergeCell ref="AF21:AG21"/>
    <mergeCell ref="AC85:AD85"/>
    <mergeCell ref="V47:X47"/>
    <mergeCell ref="Y75:AA75"/>
    <mergeCell ref="D26:F26"/>
    <mergeCell ref="AE51:AG51"/>
    <mergeCell ref="K70:L70"/>
    <mergeCell ref="AF23:AG23"/>
    <mergeCell ref="AR74:AS74"/>
    <mergeCell ref="AF50:AG50"/>
    <mergeCell ref="AQ20:AS20"/>
    <mergeCell ref="AB73:AD73"/>
    <mergeCell ref="AN24:AP24"/>
    <mergeCell ref="P41:R41"/>
    <mergeCell ref="AO50:AP50"/>
    <mergeCell ref="D65:F65"/>
    <mergeCell ref="AH18:AJ18"/>
    <mergeCell ref="Z19:AA19"/>
    <mergeCell ref="W29:X29"/>
    <mergeCell ref="H33:I33"/>
    <mergeCell ref="W23:X23"/>
    <mergeCell ref="AR38:AS38"/>
    <mergeCell ref="AF52:AG52"/>
    <mergeCell ref="AR76:AS76"/>
    <mergeCell ref="AQ22:AS22"/>
    <mergeCell ref="P34:R34"/>
    <mergeCell ref="S39:U39"/>
    <mergeCell ref="AN26:AP26"/>
    <mergeCell ref="AF27:AG27"/>
    <mergeCell ref="AO52:AP52"/>
    <mergeCell ref="AH82:AJ82"/>
    <mergeCell ref="V63:X63"/>
    <mergeCell ref="H35:I35"/>
    <mergeCell ref="P49:R49"/>
    <mergeCell ref="AE67:AG67"/>
    <mergeCell ref="S37:U37"/>
    <mergeCell ref="Q62:R62"/>
    <mergeCell ref="AC13:AD13"/>
    <mergeCell ref="Y26:AA26"/>
    <mergeCell ref="AO81:AP81"/>
    <mergeCell ref="Z85:AA85"/>
    <mergeCell ref="N66:O66"/>
    <mergeCell ref="M12:O12"/>
    <mergeCell ref="Q64:R64"/>
    <mergeCell ref="D37:F37"/>
    <mergeCell ref="AC15:AD15"/>
    <mergeCell ref="AK41:AM41"/>
    <mergeCell ref="N46:O46"/>
    <mergeCell ref="N68:O68"/>
    <mergeCell ref="K50:L50"/>
    <mergeCell ref="Y65:AA65"/>
    <mergeCell ref="D12:F12"/>
    <mergeCell ref="AC33:AD33"/>
    <mergeCell ref="G73:I73"/>
    <mergeCell ref="M41:O41"/>
    <mergeCell ref="AB53:AD53"/>
    <mergeCell ref="M24:O24"/>
    <mergeCell ref="AN39:AP39"/>
    <mergeCell ref="V53:X53"/>
    <mergeCell ref="AC79:AD79"/>
    <mergeCell ref="AI35:AJ35"/>
    <mergeCell ref="N48:O48"/>
    <mergeCell ref="K58:L58"/>
    <mergeCell ref="K52:L52"/>
    <mergeCell ref="D14:F14"/>
    <mergeCell ref="AC35:AD35"/>
    <mergeCell ref="V22:X22"/>
    <mergeCell ref="AK49:AM49"/>
    <mergeCell ref="S63:U63"/>
    <mergeCell ref="H72:I72"/>
    <mergeCell ref="AN37:AP37"/>
    <mergeCell ref="AH75:AJ75"/>
    <mergeCell ref="E27:F27"/>
    <mergeCell ref="M53:O53"/>
    <mergeCell ref="AL62:AM62"/>
    <mergeCell ref="Z38:AA38"/>
    <mergeCell ref="Q9:R9"/>
    <mergeCell ref="AI66:AJ66"/>
    <mergeCell ref="W42:X42"/>
    <mergeCell ref="V61:X61"/>
    <mergeCell ref="P4:R4"/>
    <mergeCell ref="T70:U70"/>
    <mergeCell ref="AH12:AJ12"/>
    <mergeCell ref="Z13:AA13"/>
    <mergeCell ref="AE16:AG16"/>
    <mergeCell ref="AR64:AS64"/>
    <mergeCell ref="AF40:AG40"/>
    <mergeCell ref="AB80:AD80"/>
    <mergeCell ref="T81:U81"/>
    <mergeCell ref="Q17:R17"/>
    <mergeCell ref="T7:U7"/>
    <mergeCell ref="E85:F85"/>
    <mergeCell ref="Q11:R11"/>
    <mergeCell ref="D80:F80"/>
    <mergeCell ref="M55:O55"/>
    <mergeCell ref="T56:U56"/>
    <mergeCell ref="AL64:AM64"/>
    <mergeCell ref="M67:O67"/>
    <mergeCell ref="AI68:AJ68"/>
    <mergeCell ref="AH14:AJ14"/>
    <mergeCell ref="Z15:AA15"/>
    <mergeCell ref="AE18:AG18"/>
    <mergeCell ref="H23:I23"/>
    <mergeCell ref="K13:L13"/>
    <mergeCell ref="M69:O69"/>
    <mergeCell ref="AI48:AJ48"/>
    <mergeCell ref="Y20:AA20"/>
    <mergeCell ref="J24:L24"/>
    <mergeCell ref="Y14:AA14"/>
    <mergeCell ref="G28:I28"/>
    <mergeCell ref="AN32:AP32"/>
    <mergeCell ref="AH43:AJ43"/>
    <mergeCell ref="AN63:AP63"/>
    <mergeCell ref="H54:I54"/>
    <mergeCell ref="K15:L15"/>
    <mergeCell ref="Z27:AA27"/>
    <mergeCell ref="AQ43:AS43"/>
    <mergeCell ref="A37:A76"/>
    <mergeCell ref="A6:B35"/>
    <mergeCell ref="AN47:AP47"/>
    <mergeCell ref="Y22:AA22"/>
    <mergeCell ref="J26:L26"/>
    <mergeCell ref="Q52:R52"/>
    <mergeCell ref="G30:I30"/>
    <mergeCell ref="P67:R67"/>
    <mergeCell ref="Y78:AA78"/>
    <mergeCell ref="AF66:AG66"/>
    <mergeCell ref="H56:I56"/>
    <mergeCell ref="P82:R82"/>
    <mergeCell ref="H83:I83"/>
    <mergeCell ref="K79:L79"/>
    <mergeCell ref="M37:O37"/>
    <mergeCell ref="Z25:AA25"/>
    <mergeCell ref="E38:F38"/>
    <mergeCell ref="S53:U53"/>
    <mergeCell ref="P57:R57"/>
    <mergeCell ref="T25:U25"/>
    <mergeCell ref="AQ28:AS28"/>
    <mergeCell ref="V41:X41"/>
    <mergeCell ref="Y80:AA80"/>
    <mergeCell ref="AF68:AG68"/>
    <mergeCell ref="AR19:AS19"/>
    <mergeCell ref="AC23:AD23"/>
    <mergeCell ref="H85:I85"/>
    <mergeCell ref="E40:F40"/>
    <mergeCell ref="S55:U55"/>
    <mergeCell ref="AE6:AG6"/>
    <mergeCell ref="AE37:AG37"/>
    <mergeCell ref="M14:O14"/>
    <mergeCell ref="AQ59:AS59"/>
    <mergeCell ref="AB34:AD34"/>
    <mergeCell ref="AB28:AD28"/>
    <mergeCell ref="G41:I41"/>
    <mergeCell ref="AR83:AS83"/>
    <mergeCell ref="AO38:AP38"/>
    <mergeCell ref="AC54:AD54"/>
    <mergeCell ref="AK32:AM32"/>
    <mergeCell ref="T72:U72"/>
    <mergeCell ref="AF42:AG42"/>
    <mergeCell ref="M43:O43"/>
    <mergeCell ref="Y4:AA4"/>
    <mergeCell ref="AL52:AM52"/>
    <mergeCell ref="W27:X27"/>
    <mergeCell ref="T66:U66"/>
    <mergeCell ref="AB30:AD30"/>
    <mergeCell ref="G43:I43"/>
    <mergeCell ref="T31:U31"/>
    <mergeCell ref="AC56:AD56"/>
    <mergeCell ref="AN53:AP53"/>
    <mergeCell ref="V67:X67"/>
    <mergeCell ref="AK57:AM57"/>
    <mergeCell ref="J37:L37"/>
    <mergeCell ref="S71:U71"/>
    <mergeCell ref="AQ41:AS41"/>
    <mergeCell ref="K66:L66"/>
    <mergeCell ref="AN45:AP45"/>
    <mergeCell ref="E66:F66"/>
    <mergeCell ref="Z46:AA46"/>
    <mergeCell ref="S8:U8"/>
    <mergeCell ref="Z40:AA40"/>
    <mergeCell ref="AN55:AP55"/>
    <mergeCell ref="V69:X69"/>
    <mergeCell ref="W44:X44"/>
    <mergeCell ref="AH20:AJ20"/>
    <mergeCell ref="S73:U73"/>
    <mergeCell ref="K74:L74"/>
    <mergeCell ref="K68:L68"/>
    <mergeCell ref="AF48:AG48"/>
    <mergeCell ref="Y10:AA10"/>
    <mergeCell ref="T15:U15"/>
    <mergeCell ref="E68:F68"/>
    <mergeCell ref="AH78:AJ78"/>
    <mergeCell ref="G34:I34"/>
    <mergeCell ref="Z54:AA54"/>
    <mergeCell ref="H31:I31"/>
    <mergeCell ref="H58:I58"/>
    <mergeCell ref="AO66:AP66"/>
    <mergeCell ref="Q83:R83"/>
    <mergeCell ref="AL70:AM70"/>
    <mergeCell ref="AK16:AM16"/>
    <mergeCell ref="J32:L32"/>
    <mergeCell ref="Y84:AA84"/>
    <mergeCell ref="P1:R2"/>
    <mergeCell ref="Z81:AA81"/>
    <mergeCell ref="AH51:AJ51"/>
    <mergeCell ref="AL7:AM7"/>
    <mergeCell ref="H60:I60"/>
    <mergeCell ref="AO68:AP68"/>
    <mergeCell ref="AI11:AJ11"/>
    <mergeCell ref="AH30:AJ30"/>
    <mergeCell ref="Q85:R85"/>
    <mergeCell ref="AN71:AP71"/>
    <mergeCell ref="J47:L47"/>
    <mergeCell ref="J96:L96"/>
    <mergeCell ref="V16:X16"/>
    <mergeCell ref="N17:O17"/>
    <mergeCell ref="AC42:AD42"/>
    <mergeCell ref="AN73:AP73"/>
    <mergeCell ref="AF74:AG74"/>
    <mergeCell ref="AC29:AD29"/>
    <mergeCell ref="E46:F46"/>
    <mergeCell ref="AB18:AD18"/>
    <mergeCell ref="V43:X43"/>
    <mergeCell ref="V18:X18"/>
    <mergeCell ref="N19:O19"/>
    <mergeCell ref="D59:F59"/>
    <mergeCell ref="AC44:AD44"/>
    <mergeCell ref="K23:L23"/>
    <mergeCell ref="AI72:AJ72"/>
    <mergeCell ref="AC31:AD31"/>
    <mergeCell ref="AF76:AG76"/>
    <mergeCell ref="D34:F34"/>
    <mergeCell ref="AL83:AM83"/>
    <mergeCell ref="M59:O59"/>
    <mergeCell ref="V82:X82"/>
    <mergeCell ref="E54:F54"/>
    <mergeCell ref="AE32:AG32"/>
    <mergeCell ref="AK1:AM2"/>
    <mergeCell ref="AL58:AM58"/>
    <mergeCell ref="H42:I42"/>
    <mergeCell ref="AR85:AS85"/>
    <mergeCell ref="AO21:AP21"/>
    <mergeCell ref="AK47:AM47"/>
    <mergeCell ref="AL85:AM85"/>
    <mergeCell ref="AK71:AM71"/>
    <mergeCell ref="AE47:AG47"/>
    <mergeCell ref="M51:O51"/>
    <mergeCell ref="E56:F56"/>
    <mergeCell ref="M82:O82"/>
    <mergeCell ref="AL60:AM60"/>
    <mergeCell ref="AI17:AJ17"/>
    <mergeCell ref="Q25:R25"/>
    <mergeCell ref="G57:I57"/>
    <mergeCell ref="AK73:AM73"/>
    <mergeCell ref="D61:F61"/>
    <mergeCell ref="J45:L45"/>
    <mergeCell ref="W33:X33"/>
    <mergeCell ref="G49:I49"/>
    <mergeCell ref="M65:O65"/>
    <mergeCell ref="AI19:AJ19"/>
    <mergeCell ref="J20:L20"/>
    <mergeCell ref="Q33:R33"/>
    <mergeCell ref="AH39:AJ39"/>
    <mergeCell ref="V6:X6"/>
    <mergeCell ref="AN59:AP59"/>
    <mergeCell ref="Y34:AA34"/>
    <mergeCell ref="AB39:AD39"/>
    <mergeCell ref="S10:U10"/>
    <mergeCell ref="N72:O72"/>
    <mergeCell ref="W35:X35"/>
    <mergeCell ref="AH59:AJ59"/>
    <mergeCell ref="J22:L22"/>
    <mergeCell ref="Y49:AA49"/>
    <mergeCell ref="AN61:AP61"/>
    <mergeCell ref="V75:X75"/>
    <mergeCell ref="B1:B2"/>
    <mergeCell ref="P78:R78"/>
    <mergeCell ref="AH61:AJ61"/>
    <mergeCell ref="Z62:AA62"/>
    <mergeCell ref="E9:F9"/>
    <mergeCell ref="AL13:AM13"/>
    <mergeCell ref="Z56:AA56"/>
    <mergeCell ref="W66:X66"/>
    <mergeCell ref="T21:U21"/>
    <mergeCell ref="H70:I70"/>
    <mergeCell ref="J51:L51"/>
    <mergeCell ref="AR40:AS40"/>
    <mergeCell ref="AO74:AP74"/>
    <mergeCell ref="P71:R71"/>
    <mergeCell ref="AF64:AG64"/>
    <mergeCell ref="H7:I7"/>
    <mergeCell ref="Z64:AA64"/>
    <mergeCell ref="E11:F11"/>
    <mergeCell ref="S51:U51"/>
    <mergeCell ref="G75:I75"/>
    <mergeCell ref="AE45:AG45"/>
    <mergeCell ref="AR33:AS33"/>
    <mergeCell ref="T23:U23"/>
    <mergeCell ref="AB49:AD49"/>
    <mergeCell ref="W46:X46"/>
    <mergeCell ref="AH65:AJ65"/>
    <mergeCell ref="AE20:AG20"/>
    <mergeCell ref="M34:O34"/>
    <mergeCell ref="P73:R73"/>
    <mergeCell ref="AK53:AM53"/>
    <mergeCell ref="AO9:AP9"/>
    <mergeCell ref="AR35:AS35"/>
    <mergeCell ref="M49:O49"/>
    <mergeCell ref="P10:R10"/>
    <mergeCell ref="W48:X48"/>
    <mergeCell ref="T52:U52"/>
    <mergeCell ref="AE22:AG22"/>
    <mergeCell ref="AB32:AD32"/>
    <mergeCell ref="AB63:AD63"/>
    <mergeCell ref="AB26:AD26"/>
    <mergeCell ref="G39:I39"/>
    <mergeCell ref="H76:I76"/>
    <mergeCell ref="AQ75:AS75"/>
    <mergeCell ref="AC52:AD52"/>
    <mergeCell ref="N27:O27"/>
    <mergeCell ref="N83:O83"/>
    <mergeCell ref="AK78:AM78"/>
    <mergeCell ref="Z9:AA9"/>
    <mergeCell ref="D49:F49"/>
    <mergeCell ref="AC70:AD70"/>
    <mergeCell ref="A1:A2"/>
    <mergeCell ref="M78:O78"/>
    <mergeCell ref="AQ12:AS12"/>
    <mergeCell ref="AI13:AJ13"/>
    <mergeCell ref="AN16:AP16"/>
    <mergeCell ref="Q21:R21"/>
    <mergeCell ref="AL74:AM74"/>
    <mergeCell ref="E62:F62"/>
    <mergeCell ref="AF33:AG33"/>
    <mergeCell ref="AC81:AD81"/>
    <mergeCell ref="N85:O85"/>
    <mergeCell ref="Z11:AA11"/>
    <mergeCell ref="AN51:AP51"/>
    <mergeCell ref="AO23:AP23"/>
    <mergeCell ref="AQ39:AS39"/>
    <mergeCell ref="D75:F75"/>
    <mergeCell ref="AH34:AJ34"/>
    <mergeCell ref="E64:F64"/>
    <mergeCell ref="T42:U42"/>
    <mergeCell ref="S6:U6"/>
    <mergeCell ref="AH49:AJ49"/>
    <mergeCell ref="S24:U24"/>
    <mergeCell ref="Z50:AA50"/>
    <mergeCell ref="G65:I65"/>
    <mergeCell ref="P28:R28"/>
    <mergeCell ref="T50:U50"/>
    <mergeCell ref="AC76:AD76"/>
    <mergeCell ref="T44:U44"/>
    <mergeCell ref="D39:F39"/>
    <mergeCell ref="AI27:AJ27"/>
    <mergeCell ref="Q35:R35"/>
    <mergeCell ref="Z52:AA52"/>
    <mergeCell ref="G63:I63"/>
    <mergeCell ref="P30:R30"/>
    <mergeCell ref="AN67:AP67"/>
    <mergeCell ref="AB37:AD37"/>
    <mergeCell ref="AL21:AM21"/>
    <mergeCell ref="V37:X37"/>
    <mergeCell ref="AI25:AJ25"/>
    <mergeCell ref="N38:O38"/>
    <mergeCell ref="K42:L42"/>
    <mergeCell ref="Y8:AA8"/>
    <mergeCell ref="AC50:AD50"/>
    <mergeCell ref="AC25:AD25"/>
    <mergeCell ref="V12:X12"/>
    <mergeCell ref="AH80:AJ80"/>
    <mergeCell ref="J61:L61"/>
    <mergeCell ref="AQ65:AS65"/>
    <mergeCell ref="AN69:AP69"/>
    <mergeCell ref="Q74:R74"/>
    <mergeCell ref="H13:I13"/>
    <mergeCell ref="AC60:AD60"/>
    <mergeCell ref="AL23:AM23"/>
    <mergeCell ref="N40:O40"/>
    <mergeCell ref="AB55:AD55"/>
    <mergeCell ref="AN6:AP6"/>
    <mergeCell ref="V14:X14"/>
    <mergeCell ref="N15:O15"/>
    <mergeCell ref="Q76:R76"/>
    <mergeCell ref="H15:I15"/>
    <mergeCell ref="AK28:AM28"/>
    <mergeCell ref="AR54:AS54"/>
    <mergeCell ref="AL79:AM79"/>
    <mergeCell ref="AL54:AM54"/>
    <mergeCell ref="V78:X78"/>
    <mergeCell ref="M20:O20"/>
    <mergeCell ref="Y39:AA39"/>
    <mergeCell ref="N79:O79"/>
    <mergeCell ref="AH4:AJ4"/>
    <mergeCell ref="D57:F57"/>
    <mergeCell ref="AO17:AP17"/>
    <mergeCell ref="AK30:AM30"/>
    <mergeCell ref="N35:O35"/>
    <mergeCell ref="AR7:AS7"/>
    <mergeCell ref="AR56:AS56"/>
    <mergeCell ref="AL81:AM81"/>
    <mergeCell ref="M84:O84"/>
    <mergeCell ref="M22:O22"/>
    <mergeCell ref="AI38:AJ38"/>
    <mergeCell ref="AE61:AG61"/>
    <mergeCell ref="AB71:AD71"/>
    <mergeCell ref="M75:O75"/>
    <mergeCell ref="G78:I78"/>
    <mergeCell ref="AK69:AM69"/>
    <mergeCell ref="P16:R16"/>
    <mergeCell ref="K21:L21"/>
    <mergeCell ref="H25:I25"/>
    <mergeCell ref="J41:L41"/>
    <mergeCell ref="J16:L16"/>
    <mergeCell ref="AI40:AJ40"/>
    <mergeCell ref="M80:O80"/>
    <mergeCell ref="Q54:R54"/>
    <mergeCell ref="W64:X64"/>
    <mergeCell ref="G80:I80"/>
    <mergeCell ref="AQ14:AS14"/>
    <mergeCell ref="AI15:AJ15"/>
    <mergeCell ref="Y28:AA28"/>
    <mergeCell ref="AN18:AP18"/>
    <mergeCell ref="Q23:R23"/>
    <mergeCell ref="Q29:R29"/>
    <mergeCell ref="T68:U68"/>
    <mergeCell ref="AL76:AM76"/>
    <mergeCell ref="G55:I55"/>
    <mergeCell ref="P18:R18"/>
    <mergeCell ref="AH26:AJ26"/>
    <mergeCell ref="J43:L43"/>
    <mergeCell ref="AQ78:AS78"/>
    <mergeCell ref="AI79:AJ79"/>
    <mergeCell ref="Q31:R31"/>
    <mergeCell ref="AN82:AP82"/>
    <mergeCell ref="AF9:AG9"/>
    <mergeCell ref="Y57:AA57"/>
    <mergeCell ref="AK8:AM8"/>
    <mergeCell ref="Z83:AA83"/>
    <mergeCell ref="Y32:AA32"/>
    <mergeCell ref="AR25:AS25"/>
    <mergeCell ref="AH57:AJ57"/>
    <mergeCell ref="S32:U32"/>
    <mergeCell ref="AH84:AJ84"/>
    <mergeCell ref="AQ80:AS80"/>
    <mergeCell ref="S26:U26"/>
    <mergeCell ref="K27:L27"/>
    <mergeCell ref="AI81:AJ81"/>
    <mergeCell ref="M4:O4"/>
    <mergeCell ref="AF11:AG11"/>
    <mergeCell ref="Y1:AA2"/>
    <mergeCell ref="AQ55:AS55"/>
    <mergeCell ref="J67:L67"/>
    <mergeCell ref="Z60:AA60"/>
    <mergeCell ref="G71:I71"/>
    <mergeCell ref="AE41:AG41"/>
    <mergeCell ref="W17:X17"/>
    <mergeCell ref="W11:X11"/>
    <mergeCell ref="E25:F25"/>
    <mergeCell ref="AL29:AM29"/>
    <mergeCell ref="AI33:AJ33"/>
    <mergeCell ref="G8:I8"/>
    <mergeCell ref="J69:L69"/>
    <mergeCell ref="AK18:AM18"/>
    <mergeCell ref="V20:X20"/>
    <mergeCell ref="AO40:AP40"/>
    <mergeCell ref="AE43:AG43"/>
    <mergeCell ref="E58:F58"/>
    <mergeCell ref="W19:X19"/>
    <mergeCell ref="P6:R6"/>
    <mergeCell ref="AO27:AP27"/>
    <mergeCell ref="AL44:AM44"/>
    <mergeCell ref="AL31:AM31"/>
    <mergeCell ref="J6:L6"/>
    <mergeCell ref="AB59:AD59"/>
    <mergeCell ref="G10:I10"/>
    <mergeCell ref="V84:X84"/>
    <mergeCell ref="J98:L98"/>
    <mergeCell ref="V59:X59"/>
    <mergeCell ref="G53:I53"/>
    <mergeCell ref="N54:O54"/>
    <mergeCell ref="T38:U38"/>
    <mergeCell ref="K9:L9"/>
    <mergeCell ref="AC66:AD66"/>
    <mergeCell ref="Q42:R42"/>
    <mergeCell ref="J4:L4"/>
    <mergeCell ref="E83:F83"/>
    <mergeCell ref="AQ8:AS8"/>
    <mergeCell ref="AB61:AD61"/>
    <mergeCell ref="D78:F78"/>
    <mergeCell ref="M30:O30"/>
    <mergeCell ref="D1:F2"/>
    <mergeCell ref="V51:X51"/>
    <mergeCell ref="N56:O56"/>
    <mergeCell ref="AC74:AD74"/>
    <mergeCell ref="K11:L11"/>
    <mergeCell ref="H21:I21"/>
    <mergeCell ref="Z7:AA7"/>
    <mergeCell ref="AC68:AD68"/>
    <mergeCell ref="D71:F71"/>
    <mergeCell ref="AQ10:AS10"/>
    <mergeCell ref="Y45:AA45"/>
    <mergeCell ref="AB8:AD8"/>
    <mergeCell ref="E13:F13"/>
    <mergeCell ref="M61:O61"/>
    <mergeCell ref="S45:U45"/>
    <mergeCell ref="K46:L46"/>
    <mergeCell ref="AE69:AG69"/>
    <mergeCell ref="D8:F8"/>
    <mergeCell ref="K40:L40"/>
    <mergeCell ref="T74:U74"/>
    <mergeCell ref="Z58:AA58"/>
    <mergeCell ref="S20:U20"/>
    <mergeCell ref="D73:F73"/>
    <mergeCell ref="AK6:AM6"/>
    <mergeCell ref="T40:U40"/>
    <mergeCell ref="E15:F15"/>
    <mergeCell ref="AB10:AD10"/>
    <mergeCell ref="J18:L18"/>
    <mergeCell ref="AQ84:AS84"/>
    <mergeCell ref="AH1:AJ2"/>
    <mergeCell ref="W72:X72"/>
    <mergeCell ref="T76:U76"/>
    <mergeCell ref="AI54:AJ54"/>
    <mergeCell ref="S22:U22"/>
    <mergeCell ref="AL42:AM42"/>
    <mergeCell ref="AE4:AG4"/>
    <mergeCell ref="D20:F20"/>
    <mergeCell ref="J82:L82"/>
    <mergeCell ref="AL17:AM17"/>
    <mergeCell ref="W70:X70"/>
    <mergeCell ref="AI62:AJ62"/>
    <mergeCell ref="N9:O9"/>
    <mergeCell ref="AF17:AG17"/>
    <mergeCell ref="AI56:AJ56"/>
    <mergeCell ref="J57:L57"/>
    <mergeCell ref="AC21:AD21"/>
    <mergeCell ref="Q70:R70"/>
    <mergeCell ref="D84:F84"/>
    <mergeCell ref="Y71:AA71"/>
    <mergeCell ref="D22:F22"/>
    <mergeCell ref="E81:F81"/>
    <mergeCell ref="AO64:AP64"/>
    <mergeCell ref="AL19:AM19"/>
    <mergeCell ref="AC58:AD58"/>
    <mergeCell ref="AF19:AG19"/>
    <mergeCell ref="AF46:AG46"/>
    <mergeCell ref="AN20:AP20"/>
    <mergeCell ref="V34:X34"/>
    <mergeCell ref="Y73:AA73"/>
    <mergeCell ref="AK24:AM24"/>
    <mergeCell ref="V28:X28"/>
    <mergeCell ref="A78:B85"/>
    <mergeCell ref="H29:I29"/>
    <mergeCell ref="AR72:AS72"/>
    <mergeCell ref="E33:F33"/>
    <mergeCell ref="AO76:AP76"/>
    <mergeCell ref="G18:I18"/>
    <mergeCell ref="AN22:AP22"/>
    <mergeCell ref="AK26:AM26"/>
    <mergeCell ref="V30:X30"/>
    <mergeCell ref="P39:R39"/>
    <mergeCell ref="C1:C4"/>
    <mergeCell ref="H44:I44"/>
    <mergeCell ref="AO48:AP48"/>
    <mergeCell ref="AE82:AG82"/>
    <mergeCell ref="W83:X83"/>
    <mergeCell ref="AR70:AS70"/>
    <mergeCell ref="E35:F35"/>
    <mergeCell ref="AI9:AJ9"/>
    <mergeCell ref="AE57:AG57"/>
    <mergeCell ref="P32:R32"/>
    <mergeCell ref="D4:F4"/>
    <mergeCell ref="Q58:R58"/>
    <mergeCell ref="N62:O62"/>
    <mergeCell ref="AO33:AP33"/>
    <mergeCell ref="W85:X85"/>
    <mergeCell ref="M8:O8"/>
    <mergeCell ref="P47:R47"/>
    <mergeCell ref="Q50:R50"/>
    <mergeCell ref="J12:L12"/>
    <mergeCell ref="AE65:AG65"/>
    <mergeCell ref="AB69:AD69"/>
    <mergeCell ref="E74:F74"/>
    <mergeCell ref="Q60:R60"/>
    <mergeCell ref="AQ34:AS34"/>
    <mergeCell ref="N64:O64"/>
    <mergeCell ref="AO35:AP35"/>
    <mergeCell ref="V65:X65"/>
    <mergeCell ref="Z33:AA33"/>
    <mergeCell ref="AQ49:AS49"/>
    <mergeCell ref="Y53:AA53"/>
    <mergeCell ref="AQ30:AS30"/>
    <mergeCell ref="AI31:AJ31"/>
    <mergeCell ref="Z79:AA79"/>
    <mergeCell ref="S47:U47"/>
    <mergeCell ref="AF35:AG35"/>
    <mergeCell ref="W9:X9"/>
    <mergeCell ref="D10:F10"/>
    <mergeCell ref="K48:L48"/>
    <mergeCell ref="Z35:AA35"/>
    <mergeCell ref="AB51:AD51"/>
    <mergeCell ref="S59:U59"/>
    <mergeCell ref="P63:R63"/>
    <mergeCell ref="Y55:AA55"/>
    <mergeCell ref="AF7:AG7"/>
    <mergeCell ref="AH71:AJ71"/>
    <mergeCell ref="AE75:AG75"/>
    <mergeCell ref="W38:X38"/>
    <mergeCell ref="AO46:AP46"/>
    <mergeCell ref="AH8:AJ8"/>
    <mergeCell ref="AL50:AM50"/>
    <mergeCell ref="S61:U61"/>
    <mergeCell ref="AE12:AG12"/>
    <mergeCell ref="W13:X13"/>
    <mergeCell ref="K62:L62"/>
    <mergeCell ref="AB16:AD16"/>
    <mergeCell ref="E21:F21"/>
    <mergeCell ref="AR60:AS60"/>
    <mergeCell ref="AH73:AJ73"/>
    <mergeCell ref="Q13:R13"/>
    <mergeCell ref="Z74:AA74"/>
    <mergeCell ref="Q7:R7"/>
    <mergeCell ref="V24:X24"/>
    <mergeCell ref="AI64:AJ64"/>
    <mergeCell ref="N11:O11"/>
    <mergeCell ref="W40:X40"/>
    <mergeCell ref="AH10:AJ10"/>
    <mergeCell ref="AE14:AG14"/>
    <mergeCell ref="W15:X15"/>
    <mergeCell ref="AO72:AP72"/>
    <mergeCell ref="E23:F23"/>
    <mergeCell ref="Z76:AA76"/>
    <mergeCell ref="AR9:AS9"/>
    <mergeCell ref="V49:X49"/>
    <mergeCell ref="G24:I24"/>
    <mergeCell ref="AE78:AG78"/>
    <mergeCell ref="AB82:AD82"/>
    <mergeCell ref="D28:F28"/>
    <mergeCell ref="AK63:AM63"/>
    <mergeCell ref="AF25:AG25"/>
    <mergeCell ref="K76:L76"/>
    <mergeCell ref="G26:I26"/>
    <mergeCell ref="D30:F30"/>
    <mergeCell ref="AF62:AG62"/>
    <mergeCell ref="H52:I52"/>
    <mergeCell ref="AR13:AS13"/>
    <mergeCell ref="H79:I79"/>
    <mergeCell ref="Z21:AA21"/>
    <mergeCell ref="AI50:AJ50"/>
    <mergeCell ref="AQ24:AS24"/>
    <mergeCell ref="AK37:AM37"/>
    <mergeCell ref="S41:U41"/>
    <mergeCell ref="V80:X80"/>
    <mergeCell ref="AH28:AJ28"/>
    <mergeCell ref="AR15:AS15"/>
    <mergeCell ref="AC19:AD19"/>
    <mergeCell ref="Z29:AA29"/>
    <mergeCell ref="Z23:AA23"/>
    <mergeCell ref="H81:I81"/>
    <mergeCell ref="P55:R55"/>
    <mergeCell ref="AQ26:AS26"/>
    <mergeCell ref="AB6:AD6"/>
    <mergeCell ref="S43:U43"/>
    <mergeCell ref="Y63:AA63"/>
    <mergeCell ref="AB24:AD24"/>
    <mergeCell ref="AR79:AS79"/>
    <mergeCell ref="J84:L84"/>
    <mergeCell ref="AF38:AG38"/>
    <mergeCell ref="M39:O39"/>
    <mergeCell ref="AQ57:AS57"/>
    <mergeCell ref="V4:X4"/>
    <mergeCell ref="AL48:AM48"/>
    <mergeCell ref="AF13:AG13"/>
    <mergeCell ref="T27:U27"/>
    <mergeCell ref="AI52:AJ52"/>
    <mergeCell ref="Y30:AA30"/>
    <mergeCell ref="AO85:AP85"/>
    <mergeCell ref="Q66:R66"/>
    <mergeCell ref="J80:L80"/>
    <mergeCell ref="S67:U67"/>
    <mergeCell ref="G6:I6"/>
    <mergeCell ref="N7:O7"/>
    <mergeCell ref="G37:I37"/>
    <mergeCell ref="Q68:R68"/>
    <mergeCell ref="AN41:AP41"/>
    <mergeCell ref="AK45:AM45"/>
    <mergeCell ref="N50:O50"/>
    <mergeCell ref="N25:O25"/>
    <mergeCell ref="Y69:AA69"/>
    <mergeCell ref="H50:I50"/>
    <mergeCell ref="AK55:AM55"/>
    <mergeCell ref="S69:U69"/>
    <mergeCell ref="K64:L64"/>
    <mergeCell ref="H74:I74"/>
    <mergeCell ref="M28:O28"/>
    <mergeCell ref="AN43:AP43"/>
    <mergeCell ref="H68:I68"/>
    <mergeCell ref="Y6:AA6"/>
    <mergeCell ref="G14:I14"/>
    <mergeCell ref="AK59:AM59"/>
    <mergeCell ref="AE84:AG84"/>
    <mergeCell ref="K72:L72"/>
    <mergeCell ref="P53:R53"/>
    <mergeCell ref="W54:X54"/>
    <mergeCell ref="W79:X79"/>
    <mergeCell ref="AQ4:AS4"/>
    <mergeCell ref="T9:U9"/>
    <mergeCell ref="M57:O57"/>
    <mergeCell ref="AO62:AP62"/>
    <mergeCell ref="AL66:AM66"/>
    <mergeCell ref="Q79:R79"/>
    <mergeCell ref="AI70:AJ70"/>
    <mergeCell ref="AH16:AJ16"/>
    <mergeCell ref="V57:X57"/>
    <mergeCell ref="G32:I32"/>
    <mergeCell ref="M1:O2"/>
    <mergeCell ref="AE80:AG80"/>
    <mergeCell ref="W81:X81"/>
    <mergeCell ref="W56:X56"/>
    <mergeCell ref="T11:U11"/>
    <mergeCell ref="AI7:AJ7"/>
    <mergeCell ref="Q81:R81"/>
    <mergeCell ref="AL68:AM68"/>
    <mergeCell ref="M71:O71"/>
    <mergeCell ref="N13:O13"/>
    <mergeCell ref="S16:U16"/>
    <mergeCell ref="K17:L17"/>
    <mergeCell ref="AI58:AJ58"/>
    <mergeCell ref="AQ45:AS45"/>
    <mergeCell ref="AB20:AD20"/>
    <mergeCell ref="AB14:AD14"/>
    <mergeCell ref="Y24:AA24"/>
    <mergeCell ref="J28:L28"/>
    <mergeCell ref="AQ32:AS32"/>
    <mergeCell ref="S18:U18"/>
    <mergeCell ref="K19:L19"/>
    <mergeCell ref="AQ1:AS2"/>
    <mergeCell ref="AC27:AD27"/>
    <mergeCell ref="AF72:AG72"/>
    <mergeCell ref="Z31:AA31"/>
    <mergeCell ref="AQ47:AS47"/>
    <mergeCell ref="J30:L30"/>
    <mergeCell ref="Y82:AA82"/>
    <mergeCell ref="AN4:AP4"/>
    <mergeCell ref="E50:F50"/>
    <mergeCell ref="S82:U82"/>
    <mergeCell ref="K83:L83"/>
    <mergeCell ref="AF70:AG70"/>
    <mergeCell ref="H38:I38"/>
    <mergeCell ref="P8:R8"/>
    <mergeCell ref="AR81:AS81"/>
    <mergeCell ref="S57:U57"/>
    <mergeCell ref="D32:F32"/>
    <mergeCell ref="AO11:AP11"/>
    <mergeCell ref="W25:X25"/>
    <mergeCell ref="E52:F52"/>
    <mergeCell ref="AI60:AJ60"/>
    <mergeCell ref="H40:I40"/>
    <mergeCell ref="E44:F44"/>
    <mergeCell ref="AH6:AJ6"/>
    <mergeCell ref="K60:L60"/>
    <mergeCell ref="AK34:AM34"/>
    <mergeCell ref="AE28:AG28"/>
    <mergeCell ref="G45:I45"/>
    <mergeCell ref="AF54:AG54"/>
    <mergeCell ref="N58:O58"/>
    <mergeCell ref="N33:O33"/>
    <mergeCell ref="G20:I20"/>
    <mergeCell ref="P43:R43"/>
    <mergeCell ref="AE30:AG30"/>
    <mergeCell ref="W31:X31"/>
    <mergeCell ref="V1:X2"/>
    <mergeCell ref="G47:I47"/>
    <mergeCell ref="AF83:AG83"/>
    <mergeCell ref="G84:I84"/>
    <mergeCell ref="G22:I22"/>
    <mergeCell ref="AC38:AD38"/>
    <mergeCell ref="Z42:AA42"/>
    <mergeCell ref="AN57:AP57"/>
    <mergeCell ref="S4:U4"/>
    <mergeCell ref="AF58:AG58"/>
    <mergeCell ref="AK61:AM61"/>
    <mergeCell ref="AK67:AM67"/>
    <mergeCell ref="V71:X71"/>
    <mergeCell ref="S75:U75"/>
    <mergeCell ref="AI46:AJ46"/>
    <mergeCell ref="H66:I66"/>
    <mergeCell ref="T17:U17"/>
    <mergeCell ref="E70:F70"/>
    <mergeCell ref="AF85:AG85"/>
    <mergeCell ref="AC40:AD40"/>
    <mergeCell ref="AC46:AD46"/>
    <mergeCell ref="S12:U12"/>
    <mergeCell ref="Z44:AA44"/>
    <mergeCell ref="Y47:AA47"/>
    <mergeCell ref="AF60:AG60"/>
    <mergeCell ref="K7:L7"/>
    <mergeCell ref="AH24:AJ24"/>
    <mergeCell ref="V73:X73"/>
    <mergeCell ref="E7:F7"/>
    <mergeCell ref="AR29:AS29"/>
    <mergeCell ref="T19:U19"/>
    <mergeCell ref="AB45:AD45"/>
    <mergeCell ref="T46:U46"/>
    <mergeCell ref="J59:L59"/>
    <mergeCell ref="P69:R69"/>
    <mergeCell ref="D45:F45"/>
    <mergeCell ref="J34:L34"/>
    <mergeCell ref="M73:O73"/>
    <mergeCell ref="AK43:AM43"/>
    <mergeCell ref="AR44:AS44"/>
    <mergeCell ref="AH53:AJ53"/>
    <mergeCell ref="AL9:AM9"/>
    <mergeCell ref="AO70:AP70"/>
    <mergeCell ref="AR31:AS31"/>
    <mergeCell ref="AB47:AD47"/>
    <mergeCell ref="T48:U48"/>
    <mergeCell ref="J49:L49"/>
    <mergeCell ref="M10:O10"/>
    <mergeCell ref="AB84:AD84"/>
    <mergeCell ref="S1:U2"/>
    <mergeCell ref="AB22:AD22"/>
    <mergeCell ref="AK51:AM51"/>
    <mergeCell ref="AH55:AJ55"/>
    <mergeCell ref="AO7:AP7"/>
    <mergeCell ref="AQ71:AS71"/>
    <mergeCell ref="AL11:AM11"/>
    <mergeCell ref="AN75:AP75"/>
    <mergeCell ref="AR62:AS62"/>
    <mergeCell ref="Z70:AA70"/>
    <mergeCell ref="AN12:AP12"/>
    <mergeCell ref="Y16:AA16"/>
    <mergeCell ref="AQ73:AS73"/>
    <mergeCell ref="AI74:AJ74"/>
    <mergeCell ref="N21:O21"/>
    <mergeCell ref="AF29:AG29"/>
    <mergeCell ref="N81:O81"/>
    <mergeCell ref="H46:I46"/>
    <mergeCell ref="K85:L85"/>
    <mergeCell ref="S65:U65"/>
    <mergeCell ref="AO19:AP19"/>
    <mergeCell ref="AN14:AP14"/>
    <mergeCell ref="Y18:AA18"/>
    <mergeCell ref="Q19:R19"/>
    <mergeCell ref="E60:F60"/>
    <mergeCell ref="N23:O23"/>
    <mergeCell ref="AE34:AG34"/>
    <mergeCell ref="AF44:AG44"/>
    <mergeCell ref="AO83:AP83"/>
    <mergeCell ref="AH45:AJ45"/>
    <mergeCell ref="W62:X62"/>
    <mergeCell ref="AE49:AG49"/>
    <mergeCell ref="P24:R24"/>
    <mergeCell ref="M63:O63"/>
    <mergeCell ref="AH32:AJ32"/>
    <mergeCell ref="AN1:AP2"/>
    <mergeCell ref="AO58:AP58"/>
    <mergeCell ref="AH37:AJ37"/>
    <mergeCell ref="AC72:AD72"/>
    <mergeCell ref="Q44:R44"/>
    <mergeCell ref="AH47:AJ47"/>
    <mergeCell ref="Z48:AA48"/>
    <mergeCell ref="G59:I59"/>
    <mergeCell ref="P51:R51"/>
    <mergeCell ref="T13:U13"/>
    <mergeCell ref="P26:R26"/>
    <mergeCell ref="H27:I27"/>
    <mergeCell ref="D63:F63"/>
    <mergeCell ref="W52:X52"/>
    <mergeCell ref="AK75:AM75"/>
    <mergeCell ref="AI21:AJ21"/>
    <mergeCell ref="K38:L38"/>
    <mergeCell ref="G67:I67"/>
    <mergeCell ref="V8:X8"/>
    <mergeCell ref="G61:I61"/>
    <mergeCell ref="AN65:AP65"/>
    <mergeCell ref="AB41:AD41"/>
    <mergeCell ref="N74:O74"/>
    <mergeCell ref="AQ53:AS53"/>
    <mergeCell ref="AI23:AJ23"/>
    <mergeCell ref="AK39:AM39"/>
  </mergeCells>
  <conditionalFormatting sqref="D6:F35 J6:L35">
    <cfRule type="cellIs" priority="1" operator="equal" dxfId="2">
      <formula>(2007+$B$1+7)</formula>
    </cfRule>
    <cfRule type="cellIs" priority="2" operator="equal" dxfId="3">
      <formula>(2007+$B$1+6)</formula>
    </cfRule>
    <cfRule type="cellIs" priority="3" operator="equal" dxfId="4">
      <formula>(2007+$B$1+5)</formula>
    </cfRule>
    <cfRule type="cellIs" priority="4" operator="equal" dxfId="5">
      <formula>(2007+$B$1+4)</formula>
    </cfRule>
    <cfRule type="cellIs" priority="5" operator="equal" dxfId="6">
      <formula>(2007+$B$1+3)</formula>
    </cfRule>
    <cfRule type="cellIs" priority="6" operator="equal" dxfId="7">
      <formula>(2007+$B$1+2)</formula>
    </cfRule>
    <cfRule type="cellIs" priority="7" operator="equal" dxfId="8">
      <formula>(2007+$B$1+1)</formula>
    </cfRule>
    <cfRule type="cellIs" priority="8" operator="equal" dxfId="0">
      <formula>(2007+$B$1)</formula>
    </cfRule>
  </conditionalFormatting>
  <conditionalFormatting sqref="D37:F76 G37:I68 J37:L76 J96:L99">
    <cfRule type="colorScale" priority="9">
      <colorScale>
        <cfvo type="min"/>
        <cfvo type="max"/>
        <color theme="0"/>
        <color rgb="FF00B050"/>
      </colorScale>
    </cfRule>
    <cfRule type="cellIs" priority="10" operator="equal" dxfId="9">
      <formula>"No"</formula>
    </cfRule>
    <cfRule type="cellIs" priority="11" operator="equal" dxfId="10">
      <formula>"Yes"</formula>
    </cfRule>
  </conditionalFormatting>
  <conditionalFormatting sqref="P6:R35">
    <cfRule type="cellIs" priority="12" operator="equal" dxfId="2">
      <formula>(2007+$B$1+7)</formula>
    </cfRule>
    <cfRule type="cellIs" priority="13" operator="equal" dxfId="3">
      <formula>(2007+$B$1+6)</formula>
    </cfRule>
    <cfRule type="cellIs" priority="14" operator="equal" dxfId="4">
      <formula>(2007+$B$1+5)</formula>
    </cfRule>
    <cfRule type="cellIs" priority="15" operator="equal" dxfId="5">
      <formula>(2007+$B$1+4)</formula>
    </cfRule>
    <cfRule type="cellIs" priority="16" operator="equal" dxfId="6">
      <formula>(2007+$B$1+3)</formula>
    </cfRule>
    <cfRule type="cellIs" priority="17" operator="equal" dxfId="7">
      <formula>(2007+$B$1+2)</formula>
    </cfRule>
    <cfRule type="cellIs" priority="18" operator="equal" dxfId="8">
      <formula>(2007+$B$1+1)</formula>
    </cfRule>
    <cfRule type="cellIs" priority="19" operator="equal" dxfId="0">
      <formula>(2007+$B$1)</formula>
    </cfRule>
  </conditionalFormatting>
  <conditionalFormatting sqref="P37:R76">
    <cfRule type="colorScale" priority="20">
      <colorScale>
        <cfvo type="min"/>
        <cfvo type="max"/>
        <color theme="0"/>
        <color rgb="FF00B050"/>
      </colorScale>
    </cfRule>
    <cfRule type="cellIs" priority="21" operator="equal" dxfId="9">
      <formula>"No"</formula>
    </cfRule>
    <cfRule type="cellIs" priority="22" operator="equal" dxfId="10">
      <formula>"Yes"</formula>
    </cfRule>
  </conditionalFormatting>
  <conditionalFormatting sqref="M6:O35">
    <cfRule type="cellIs" priority="23" operator="equal" dxfId="2">
      <formula>(2007+$B$1+7)</formula>
    </cfRule>
    <cfRule type="cellIs" priority="24" operator="equal" dxfId="3">
      <formula>(2007+$B$1+6)</formula>
    </cfRule>
    <cfRule type="cellIs" priority="25" operator="equal" dxfId="4">
      <formula>(2007+$B$1+5)</formula>
    </cfRule>
    <cfRule type="cellIs" priority="26" operator="equal" dxfId="5">
      <formula>(2007+$B$1+4)</formula>
    </cfRule>
    <cfRule type="cellIs" priority="27" operator="equal" dxfId="6">
      <formula>(2007+$B$1+3)</formula>
    </cfRule>
    <cfRule type="cellIs" priority="28" operator="equal" dxfId="7">
      <formula>(2007+$B$1+2)</formula>
    </cfRule>
    <cfRule type="cellIs" priority="29" operator="equal" dxfId="8">
      <formula>(2007+$B$1+1)</formula>
    </cfRule>
    <cfRule type="cellIs" priority="30" operator="equal" dxfId="0">
      <formula>(2007+$B$1)</formula>
    </cfRule>
  </conditionalFormatting>
  <conditionalFormatting sqref="M37:O76">
    <cfRule type="colorScale" priority="31">
      <colorScale>
        <cfvo type="min"/>
        <cfvo type="max"/>
        <color theme="0"/>
        <color rgb="FF00B050"/>
      </colorScale>
    </cfRule>
    <cfRule type="cellIs" priority="32" operator="equal" dxfId="9">
      <formula>"No"</formula>
    </cfRule>
    <cfRule type="cellIs" priority="33" operator="equal" dxfId="10">
      <formula>"Yes"</formula>
    </cfRule>
  </conditionalFormatting>
  <conditionalFormatting sqref="AQ6:AS35">
    <cfRule type="cellIs" priority="34" operator="equal" dxfId="2">
      <formula>(2007+$B$1+7)</formula>
    </cfRule>
    <cfRule type="cellIs" priority="35" operator="equal" dxfId="3">
      <formula>(2007+$B$1+6)</formula>
    </cfRule>
    <cfRule type="cellIs" priority="36" operator="equal" dxfId="4">
      <formula>(2007+$B$1+5)</formula>
    </cfRule>
    <cfRule type="cellIs" priority="37" operator="equal" dxfId="5">
      <formula>(2007+$B$1+4)</formula>
    </cfRule>
    <cfRule type="cellIs" priority="38" operator="equal" dxfId="6">
      <formula>(2007+$B$1+3)</formula>
    </cfRule>
    <cfRule type="cellIs" priority="39" operator="equal" dxfId="7">
      <formula>(2007+$B$1+2)</formula>
    </cfRule>
    <cfRule type="cellIs" priority="40" operator="equal" dxfId="8">
      <formula>(2007+$B$1+1)</formula>
    </cfRule>
    <cfRule type="cellIs" priority="41" operator="equal" dxfId="0">
      <formula>(2007+$B$1)</formula>
    </cfRule>
  </conditionalFormatting>
  <conditionalFormatting sqref="AQ37:AS76">
    <cfRule type="colorScale" priority="42">
      <colorScale>
        <cfvo type="min"/>
        <cfvo type="max"/>
        <color theme="0"/>
        <color rgb="FF00B050"/>
      </colorScale>
    </cfRule>
    <cfRule type="cellIs" priority="43" operator="equal" dxfId="9">
      <formula>"No"</formula>
    </cfRule>
    <cfRule type="cellIs" priority="44" operator="equal" dxfId="10">
      <formula>"Yes"</formula>
    </cfRule>
  </conditionalFormatting>
  <conditionalFormatting sqref="G6:I35">
    <cfRule type="cellIs" priority="45" operator="equal" dxfId="2">
      <formula>(2007+$B$1+7)</formula>
    </cfRule>
    <cfRule type="cellIs" priority="46" operator="equal" dxfId="3">
      <formula>(2007+$B$1+6)</formula>
    </cfRule>
    <cfRule type="cellIs" priority="47" operator="equal" dxfId="4">
      <formula>(2007+$B$1+5)</formula>
    </cfRule>
    <cfRule type="cellIs" priority="48" operator="equal" dxfId="5">
      <formula>(2007+$B$1+4)</formula>
    </cfRule>
    <cfRule type="cellIs" priority="49" operator="equal" dxfId="6">
      <formula>(2007+$B$1+3)</formula>
    </cfRule>
    <cfRule type="cellIs" priority="50" operator="equal" dxfId="7">
      <formula>(2007+$B$1+2)</formula>
    </cfRule>
    <cfRule type="cellIs" priority="51" operator="equal" dxfId="8">
      <formula>(2007+$B$1+1)</formula>
    </cfRule>
    <cfRule type="cellIs" priority="52" operator="equal" dxfId="0">
      <formula>(2007+$B$1)</formula>
    </cfRule>
  </conditionalFormatting>
  <conditionalFormatting sqref="G37:I76 J96:L99">
    <cfRule type="colorScale" priority="53">
      <colorScale>
        <cfvo type="min"/>
        <cfvo type="max"/>
        <color theme="0"/>
        <color rgb="FF00B050"/>
      </colorScale>
    </cfRule>
    <cfRule type="cellIs" priority="54" operator="equal" dxfId="9">
      <formula>"No"</formula>
    </cfRule>
    <cfRule type="cellIs" priority="55" operator="equal" dxfId="10">
      <formula>"Yes"</formula>
    </cfRule>
  </conditionalFormatting>
  <conditionalFormatting sqref="AN6:AP35">
    <cfRule type="cellIs" priority="56" operator="equal" dxfId="2">
      <formula>(2007+$B$1+7)</formula>
    </cfRule>
    <cfRule type="cellIs" priority="57" operator="equal" dxfId="3">
      <formula>(2007+$B$1+6)</formula>
    </cfRule>
    <cfRule type="cellIs" priority="58" operator="equal" dxfId="4">
      <formula>(2007+$B$1+5)</formula>
    </cfRule>
    <cfRule type="cellIs" priority="59" operator="equal" dxfId="5">
      <formula>(2007+$B$1+4)</formula>
    </cfRule>
    <cfRule type="cellIs" priority="60" operator="equal" dxfId="6">
      <formula>(2007+$B$1+3)</formula>
    </cfRule>
    <cfRule type="cellIs" priority="61" operator="equal" dxfId="7">
      <formula>(2007+$B$1+2)</formula>
    </cfRule>
    <cfRule type="cellIs" priority="62" operator="equal" dxfId="8">
      <formula>(2007+$B$1+1)</formula>
    </cfRule>
    <cfRule type="cellIs" priority="63" operator="equal" dxfId="0">
      <formula>(2007+$B$1)</formula>
    </cfRule>
  </conditionalFormatting>
  <conditionalFormatting sqref="AN37:AP76">
    <cfRule type="colorScale" priority="64">
      <colorScale>
        <cfvo type="min"/>
        <cfvo type="max"/>
        <color theme="0"/>
        <color rgb="FF00B050"/>
      </colorScale>
    </cfRule>
    <cfRule type="cellIs" priority="65" operator="equal" dxfId="9">
      <formula>"No"</formula>
    </cfRule>
    <cfRule type="cellIs" priority="66" operator="equal" dxfId="10">
      <formula>"Yes"</formula>
    </cfRule>
  </conditionalFormatting>
  <conditionalFormatting sqref="AK6:AM35">
    <cfRule type="cellIs" priority="67" operator="equal" dxfId="2">
      <formula>(2007+$B$1+7)</formula>
    </cfRule>
    <cfRule type="cellIs" priority="68" operator="equal" dxfId="3">
      <formula>(2007+$B$1+6)</formula>
    </cfRule>
    <cfRule type="cellIs" priority="69" operator="equal" dxfId="4">
      <formula>(2007+$B$1+5)</formula>
    </cfRule>
    <cfRule type="cellIs" priority="70" operator="equal" dxfId="5">
      <formula>(2007+$B$1+4)</formula>
    </cfRule>
    <cfRule type="cellIs" priority="71" operator="equal" dxfId="6">
      <formula>(2007+$B$1+3)</formula>
    </cfRule>
    <cfRule type="cellIs" priority="72" operator="equal" dxfId="7">
      <formula>(2007+$B$1+2)</formula>
    </cfRule>
    <cfRule type="cellIs" priority="73" operator="equal" dxfId="8">
      <formula>(2007+$B$1+1)</formula>
    </cfRule>
    <cfRule type="cellIs" priority="74" operator="equal" dxfId="0">
      <formula>(2007+$B$1)</formula>
    </cfRule>
  </conditionalFormatting>
  <conditionalFormatting sqref="AK37:AM76">
    <cfRule type="colorScale" priority="75">
      <colorScale>
        <cfvo type="min"/>
        <cfvo type="max"/>
        <color theme="0"/>
        <color rgb="FF00B050"/>
      </colorScale>
    </cfRule>
    <cfRule type="cellIs" priority="76" operator="equal" dxfId="9">
      <formula>"No"</formula>
    </cfRule>
    <cfRule type="cellIs" priority="77" operator="equal" dxfId="10">
      <formula>"Yes"</formula>
    </cfRule>
  </conditionalFormatting>
  <conditionalFormatting sqref="AH6:AJ35">
    <cfRule type="cellIs" priority="78" operator="equal" dxfId="2">
      <formula>(2007+$B$1+7)</formula>
    </cfRule>
    <cfRule type="cellIs" priority="79" operator="equal" dxfId="3">
      <formula>(2007+$B$1+6)</formula>
    </cfRule>
    <cfRule type="cellIs" priority="80" operator="equal" dxfId="4">
      <formula>(2007+$B$1+5)</formula>
    </cfRule>
    <cfRule type="cellIs" priority="81" operator="equal" dxfId="5">
      <formula>(2007+$B$1+4)</formula>
    </cfRule>
    <cfRule type="cellIs" priority="82" operator="equal" dxfId="6">
      <formula>(2007+$B$1+3)</formula>
    </cfRule>
    <cfRule type="cellIs" priority="83" operator="equal" dxfId="7">
      <formula>(2007+$B$1+2)</formula>
    </cfRule>
    <cfRule type="cellIs" priority="84" operator="equal" dxfId="8">
      <formula>(2007+$B$1+1)</formula>
    </cfRule>
    <cfRule type="cellIs" priority="85" operator="equal" dxfId="0">
      <formula>(2007+$B$1)</formula>
    </cfRule>
  </conditionalFormatting>
  <conditionalFormatting sqref="AH37:AJ76">
    <cfRule type="colorScale" priority="86">
      <colorScale>
        <cfvo type="min"/>
        <cfvo type="max"/>
        <color theme="0"/>
        <color rgb="FF00B050"/>
      </colorScale>
    </cfRule>
    <cfRule type="cellIs" priority="87" operator="equal" dxfId="9">
      <formula>"No"</formula>
    </cfRule>
    <cfRule type="cellIs" priority="88" operator="equal" dxfId="10">
      <formula>"Yes"</formula>
    </cfRule>
  </conditionalFormatting>
  <conditionalFormatting sqref="AE6:AG35">
    <cfRule type="cellIs" priority="89" operator="equal" dxfId="2">
      <formula>(2007+$B$1+7)</formula>
    </cfRule>
    <cfRule type="cellIs" priority="90" operator="equal" dxfId="3">
      <formula>(2007+$B$1+6)</formula>
    </cfRule>
    <cfRule type="cellIs" priority="91" operator="equal" dxfId="4">
      <formula>(2007+$B$1+5)</formula>
    </cfRule>
    <cfRule type="cellIs" priority="92" operator="equal" dxfId="5">
      <formula>(2007+$B$1+4)</formula>
    </cfRule>
    <cfRule type="cellIs" priority="93" operator="equal" dxfId="6">
      <formula>(2007+$B$1+3)</formula>
    </cfRule>
    <cfRule type="cellIs" priority="94" operator="equal" dxfId="7">
      <formula>(2007+$B$1+2)</formula>
    </cfRule>
    <cfRule type="cellIs" priority="95" operator="equal" dxfId="8">
      <formula>(2007+$B$1+1)</formula>
    </cfRule>
    <cfRule type="cellIs" priority="96" operator="equal" dxfId="0">
      <formula>(2007+$B$1)</formula>
    </cfRule>
  </conditionalFormatting>
  <conditionalFormatting sqref="AE37:AG76">
    <cfRule type="colorScale" priority="97">
      <colorScale>
        <cfvo type="min"/>
        <cfvo type="max"/>
        <color theme="0"/>
        <color rgb="FF00B050"/>
      </colorScale>
    </cfRule>
    <cfRule type="cellIs" priority="98" operator="equal" dxfId="9">
      <formula>"No"</formula>
    </cfRule>
    <cfRule type="cellIs" priority="99" operator="equal" dxfId="10">
      <formula>"Yes"</formula>
    </cfRule>
  </conditionalFormatting>
  <conditionalFormatting sqref="Y6:AA35">
    <cfRule type="cellIs" priority="100" operator="equal" dxfId="2">
      <formula>(2007+$B$1+7)</formula>
    </cfRule>
    <cfRule type="cellIs" priority="101" operator="equal" dxfId="3">
      <formula>(2007+$B$1+6)</formula>
    </cfRule>
    <cfRule type="cellIs" priority="102" operator="equal" dxfId="4">
      <formula>(2007+$B$1+5)</formula>
    </cfRule>
    <cfRule type="cellIs" priority="103" operator="equal" dxfId="5">
      <formula>(2007+$B$1+4)</formula>
    </cfRule>
    <cfRule type="cellIs" priority="104" operator="equal" dxfId="6">
      <formula>(2007+$B$1+3)</formula>
    </cfRule>
    <cfRule type="cellIs" priority="105" operator="equal" dxfId="7">
      <formula>(2007+$B$1+2)</formula>
    </cfRule>
    <cfRule type="cellIs" priority="106" operator="equal" dxfId="8">
      <formula>(2007+$B$1+1)</formula>
    </cfRule>
    <cfRule type="cellIs" priority="107" operator="equal" dxfId="0">
      <formula>(2007+$B$1)</formula>
    </cfRule>
  </conditionalFormatting>
  <conditionalFormatting sqref="Y37:AA76">
    <cfRule type="colorScale" priority="108">
      <colorScale>
        <cfvo type="min"/>
        <cfvo type="max"/>
        <color theme="0"/>
        <color rgb="FF00B050"/>
      </colorScale>
    </cfRule>
    <cfRule type="cellIs" priority="109" operator="equal" dxfId="9">
      <formula>"No"</formula>
    </cfRule>
    <cfRule type="cellIs" priority="110" operator="equal" dxfId="10">
      <formula>"Yes"</formula>
    </cfRule>
  </conditionalFormatting>
  <conditionalFormatting sqref="V6:X35">
    <cfRule type="cellIs" priority="111" operator="equal" dxfId="2">
      <formula>(2007+$B$1+7)</formula>
    </cfRule>
    <cfRule type="cellIs" priority="112" operator="equal" dxfId="3">
      <formula>(2007+$B$1+6)</formula>
    </cfRule>
    <cfRule type="cellIs" priority="113" operator="equal" dxfId="4">
      <formula>(2007+$B$1+5)</formula>
    </cfRule>
    <cfRule type="cellIs" priority="114" operator="equal" dxfId="5">
      <formula>(2007+$B$1+4)</formula>
    </cfRule>
    <cfRule type="cellIs" priority="115" operator="equal" dxfId="6">
      <formula>(2007+$B$1+3)</formula>
    </cfRule>
    <cfRule type="cellIs" priority="116" operator="equal" dxfId="7">
      <formula>(2007+$B$1+2)</formula>
    </cfRule>
    <cfRule type="cellIs" priority="117" operator="equal" dxfId="8">
      <formula>(2007+$B$1+1)</formula>
    </cfRule>
    <cfRule type="cellIs" priority="118" operator="equal" dxfId="0">
      <formula>(2007+$B$1)</formula>
    </cfRule>
  </conditionalFormatting>
  <conditionalFormatting sqref="V37:X76">
    <cfRule type="colorScale" priority="119">
      <colorScale>
        <cfvo type="min"/>
        <cfvo type="max"/>
        <color theme="0"/>
        <color rgb="FF00B050"/>
      </colorScale>
    </cfRule>
    <cfRule type="cellIs" priority="120" operator="equal" dxfId="9">
      <formula>"No"</formula>
    </cfRule>
    <cfRule type="cellIs" priority="121" operator="equal" dxfId="10">
      <formula>"Yes"</formula>
    </cfRule>
  </conditionalFormatting>
  <conditionalFormatting sqref="S6:U35">
    <cfRule type="cellIs" priority="122" operator="equal" dxfId="2">
      <formula>(2007+$B$1+7)</formula>
    </cfRule>
    <cfRule type="cellIs" priority="123" operator="equal" dxfId="3">
      <formula>(2007+$B$1+6)</formula>
    </cfRule>
    <cfRule type="cellIs" priority="124" operator="equal" dxfId="4">
      <formula>(2007+$B$1+5)</formula>
    </cfRule>
    <cfRule type="cellIs" priority="125" operator="equal" dxfId="5">
      <formula>(2007+$B$1+4)</formula>
    </cfRule>
    <cfRule type="cellIs" priority="126" operator="equal" dxfId="6">
      <formula>(2007+$B$1+3)</formula>
    </cfRule>
    <cfRule type="cellIs" priority="127" operator="equal" dxfId="7">
      <formula>(2007+$B$1+2)</formula>
    </cfRule>
    <cfRule type="cellIs" priority="128" operator="equal" dxfId="8">
      <formula>(2007+$B$1+1)</formula>
    </cfRule>
    <cfRule type="cellIs" priority="129" operator="equal" dxfId="0">
      <formula>(2007+$B$1)</formula>
    </cfRule>
  </conditionalFormatting>
  <conditionalFormatting sqref="S37:U76">
    <cfRule type="colorScale" priority="130">
      <colorScale>
        <cfvo type="min"/>
        <cfvo type="max"/>
        <color theme="0"/>
        <color rgb="FF00B050"/>
      </colorScale>
    </cfRule>
    <cfRule type="cellIs" priority="131" operator="equal" dxfId="9">
      <formula>"No"</formula>
    </cfRule>
    <cfRule type="cellIs" priority="132" operator="equal" dxfId="10">
      <formula>"Yes"</formula>
    </cfRule>
  </conditionalFormatting>
  <conditionalFormatting sqref="D6:F35">
    <cfRule type="cellIs" priority="133" operator="equal" dxfId="2">
      <formula>(2007+$B$1+7)</formula>
    </cfRule>
    <cfRule type="cellIs" priority="134" operator="equal" dxfId="3">
      <formula>(2007+$B$1+6)</formula>
    </cfRule>
    <cfRule type="cellIs" priority="135" operator="equal" dxfId="4">
      <formula>(2007+$B$1+5)</formula>
    </cfRule>
    <cfRule type="cellIs" priority="136" operator="equal" dxfId="5">
      <formula>(2007+$B$1+4)</formula>
    </cfRule>
    <cfRule type="cellIs" priority="137" operator="equal" dxfId="6">
      <formula>(2007+$B$1+3)</formula>
    </cfRule>
    <cfRule type="cellIs" priority="138" operator="equal" dxfId="7">
      <formula>(2007+$B$1+2)</formula>
    </cfRule>
    <cfRule type="cellIs" priority="139" operator="equal" dxfId="8">
      <formula>(2007+$B$1+1)</formula>
    </cfRule>
    <cfRule type="cellIs" priority="140" operator="equal" dxfId="0">
      <formula>(2007+$B$1)</formula>
    </cfRule>
  </conditionalFormatting>
  <conditionalFormatting sqref="D37:F76 G37:I68 J96:L99">
    <cfRule type="colorScale" priority="141">
      <colorScale>
        <cfvo type="min"/>
        <cfvo type="max"/>
        <color theme="0"/>
        <color rgb="FF00B050"/>
      </colorScale>
    </cfRule>
    <cfRule type="cellIs" priority="142" operator="equal" dxfId="9">
      <formula>"No"</formula>
    </cfRule>
    <cfRule type="cellIs" priority="143" operator="equal" dxfId="10">
      <formula>"Yes"</formula>
    </cfRule>
  </conditionalFormatting>
  <conditionalFormatting sqref="AB6:AD35">
    <cfRule type="cellIs" priority="144" operator="equal" dxfId="2">
      <formula>(2007+$B$1+7)</formula>
    </cfRule>
    <cfRule type="cellIs" priority="145" operator="equal" dxfId="3">
      <formula>(2007+$B$1+6)</formula>
    </cfRule>
    <cfRule type="cellIs" priority="146" operator="equal" dxfId="4">
      <formula>(2007+$B$1+5)</formula>
    </cfRule>
    <cfRule type="cellIs" priority="147" operator="equal" dxfId="5">
      <formula>(2007+$B$1+4)</formula>
    </cfRule>
    <cfRule type="cellIs" priority="148" operator="equal" dxfId="6">
      <formula>(2007+$B$1+3)</formula>
    </cfRule>
    <cfRule type="cellIs" priority="149" operator="equal" dxfId="7">
      <formula>(2007+$B$1+2)</formula>
    </cfRule>
    <cfRule type="cellIs" priority="150" operator="equal" dxfId="8">
      <formula>(2007+$B$1+1)</formula>
    </cfRule>
    <cfRule type="cellIs" priority="151" operator="equal" dxfId="0">
      <formula>(2007+$B$1)</formula>
    </cfRule>
  </conditionalFormatting>
  <conditionalFormatting sqref="AB37:AD76">
    <cfRule type="colorScale" priority="152">
      <colorScale>
        <cfvo type="min"/>
        <cfvo type="max"/>
        <color theme="0"/>
        <color rgb="FF00B050"/>
      </colorScale>
    </cfRule>
    <cfRule type="cellIs" priority="153" operator="equal" dxfId="9">
      <formula>"No"</formula>
    </cfRule>
    <cfRule type="cellIs" priority="154" operator="equal" dxfId="10">
      <formula>"Yes"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6" min="1" max="1"/>
    <col width="27.14" customWidth="1" style="26" min="2" max="2"/>
    <col width="23.86" customWidth="1" style="26" min="3" max="3"/>
    <col width="7.71" customWidth="1" style="26" min="4" max="4"/>
    <col width="29.29" customWidth="1" style="26" min="5" max="5"/>
    <col width="30.43" customWidth="1" style="26" min="6" max="6"/>
    <col width="10.71" customWidth="1" style="26" min="7" max="8"/>
    <col width="23.14" customWidth="1" style="26" min="9" max="9"/>
    <col width="10.71" customWidth="1" style="26" min="10" max="10"/>
    <col width="22" customWidth="1" style="26" min="11" max="11"/>
    <col width="18.29" customWidth="1" style="26" min="12" max="12"/>
    <col width="10.71" customWidth="1" style="26" min="13" max="25"/>
  </cols>
  <sheetData>
    <row r="1"/>
    <row r="2">
      <c r="A2" s="5" t="inlineStr">
        <is>
          <t>Place</t>
        </is>
      </c>
      <c r="B2" s="5" t="inlineStr">
        <is>
          <t>Season Standings Order</t>
        </is>
      </c>
      <c r="C2" s="5" t="inlineStr">
        <is>
          <t>Pick Owners as of 2/15</t>
        </is>
      </c>
      <c r="D2" s="5" t="inlineStr">
        <is>
          <t>Order</t>
        </is>
      </c>
      <c r="E2" s="5" t="inlineStr">
        <is>
          <t>Final Order</t>
        </is>
      </c>
      <c r="F2" s="8" t="inlineStr">
        <is>
          <t>Pick</t>
        </is>
      </c>
      <c r="H2" s="5" t="n"/>
      <c r="I2" s="5" t="n"/>
      <c r="J2" s="5" t="n"/>
      <c r="K2" s="5" t="n"/>
      <c r="L2" s="8" t="n"/>
    </row>
    <row r="3">
      <c r="A3" s="5" t="n">
        <v>7</v>
      </c>
      <c r="B3" s="9" t="inlineStr">
        <is>
          <t>Sabermutrics</t>
        </is>
      </c>
      <c r="C3" s="9" t="inlineStr">
        <is>
          <t>Sabermutrics</t>
        </is>
      </c>
      <c r="D3" s="15" t="n">
        <v>1</v>
      </c>
      <c r="E3" s="11" t="n"/>
      <c r="F3" s="13" t="n"/>
      <c r="H3" s="5" t="n"/>
      <c r="I3" s="9" t="n"/>
      <c r="J3" s="15" t="n"/>
      <c r="K3" s="9" t="n"/>
      <c r="L3" s="13" t="n"/>
    </row>
    <row r="4">
      <c r="A4" s="5" t="n">
        <v>9</v>
      </c>
      <c r="B4" s="9" t="inlineStr">
        <is>
          <t>JMoney</t>
        </is>
      </c>
      <c r="C4" s="9" t="inlineStr">
        <is>
          <t>JMoney</t>
        </is>
      </c>
      <c r="D4" s="15" t="n">
        <v>2</v>
      </c>
      <c r="E4" s="11" t="n"/>
      <c r="F4" s="15" t="n"/>
      <c r="H4" s="5" t="n"/>
      <c r="I4" s="9" t="n"/>
      <c r="J4" s="15" t="n"/>
      <c r="K4" s="9" t="n"/>
      <c r="L4" s="15" t="n"/>
    </row>
    <row r="5">
      <c r="A5" s="5" t="n">
        <v>11</v>
      </c>
      <c r="B5" s="9" t="inlineStr">
        <is>
          <t>Nygaardians</t>
        </is>
      </c>
      <c r="C5" s="9" t="inlineStr">
        <is>
          <t>JMoney</t>
        </is>
      </c>
      <c r="D5" s="15" t="n">
        <v>3</v>
      </c>
      <c r="E5" s="11" t="n"/>
      <c r="F5" s="15" t="n"/>
      <c r="H5" s="5" t="n"/>
      <c r="I5" s="9" t="n"/>
      <c r="J5" s="15" t="n"/>
      <c r="K5" s="9" t="n"/>
      <c r="L5" s="15" t="n"/>
    </row>
    <row r="6">
      <c r="A6" s="5" t="n">
        <v>8</v>
      </c>
      <c r="B6" s="9" t="inlineStr">
        <is>
          <t>Brockasaurus</t>
        </is>
      </c>
      <c r="C6" s="9" t="inlineStr">
        <is>
          <t>Minor Legalities</t>
        </is>
      </c>
      <c r="D6" s="15" t="n">
        <v>4</v>
      </c>
      <c r="E6" s="11" t="n"/>
      <c r="F6" s="15" t="n"/>
      <c r="H6" s="5" t="n"/>
      <c r="I6" s="9" t="n"/>
      <c r="J6" s="15" t="n"/>
      <c r="K6" s="9" t="n"/>
      <c r="L6" s="15" t="n"/>
    </row>
    <row r="7">
      <c r="A7" s="5" t="n">
        <v>10</v>
      </c>
      <c r="B7" s="9" t="inlineStr">
        <is>
          <t>Cliff Lee Was Here</t>
        </is>
      </c>
      <c r="C7" s="9" t="inlineStr">
        <is>
          <t>Cliff Lee Was Here</t>
        </is>
      </c>
      <c r="D7" s="15" t="n">
        <v>5</v>
      </c>
      <c r="E7" s="11" t="n"/>
      <c r="F7" s="15" t="n"/>
      <c r="H7" s="5" t="n"/>
      <c r="I7" s="9" t="n"/>
      <c r="J7" s="15" t="n"/>
      <c r="K7" s="9" t="n"/>
      <c r="L7" s="15" t="n"/>
    </row>
    <row r="8">
      <c r="A8" s="5" t="n">
        <v>12</v>
      </c>
      <c r="B8" s="9" t="inlineStr">
        <is>
          <t>Winning DeLautery</t>
        </is>
      </c>
      <c r="C8" s="9" t="inlineStr">
        <is>
          <t>Winning DeLautery</t>
        </is>
      </c>
      <c r="D8" s="15" t="n">
        <v>6</v>
      </c>
      <c r="E8" s="11" t="n"/>
      <c r="F8" s="15" t="n"/>
      <c r="H8" s="5" t="n"/>
      <c r="I8" s="9" t="n"/>
      <c r="J8" s="15" t="n"/>
      <c r="K8" s="9" t="n"/>
      <c r="L8" s="15" t="n"/>
    </row>
    <row r="9">
      <c r="A9" s="5" t="n">
        <v>13</v>
      </c>
      <c r="B9" s="9" t="inlineStr">
        <is>
          <t>Becker's Wreckers</t>
        </is>
      </c>
      <c r="C9" s="9" t="inlineStr">
        <is>
          <t>Becker's Wreckers</t>
        </is>
      </c>
      <c r="D9" s="15" t="n">
        <v>7</v>
      </c>
      <c r="E9" s="11" t="n"/>
      <c r="F9" s="15" t="n"/>
      <c r="H9" s="5" t="n"/>
      <c r="I9" s="9" t="n"/>
      <c r="J9" s="15" t="n"/>
      <c r="K9" s="9" t="n"/>
      <c r="L9" s="15" t="n"/>
    </row>
    <row r="10">
      <c r="A10" s="5" t="n">
        <v>5</v>
      </c>
      <c r="B10" s="9" t="inlineStr">
        <is>
          <t>Tradezilla</t>
        </is>
      </c>
      <c r="C10" s="9" t="inlineStr">
        <is>
          <t>Cliff Lee Was Here</t>
        </is>
      </c>
      <c r="D10" s="15" t="n">
        <v>8</v>
      </c>
      <c r="E10" s="11" t="n"/>
      <c r="F10" s="17" t="n"/>
      <c r="H10" s="5" t="n"/>
      <c r="I10" s="9" t="n"/>
      <c r="J10" s="15" t="n"/>
      <c r="K10" s="9" t="n"/>
      <c r="L10" s="18" t="n"/>
    </row>
    <row r="11">
      <c r="A11" s="5" t="n">
        <v>4</v>
      </c>
      <c r="B11" s="9" t="inlineStr">
        <is>
          <t>DAWSYN</t>
        </is>
      </c>
      <c r="C11" s="9" t="inlineStr">
        <is>
          <t>Minor Legalities</t>
        </is>
      </c>
      <c r="D11" s="15" t="n">
        <v>9</v>
      </c>
      <c r="E11" s="11" t="n"/>
      <c r="F11" s="15" t="n"/>
      <c r="H11" s="5" t="n"/>
      <c r="I11" s="9" t="n"/>
      <c r="J11" s="15" t="n"/>
      <c r="K11" s="9" t="n"/>
      <c r="L11" s="15" t="n"/>
    </row>
    <row r="12">
      <c r="A12" s="5" t="n">
        <v>6</v>
      </c>
      <c r="B12" s="9" t="inlineStr">
        <is>
          <t>Dumpster Fire</t>
        </is>
      </c>
      <c r="C12" s="9" t="inlineStr">
        <is>
          <t>Dumpster Fire</t>
        </is>
      </c>
      <c r="D12" s="15" t="n">
        <v>10</v>
      </c>
      <c r="E12" s="11" t="n"/>
      <c r="F12" s="15" t="n"/>
      <c r="H12" s="5" t="n"/>
      <c r="I12" s="9" t="n"/>
      <c r="J12" s="15" t="n"/>
      <c r="K12" s="9" t="n"/>
      <c r="L12" s="15" t="n"/>
    </row>
    <row r="13">
      <c r="A13" s="5" t="n">
        <v>14</v>
      </c>
      <c r="B13" s="9" t="inlineStr">
        <is>
          <t>Minor Legalities</t>
        </is>
      </c>
      <c r="C13" s="9" t="inlineStr">
        <is>
          <t>Minor Legalities</t>
        </is>
      </c>
      <c r="D13" s="15" t="n">
        <v>11</v>
      </c>
      <c r="E13" s="11" t="n"/>
      <c r="F13" s="17" t="n"/>
      <c r="H13" s="5" t="n"/>
      <c r="I13" s="9" t="n"/>
      <c r="J13" s="15" t="n"/>
      <c r="K13" s="9" t="n"/>
      <c r="L13" s="18" t="n"/>
    </row>
    <row r="14">
      <c r="A14" s="5" t="n">
        <v>3</v>
      </c>
      <c r="B14" s="9" t="inlineStr">
        <is>
          <t>Metropolitans</t>
        </is>
      </c>
      <c r="C14" s="9" t="inlineStr">
        <is>
          <t>DAWSYN</t>
        </is>
      </c>
      <c r="D14" s="15" t="n">
        <v>12</v>
      </c>
      <c r="E14" s="11" t="n"/>
      <c r="F14" s="15" t="n"/>
      <c r="H14" s="5" t="n"/>
      <c r="I14" s="9" t="n"/>
      <c r="J14" s="15" t="n"/>
      <c r="K14" s="9" t="n"/>
      <c r="L14" s="15" t="n"/>
    </row>
    <row r="15">
      <c r="A15" s="5" t="n">
        <v>2</v>
      </c>
      <c r="B15" s="9" t="inlineStr">
        <is>
          <t>Shag Dawgs</t>
        </is>
      </c>
      <c r="C15" s="9" t="inlineStr">
        <is>
          <t>DAWSYN</t>
        </is>
      </c>
      <c r="D15" s="15" t="n">
        <v>13</v>
      </c>
      <c r="E15" s="11" t="n"/>
      <c r="F15" s="15" t="n"/>
      <c r="H15" s="5" t="n"/>
      <c r="I15" s="9" t="n"/>
      <c r="J15" s="15" t="n"/>
      <c r="K15" s="9" t="n"/>
      <c r="L15" s="15" t="n"/>
    </row>
    <row r="16">
      <c r="A16" s="5" t="n">
        <v>1</v>
      </c>
      <c r="B16" s="9" t="inlineStr">
        <is>
          <t>Stat Sandwich</t>
        </is>
      </c>
      <c r="C16" s="9" t="inlineStr">
        <is>
          <t>JMoney</t>
        </is>
      </c>
      <c r="D16" s="15" t="n">
        <v>14</v>
      </c>
      <c r="E16" s="11" t="n"/>
      <c r="F16" s="17" t="n"/>
      <c r="H16" s="5" t="n"/>
      <c r="I16" s="9" t="n"/>
      <c r="J16" s="15" t="n"/>
      <c r="K16" s="9" t="n"/>
      <c r="L16" s="18" t="n"/>
    </row>
    <row r="17">
      <c r="A17" s="5" t="n">
        <v>7</v>
      </c>
      <c r="B17" s="9" t="inlineStr">
        <is>
          <t>Sabermutrics</t>
        </is>
      </c>
      <c r="C17" s="9" t="inlineStr">
        <is>
          <t>Brockasaurus</t>
        </is>
      </c>
      <c r="D17" s="15" t="n">
        <v>15</v>
      </c>
      <c r="E17" s="11" t="n"/>
      <c r="F17" s="15" t="n"/>
      <c r="H17" s="5" t="n"/>
      <c r="I17" s="9" t="n"/>
      <c r="J17" s="15" t="n"/>
      <c r="K17" s="9" t="n"/>
      <c r="L17" s="15" t="n"/>
    </row>
    <row r="18">
      <c r="A18" s="5" t="n">
        <v>9</v>
      </c>
      <c r="B18" s="9" t="inlineStr">
        <is>
          <t>JMoney</t>
        </is>
      </c>
      <c r="C18" s="9" t="inlineStr">
        <is>
          <t>Cliff Lee Was Here</t>
        </is>
      </c>
      <c r="D18" s="15" t="n">
        <v>16</v>
      </c>
      <c r="E18" s="11" t="n"/>
      <c r="F18" s="15" t="n"/>
      <c r="H18" s="5" t="n"/>
      <c r="I18" s="9" t="n"/>
      <c r="J18" s="15" t="n"/>
      <c r="K18" s="9" t="n"/>
      <c r="L18" s="15" t="n"/>
    </row>
    <row r="19">
      <c r="A19" s="5" t="n">
        <v>11</v>
      </c>
      <c r="B19" s="9" t="inlineStr">
        <is>
          <t>Nygaardians</t>
        </is>
      </c>
      <c r="C19" s="9" t="inlineStr">
        <is>
          <t>Nygaardians</t>
        </is>
      </c>
      <c r="D19" s="15" t="n">
        <v>17</v>
      </c>
      <c r="E19" s="11" t="n"/>
      <c r="F19" s="15" t="n"/>
      <c r="H19" s="5" t="n"/>
      <c r="I19" s="9" t="n"/>
      <c r="J19" s="15" t="n"/>
      <c r="K19" s="9" t="n"/>
      <c r="L19" s="15" t="n"/>
    </row>
    <row r="20">
      <c r="A20" s="5" t="n">
        <v>8</v>
      </c>
      <c r="B20" s="9" t="inlineStr">
        <is>
          <t>Brockasaurus</t>
        </is>
      </c>
      <c r="C20" s="9" t="inlineStr">
        <is>
          <t>Nygaardians</t>
        </is>
      </c>
      <c r="D20" s="15" t="n">
        <v>18</v>
      </c>
      <c r="E20" s="11" t="n"/>
      <c r="F20" s="15" t="n"/>
      <c r="H20" s="5" t="n"/>
      <c r="I20" s="9" t="n"/>
      <c r="J20" s="15" t="n"/>
      <c r="K20" s="9" t="n"/>
      <c r="L20" s="15" t="n"/>
    </row>
    <row r="21" ht="15.75" customHeight="1" s="26">
      <c r="A21" s="5" t="n">
        <v>10</v>
      </c>
      <c r="B21" s="9" t="inlineStr">
        <is>
          <t>Cliff Lee Was Here</t>
        </is>
      </c>
      <c r="C21" s="9" t="inlineStr">
        <is>
          <t>Cliff Lee Was Here</t>
        </is>
      </c>
      <c r="D21" s="15" t="n">
        <v>19</v>
      </c>
      <c r="E21" s="11" t="n"/>
      <c r="F21" s="15" t="n"/>
      <c r="H21" s="5" t="n"/>
      <c r="I21" s="9" t="n"/>
      <c r="J21" s="15" t="n"/>
      <c r="K21" s="9" t="n"/>
      <c r="L21" s="15" t="n"/>
    </row>
    <row r="22" ht="15.75" customHeight="1" s="26">
      <c r="A22" s="5" t="n">
        <v>12</v>
      </c>
      <c r="B22" s="9" t="inlineStr">
        <is>
          <t>Winning DeLautery</t>
        </is>
      </c>
      <c r="C22" s="9" t="inlineStr">
        <is>
          <t>Winning DeLautery</t>
        </is>
      </c>
      <c r="D22" s="15" t="n">
        <v>20</v>
      </c>
      <c r="E22" s="11" t="n"/>
      <c r="F22" s="15" t="n"/>
      <c r="H22" s="5" t="n"/>
      <c r="I22" s="9" t="n"/>
      <c r="J22" s="15" t="n"/>
      <c r="K22" s="9" t="n"/>
      <c r="L22" s="15" t="n"/>
    </row>
    <row r="23" ht="15.75" customHeight="1" s="26">
      <c r="A23" s="5" t="n">
        <v>13</v>
      </c>
      <c r="B23" s="9" t="inlineStr">
        <is>
          <t>Becker's Wreckers</t>
        </is>
      </c>
      <c r="C23" s="9" t="inlineStr">
        <is>
          <t>Becker's Wreckers</t>
        </is>
      </c>
      <c r="D23" s="15" t="n">
        <v>21</v>
      </c>
      <c r="E23" s="11" t="n"/>
      <c r="F23" s="15" t="n"/>
      <c r="H23" s="5" t="n"/>
      <c r="I23" s="9" t="n"/>
      <c r="J23" s="15" t="n"/>
      <c r="K23" s="9" t="n"/>
      <c r="L23" s="15" t="n"/>
    </row>
    <row r="24" ht="15.75" customHeight="1" s="26">
      <c r="A24" s="5" t="n">
        <v>5</v>
      </c>
      <c r="B24" s="9" t="inlineStr">
        <is>
          <t>Tradezilla</t>
        </is>
      </c>
      <c r="C24" s="9" t="inlineStr">
        <is>
          <t>Winning DeLautery</t>
        </is>
      </c>
      <c r="D24" s="15" t="n">
        <v>22</v>
      </c>
      <c r="E24" s="11" t="n"/>
      <c r="F24" s="15" t="n"/>
      <c r="H24" s="5" t="n"/>
      <c r="I24" s="9" t="n"/>
      <c r="J24" s="15" t="n"/>
      <c r="K24" s="9" t="n"/>
      <c r="L24" s="15" t="n"/>
    </row>
    <row r="25" ht="15.75" customHeight="1" s="26">
      <c r="A25" s="5" t="n">
        <v>4</v>
      </c>
      <c r="B25" s="9" t="inlineStr">
        <is>
          <t>DAWSYN</t>
        </is>
      </c>
      <c r="C25" s="9" t="inlineStr">
        <is>
          <t>Minor Legalities</t>
        </is>
      </c>
      <c r="D25" s="15" t="n">
        <v>23</v>
      </c>
      <c r="E25" s="11" t="n"/>
      <c r="F25" s="15" t="n"/>
      <c r="H25" s="5" t="n"/>
      <c r="I25" s="9" t="n"/>
      <c r="J25" s="15" t="n"/>
      <c r="K25" s="9" t="n"/>
      <c r="L25" s="15" t="n"/>
    </row>
    <row r="26" ht="15.75" customHeight="1" s="26">
      <c r="A26" s="5" t="n">
        <v>6</v>
      </c>
      <c r="B26" s="9" t="inlineStr">
        <is>
          <t>Dumpster Fire</t>
        </is>
      </c>
      <c r="C26" s="9" t="inlineStr">
        <is>
          <t>Minor Legalities</t>
        </is>
      </c>
      <c r="D26" s="15" t="n">
        <v>24</v>
      </c>
      <c r="E26" s="11" t="n"/>
      <c r="F26" s="15" t="n"/>
      <c r="H26" s="5" t="n"/>
      <c r="I26" s="9" t="n"/>
      <c r="J26" s="15" t="n"/>
      <c r="K26" s="9" t="n"/>
      <c r="L26" s="15" t="n"/>
    </row>
    <row r="27" ht="15.75" customHeight="1" s="26">
      <c r="A27" s="5" t="n">
        <v>14</v>
      </c>
      <c r="B27" s="9" t="inlineStr">
        <is>
          <t>Minor Legalities</t>
        </is>
      </c>
      <c r="C27" s="9" t="inlineStr">
        <is>
          <t>Minor Legalities</t>
        </is>
      </c>
      <c r="D27" s="15" t="n">
        <v>25</v>
      </c>
      <c r="E27" s="11" t="n"/>
      <c r="F27" s="15" t="n"/>
      <c r="H27" s="5" t="n"/>
      <c r="I27" s="9" t="n"/>
      <c r="J27" s="15" t="n"/>
      <c r="K27" s="9" t="n"/>
      <c r="L27" s="15" t="n"/>
    </row>
    <row r="28" ht="15.75" customHeight="1" s="26">
      <c r="A28" s="5" t="n">
        <v>3</v>
      </c>
      <c r="B28" s="9" t="inlineStr">
        <is>
          <t>Metropolitans</t>
        </is>
      </c>
      <c r="C28" s="9" t="inlineStr">
        <is>
          <t>Minor Legalities</t>
        </is>
      </c>
      <c r="D28" s="15" t="n">
        <v>26</v>
      </c>
      <c r="E28" s="11" t="n"/>
      <c r="F28" s="15" t="n"/>
      <c r="H28" s="5" t="n"/>
      <c r="I28" s="9" t="n"/>
      <c r="J28" s="15" t="n"/>
      <c r="K28" s="9" t="n"/>
      <c r="L28" s="15" t="n"/>
    </row>
    <row r="29" ht="15.75" customHeight="1" s="26">
      <c r="A29" s="5" t="n">
        <v>2</v>
      </c>
      <c r="B29" s="9" t="inlineStr">
        <is>
          <t>Shag Dawgs</t>
        </is>
      </c>
      <c r="C29" s="9" t="inlineStr">
        <is>
          <t>Minor Legalities</t>
        </is>
      </c>
      <c r="D29" s="15" t="n">
        <v>27</v>
      </c>
      <c r="E29" s="11" t="n"/>
      <c r="F29" s="15" t="n"/>
      <c r="H29" s="5" t="n"/>
      <c r="I29" s="9" t="n"/>
      <c r="J29" s="15" t="n"/>
      <c r="K29" s="9" t="n"/>
      <c r="L29" s="15" t="n"/>
    </row>
    <row r="30" ht="15.75" customHeight="1" s="26">
      <c r="A30" s="5" t="n">
        <v>1</v>
      </c>
      <c r="B30" s="9" t="inlineStr">
        <is>
          <t>Stat Sandwich</t>
        </is>
      </c>
      <c r="C30" s="9" t="inlineStr">
        <is>
          <t>Minor Legalities</t>
        </is>
      </c>
      <c r="D30" s="15" t="n">
        <v>28</v>
      </c>
      <c r="E30" s="11" t="n"/>
      <c r="F30" s="15" t="n"/>
      <c r="H30" s="5" t="n"/>
      <c r="I30" s="9" t="n"/>
      <c r="J30" s="15" t="n"/>
      <c r="K30" s="9" t="n"/>
      <c r="L30" s="15" t="n"/>
    </row>
    <row r="31" ht="15.75" customHeight="1" s="26">
      <c r="D31" s="27" t="n"/>
    </row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03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9.43" customWidth="1" style="26" min="2" max="2"/>
    <col width="11.14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CONCATENATE("Alan Campbell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1B,CI</t>
        </is>
      </c>
      <c r="C3" s="38" t="n"/>
      <c r="D3" s="38" t="n"/>
      <c r="E3" s="38" t="n"/>
      <c r="G3" s="54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45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</t>
        </is>
      </c>
      <c r="C4" s="38" t="n"/>
      <c r="D4" s="38" t="n"/>
      <c r="E4" s="38" t="n"/>
      <c r="H4" s="702" t="n"/>
      <c r="K4" s="619" t="n"/>
      <c r="L4" s="29" t="n"/>
      <c r="M4" s="759" t="n"/>
      <c r="N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</t>
        </is>
      </c>
      <c r="C5" s="38" t="n"/>
      <c r="D5" s="38" t="n"/>
      <c r="E5" s="38" t="n"/>
      <c r="G5" s="54" t="n"/>
      <c r="H5" s="55" t="n"/>
      <c r="K5" s="801" t="n"/>
      <c r="L5" s="29" t="n"/>
      <c r="M5" s="57" t="n"/>
      <c r="N5" s="54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2B,3B,CI,MI,OF</t>
        </is>
      </c>
      <c r="C6" s="38" t="n"/>
      <c r="D6" s="38" t="n"/>
      <c r="E6" s="38" t="n"/>
      <c r="G6" s="67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72" t="inlineStr">
        <is>
          <t>Adley Rutschman</t>
        </is>
      </c>
      <c r="P6" s="523" t="n"/>
      <c r="Q6" s="186" t="n">
        <v>5</v>
      </c>
      <c r="R6" s="75" t="n"/>
      <c r="S6" s="188" t="n">
        <v>2023</v>
      </c>
      <c r="T6" s="77" t="n"/>
      <c r="U6" s="803" t="n">
        <v>7</v>
      </c>
      <c r="V6" s="79" t="n"/>
      <c r="W6" s="804">
        <f>Y6-$B$1</f>
        <v/>
      </c>
      <c r="X6" s="8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98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2B,3B,SS,CI,MI</t>
        </is>
      </c>
      <c r="C7" s="38" t="n"/>
      <c r="D7" s="38" t="n"/>
      <c r="E7" s="38" t="n"/>
      <c r="G7" s="67" t="n"/>
      <c r="H7" s="99" t="n"/>
      <c r="I7" s="100" t="n"/>
      <c r="J7" s="100" t="n"/>
      <c r="K7" s="102" t="n"/>
      <c r="L7" s="29" t="n"/>
      <c r="M7" s="702" t="n"/>
      <c r="N7" s="71" t="n"/>
      <c r="P7" s="523" t="n"/>
      <c r="R7" s="75" t="n"/>
      <c r="T7" s="77" t="n"/>
      <c r="U7" s="771" t="n"/>
      <c r="V7" s="79" t="n"/>
      <c r="W7" s="771" t="n"/>
      <c r="X7" s="82" t="n"/>
      <c r="Z7" s="622" t="n"/>
      <c r="AA7" s="619" t="n"/>
      <c r="AB7" s="98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3B,CI</t>
        </is>
      </c>
      <c r="C8" s="110" t="n"/>
      <c r="D8" s="38" t="n"/>
      <c r="E8" s="38" t="n"/>
      <c r="G8" s="67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523" t="n"/>
      <c r="P8" s="523" t="n"/>
      <c r="Q8" s="75" t="n"/>
      <c r="R8" s="75" t="n"/>
      <c r="S8" s="523" t="n"/>
      <c r="T8" s="523" t="n"/>
      <c r="U8" s="121" t="n"/>
      <c r="V8" s="616" t="n"/>
      <c r="W8" s="124" t="n"/>
      <c r="X8" s="622" t="n"/>
      <c r="Y8" s="622" t="n"/>
      <c r="Z8" s="622" t="n"/>
      <c r="AA8" s="125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3B,CI</t>
        </is>
      </c>
      <c r="C9" s="38" t="n"/>
      <c r="D9" s="38" t="n"/>
      <c r="E9" s="38" t="n"/>
      <c r="G9" s="67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28" t="inlineStr">
        <is>
          <t>Orion Kerkering</t>
        </is>
      </c>
      <c r="P9" s="523" t="n"/>
      <c r="Q9" s="186" t="n">
        <v>0</v>
      </c>
      <c r="R9" s="75" t="n"/>
      <c r="S9" s="188" t="n">
        <v>2024</v>
      </c>
      <c r="T9" s="77" t="n"/>
      <c r="U9" s="803" t="n">
        <v>2</v>
      </c>
      <c r="V9" s="79" t="n"/>
      <c r="W9" s="807">
        <f>Y9-$B$1</f>
        <v/>
      </c>
      <c r="X9" s="8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98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C</t>
        </is>
      </c>
      <c r="C10" s="38" t="n"/>
      <c r="D10" s="38" t="n"/>
      <c r="E10" s="38" t="n"/>
      <c r="G10" s="67" t="n"/>
      <c r="H10" s="755" t="n"/>
      <c r="I10" s="759" t="n"/>
      <c r="J10" s="759" t="n"/>
      <c r="K10" s="793" t="n"/>
      <c r="L10" s="29" t="n"/>
      <c r="M10" s="702" t="n"/>
      <c r="N10" s="71" t="n"/>
      <c r="P10" s="523" t="n"/>
      <c r="R10" s="75" t="n"/>
      <c r="T10" s="77" t="n"/>
      <c r="U10" s="771" t="n"/>
      <c r="V10" s="79" t="n"/>
      <c r="W10" s="771" t="n"/>
      <c r="X10" s="82" t="n"/>
      <c r="Z10" s="622" t="n"/>
      <c r="AA10" s="619" t="n"/>
      <c r="AB10" s="98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C</t>
        </is>
      </c>
      <c r="C11" s="38" t="n"/>
      <c r="D11" s="38" t="n"/>
      <c r="E11" s="38" t="n"/>
      <c r="G11" s="67" t="n"/>
      <c r="H11" s="136" t="n"/>
      <c r="I11" s="136" t="n"/>
      <c r="J11" s="136" t="n"/>
      <c r="K11" s="137" t="n"/>
      <c r="L11" s="29" t="n"/>
      <c r="M11" s="119" t="n"/>
      <c r="N11" s="71" t="n"/>
      <c r="O11" s="523" t="n"/>
      <c r="P11" s="523" t="n"/>
      <c r="Q11" s="523" t="n"/>
      <c r="R11" s="523" t="n"/>
      <c r="S11" s="523" t="n"/>
      <c r="T11" s="523" t="n"/>
      <c r="U11" s="138" t="n"/>
      <c r="V11" s="616" t="n"/>
      <c r="W11" s="124" t="n"/>
      <c r="X11" s="139" t="n"/>
      <c r="Y11" s="141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C</t>
        </is>
      </c>
      <c r="C12" s="38" t="n"/>
      <c r="D12" s="38" t="n"/>
      <c r="E12" s="38" t="n"/>
      <c r="G12" s="67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72" t="inlineStr">
        <is>
          <t>Brent Rooker</t>
        </is>
      </c>
      <c r="P12" s="523" t="n"/>
      <c r="Q12" s="186" t="n">
        <v>2</v>
      </c>
      <c r="R12" s="75" t="n"/>
      <c r="S12" s="188" t="n">
        <v>2024</v>
      </c>
      <c r="T12" s="77" t="n"/>
      <c r="U12" s="803" t="n">
        <v>3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98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C</t>
        </is>
      </c>
      <c r="C13" s="38" t="n"/>
      <c r="D13" s="38" t="n"/>
      <c r="E13" s="38" t="n"/>
      <c r="G13" s="67" t="n"/>
      <c r="H13" s="702" t="n"/>
      <c r="K13" s="619" t="n"/>
      <c r="L13" s="29" t="n"/>
      <c r="M13" s="702" t="n"/>
      <c r="N13" s="71" t="n"/>
      <c r="P13" s="523" t="n"/>
      <c r="R13" s="75" t="n"/>
      <c r="T13" s="77" t="n"/>
      <c r="U13" s="771" t="n"/>
      <c r="V13" s="79" t="n"/>
      <c r="W13" s="771" t="n"/>
      <c r="X13" s="82" t="n"/>
      <c r="Z13" s="622" t="n"/>
      <c r="AA13" s="619" t="n"/>
      <c r="AB13" s="98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G14" s="67" t="n"/>
      <c r="H14" s="151" t="inlineStr">
        <is>
          <t>Bad Contracts</t>
        </is>
      </c>
      <c r="K14" s="809">
        <f>SUM(AA57,AA67,AA74,AA81)</f>
        <v/>
      </c>
      <c r="L14" s="29" t="n"/>
      <c r="M14" s="119" t="n"/>
      <c r="N14" s="71" t="n"/>
      <c r="O14" s="523" t="n"/>
      <c r="P14" s="523" t="n"/>
      <c r="Q14" s="75" t="n"/>
      <c r="R14" s="75" t="n"/>
      <c r="S14" s="523" t="n"/>
      <c r="T14" s="523" t="n"/>
      <c r="U14" s="138" t="n"/>
      <c r="V14" s="616" t="n"/>
      <c r="W14" s="124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G15" s="67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72" t="inlineStr">
        <is>
          <t>Elly de la Cruz</t>
        </is>
      </c>
      <c r="P15" s="523" t="n"/>
      <c r="Q15" s="186" t="n">
        <v>4</v>
      </c>
      <c r="R15" s="75" t="n"/>
      <c r="S15" s="188" t="n">
        <v>2024</v>
      </c>
      <c r="T15" s="77" t="n"/>
      <c r="U15" s="803" t="n">
        <v>7</v>
      </c>
      <c r="V15" s="79" t="n"/>
      <c r="W15" s="807">
        <f>Y15-$B$1</f>
        <v/>
      </c>
      <c r="X15" s="82" t="n"/>
      <c r="Y15" s="86">
        <f>S15+U15</f>
        <v/>
      </c>
      <c r="Z15" s="622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G16" s="67" t="n"/>
      <c r="H16" s="161" t="inlineStr">
        <is>
          <t>Farm Contracts</t>
        </is>
      </c>
      <c r="K16" s="809">
        <f>SUM(F38:F59)</f>
        <v/>
      </c>
      <c r="L16" s="29" t="n"/>
      <c r="M16" s="702" t="n"/>
      <c r="N16" s="71" t="n"/>
      <c r="P16" s="523" t="n"/>
      <c r="R16" s="75" t="n"/>
      <c r="T16" s="77" t="n"/>
      <c r="U16" s="771" t="n"/>
      <c r="V16" s="79" t="n"/>
      <c r="W16" s="771" t="n"/>
      <c r="X16" s="82" t="n"/>
      <c r="Z16" s="622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G17" s="67" t="n"/>
      <c r="H17" s="702" t="n"/>
      <c r="K17" s="619" t="n"/>
      <c r="L17" s="29" t="n"/>
      <c r="M17" s="119" t="n"/>
      <c r="N17" s="71" t="n"/>
      <c r="O17" s="523" t="n"/>
      <c r="P17" s="523" t="n"/>
      <c r="Q17" s="75" t="n"/>
      <c r="R17" s="75" t="n"/>
      <c r="S17" s="523" t="n"/>
      <c r="T17" s="523" t="n"/>
      <c r="U17" s="121" t="n"/>
      <c r="V17" s="616" t="n"/>
      <c r="W17" s="124" t="n"/>
      <c r="X17" s="622" t="n"/>
      <c r="Y17" s="622" t="n"/>
      <c r="Z17" s="622" t="n"/>
      <c r="AA17" s="125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38" t="n"/>
      <c r="D18" s="38" t="n"/>
      <c r="E18" s="38" t="n"/>
      <c r="G18" s="67" t="n"/>
      <c r="H18" s="162">
        <f>CONCATENATE($B$1+1," Auction Budget acquired by trade (Offseason Only)")</f>
        <v/>
      </c>
      <c r="K18" s="809">
        <f>'Draft budget calc'!E2</f>
        <v/>
      </c>
      <c r="L18" s="29" t="n"/>
      <c r="M18" s="802" t="inlineStr">
        <is>
          <t>5th player contract --&gt;&gt;</t>
        </is>
      </c>
      <c r="N18" s="71" t="n"/>
      <c r="O18" s="72" t="n"/>
      <c r="P18" s="523" t="n"/>
      <c r="Q18" s="186" t="n"/>
      <c r="R18" s="75" t="n"/>
      <c r="S18" s="188" t="n"/>
      <c r="T18" s="77" t="n"/>
      <c r="U18" s="803" t="n"/>
      <c r="V18" s="79" t="n"/>
      <c r="W18" s="807">
        <f>Y18-$B$1</f>
        <v/>
      </c>
      <c r="X18" s="8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OF</t>
        </is>
      </c>
      <c r="C19" s="110" t="n"/>
      <c r="D19" s="38" t="n"/>
      <c r="E19" s="38" t="n"/>
      <c r="G19" s="67" t="n"/>
      <c r="H19" s="702" t="n"/>
      <c r="K19" s="619" t="n"/>
      <c r="L19" s="29" t="n"/>
      <c r="M19" s="702" t="n"/>
      <c r="N19" s="71" t="n"/>
      <c r="P19" s="523" t="n"/>
      <c r="R19" s="75" t="n"/>
      <c r="T19" s="77" t="n"/>
      <c r="U19" s="771" t="n"/>
      <c r="V19" s="79" t="n"/>
      <c r="W19" s="771" t="n"/>
      <c r="X19" s="8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OF</t>
        </is>
      </c>
      <c r="C20" s="110" t="n"/>
      <c r="D20" s="38" t="n"/>
      <c r="E20" s="38" t="n"/>
      <c r="G20" s="67" t="n"/>
      <c r="H20" s="702" t="n"/>
      <c r="K20" s="619" t="n"/>
      <c r="L20" s="29" t="n"/>
      <c r="M20" s="119" t="n"/>
      <c r="N20" s="71" t="n"/>
      <c r="O20" s="523" t="n"/>
      <c r="P20" s="523" t="n"/>
      <c r="Q20" s="523" t="n"/>
      <c r="R20" s="523" t="n"/>
      <c r="S20" s="523" t="n"/>
      <c r="T20" s="523" t="n"/>
      <c r="U20" s="121" t="n"/>
      <c r="V20" s="616" t="n"/>
      <c r="W20" s="124" t="n"/>
      <c r="X20" s="139" t="n"/>
      <c r="Y20" s="141" t="n"/>
      <c r="Z20" s="71" t="n"/>
      <c r="AA20" s="143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G21" s="67" t="n"/>
      <c r="H21" s="161" t="inlineStr">
        <is>
          <t>Min. IP Penalties</t>
        </is>
      </c>
      <c r="K21" s="810">
        <f>SUM(D69:E74)</f>
        <v/>
      </c>
      <c r="L21" s="29" t="n"/>
      <c r="M21" s="802" t="inlineStr">
        <is>
          <t>6th player contract --&gt;&gt;</t>
        </is>
      </c>
      <c r="N21" s="71" t="n"/>
      <c r="O21" s="527" t="n"/>
      <c r="P21" s="523" t="n"/>
      <c r="Q21" s="186" t="n"/>
      <c r="R21" s="75" t="n"/>
      <c r="S21" s="188" t="n"/>
      <c r="T21" s="77" t="n"/>
      <c r="U21" s="803" t="n"/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G22" s="67" t="n"/>
      <c r="H22" s="702" t="n"/>
      <c r="K22" s="619" t="n"/>
      <c r="L22" s="29" t="n"/>
      <c r="M22" s="702" t="n"/>
      <c r="N22" s="71" t="n"/>
      <c r="P22" s="523" t="n"/>
      <c r="R22" s="75" t="n"/>
      <c r="T22" s="77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G23" s="67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523" t="n"/>
      <c r="P23" s="523" t="n"/>
      <c r="Q23" s="75" t="n"/>
      <c r="R23" s="75" t="n"/>
      <c r="S23" s="523" t="n"/>
      <c r="T23" s="523" t="n"/>
      <c r="U23" s="121" t="n"/>
      <c r="V23" s="616" t="n"/>
      <c r="W23" s="124" t="n"/>
      <c r="X23" s="622" t="n"/>
      <c r="Y23" s="622" t="n"/>
      <c r="Z23" s="622" t="n"/>
      <c r="AA23" s="170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G24" s="67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128" t="n"/>
      <c r="P24" s="523" t="n"/>
      <c r="Q24" s="186" t="n"/>
      <c r="R24" s="75" t="n"/>
      <c r="S24" s="188" t="n"/>
      <c r="T24" s="77" t="n"/>
      <c r="U24" s="803" t="n"/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G25" s="67" t="n"/>
      <c r="H25" s="755" t="n"/>
      <c r="I25" s="759" t="n"/>
      <c r="J25" s="759" t="n"/>
      <c r="K25" s="793" t="n"/>
      <c r="L25" s="29" t="n"/>
      <c r="M25" s="702" t="n"/>
      <c r="N25" s="71" t="n"/>
      <c r="P25" s="523" t="n"/>
      <c r="R25" s="75" t="n"/>
      <c r="T25" s="77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G26" s="67" t="n"/>
      <c r="H26" s="622" t="n"/>
      <c r="I26" s="622" t="n"/>
      <c r="J26" s="622" t="n"/>
      <c r="K26" s="622" t="n"/>
      <c r="L26" s="29" t="n"/>
      <c r="M26" s="172" t="n"/>
      <c r="N26" s="622" t="n"/>
      <c r="O26" s="523" t="n"/>
      <c r="P26" s="523" t="n"/>
      <c r="Q26" s="523" t="n"/>
      <c r="R26" s="523" t="n"/>
      <c r="S26" s="523" t="n"/>
      <c r="T26" s="523" t="n"/>
      <c r="U26" s="121" t="n"/>
      <c r="V26" s="616" t="n"/>
      <c r="W26" s="124" t="n"/>
      <c r="X26" s="622" t="n"/>
      <c r="Y26" s="141" t="n"/>
      <c r="Z26" s="622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G27" s="67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527" t="n"/>
      <c r="P27" s="523" t="n"/>
      <c r="Q27" s="186" t="n"/>
      <c r="R27" s="75" t="n"/>
      <c r="S27" s="188" t="n"/>
      <c r="T27" s="77" t="n"/>
      <c r="U27" s="803" t="n"/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G28" s="67" t="n"/>
      <c r="H28" s="702" t="n"/>
      <c r="K28" s="619" t="n"/>
      <c r="L28" s="29" t="n"/>
      <c r="M28" s="702" t="n"/>
      <c r="N28" s="622" t="n"/>
      <c r="P28" s="523" t="n"/>
      <c r="R28" s="75" t="n"/>
      <c r="T28" s="77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G29" s="67" t="n"/>
      <c r="H29" s="702" t="n"/>
      <c r="K29" s="619" t="n"/>
      <c r="L29" s="29" t="n"/>
      <c r="M29" s="172" t="n"/>
      <c r="N29" s="622" t="n"/>
      <c r="O29" s="523" t="n"/>
      <c r="P29" s="523" t="n"/>
      <c r="Q29" s="523" t="n"/>
      <c r="R29" s="523" t="n"/>
      <c r="S29" s="523" t="n"/>
      <c r="T29" s="523" t="n"/>
      <c r="U29" s="121" t="n"/>
      <c r="V29" s="616" t="n"/>
      <c r="W29" s="124" t="n"/>
      <c r="X29" s="622" t="n"/>
      <c r="Y29" s="622" t="n"/>
      <c r="Z29" s="622" t="n"/>
      <c r="AA29" s="15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G30" s="67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128" t="n"/>
      <c r="P30" s="523" t="n"/>
      <c r="Q30" s="186" t="n"/>
      <c r="R30" s="75" t="n"/>
      <c r="S30" s="188" t="n"/>
      <c r="T30" s="77" t="n"/>
      <c r="U30" s="803" t="n"/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G31" s="67" t="n"/>
      <c r="H31" s="54" t="inlineStr">
        <is>
          <t>Roster Key</t>
        </is>
      </c>
      <c r="L31" s="29" t="n"/>
      <c r="M31" s="702" t="n"/>
      <c r="N31" s="71" t="n"/>
      <c r="P31" s="523" t="n"/>
      <c r="R31" s="75" t="n"/>
      <c r="T31" s="77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67" t="n"/>
      <c r="L32" s="29" t="n"/>
      <c r="M32" s="172" t="n"/>
      <c r="N32" s="622" t="n"/>
      <c r="O32" s="523" t="n"/>
      <c r="P32" s="523" t="n"/>
      <c r="Q32" s="75" t="n"/>
      <c r="R32" s="75" t="n"/>
      <c r="S32" s="523" t="n"/>
      <c r="T32" s="523" t="n"/>
      <c r="U32" s="121" t="n"/>
      <c r="V32" s="616" t="n"/>
      <c r="W32" s="124" t="n"/>
      <c r="X32" s="622" t="n"/>
      <c r="Y32" s="141" t="n"/>
      <c r="Z32" s="622" t="n"/>
      <c r="AA32" s="143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SS,MI</t>
        </is>
      </c>
      <c r="C33" s="38" t="n"/>
      <c r="D33" s="38" t="n"/>
      <c r="E33" s="38" t="n"/>
      <c r="G33" s="67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128" t="n"/>
      <c r="P33" s="523" t="n"/>
      <c r="Q33" s="186" t="n"/>
      <c r="R33" s="75" t="n"/>
      <c r="S33" s="188" t="n"/>
      <c r="T33" s="77" t="n"/>
      <c r="U33" s="803" t="n"/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SS,MI</t>
        </is>
      </c>
      <c r="C34" s="38" t="n"/>
      <c r="D34" s="38" t="n"/>
      <c r="E34" s="38" t="n"/>
      <c r="G34" s="67" t="n"/>
      <c r="H34" s="817">
        <f>CONCATENATE("Blue =  Free Agent - Not signable")</f>
        <v/>
      </c>
      <c r="K34" s="619" t="n"/>
      <c r="L34" s="29" t="n"/>
      <c r="M34" s="702" t="n"/>
      <c r="N34" s="622" t="n"/>
      <c r="P34" s="523" t="n"/>
      <c r="R34" s="75" t="n"/>
      <c r="T34" s="77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199" t="inlineStr">
        <is>
          <t>DL 3</t>
        </is>
      </c>
      <c r="C35" s="200" t="n"/>
      <c r="G35" s="67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206" t="n"/>
      <c r="P35" s="622" t="n"/>
      <c r="Q35" s="622" t="n"/>
      <c r="R35" s="622" t="n"/>
      <c r="S35" s="622" t="n"/>
      <c r="T35" s="622" t="n"/>
      <c r="U35" s="207" t="n"/>
      <c r="V35" s="622" t="n"/>
      <c r="W35" s="208" t="n"/>
      <c r="X35" s="622" t="n"/>
      <c r="Y35" s="622" t="n"/>
      <c r="Z35" s="622" t="n"/>
      <c r="AA35" s="125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1.25" customHeight="1" s="26">
      <c r="A36" s="622" t="n"/>
      <c r="B36" s="199" t="inlineStr">
        <is>
          <t>DL 4</t>
        </is>
      </c>
      <c r="C36" s="200" t="n"/>
      <c r="F36" s="209" t="n"/>
      <c r="G36" s="67" t="n"/>
      <c r="H36" s="622" t="n"/>
      <c r="I36" s="622" t="n"/>
      <c r="J36" s="819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211" t="n"/>
      <c r="P36" s="212" t="n"/>
      <c r="Q36" s="471" t="n"/>
      <c r="R36" s="67" t="n"/>
      <c r="S36" s="458" t="n"/>
      <c r="T36" s="215" t="n"/>
      <c r="U36" s="820" t="n"/>
      <c r="V36" s="622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</row>
    <row r="37" ht="11.25" customHeight="1" s="26">
      <c r="A37" s="622" t="n"/>
      <c r="B37" s="199" t="inlineStr">
        <is>
          <t>DL 5</t>
        </is>
      </c>
      <c r="C37" s="200" t="n"/>
      <c r="F37" s="209" t="n"/>
      <c r="G37" s="822" t="inlineStr">
        <is>
          <t>Drafted</t>
        </is>
      </c>
      <c r="I37" s="220" t="inlineStr">
        <is>
          <t>MLB</t>
        </is>
      </c>
      <c r="K37" s="220" t="n"/>
      <c r="L37" s="29" t="n"/>
      <c r="M37" s="702" t="n"/>
      <c r="N37" s="71" t="n"/>
      <c r="P37" s="622" t="n"/>
      <c r="R37" s="67" t="n"/>
      <c r="T37" s="215" t="n"/>
      <c r="U37" s="823" t="n"/>
      <c r="V37" s="622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</row>
    <row r="38" ht="11.25" customHeight="1" s="26">
      <c r="A38" s="622" t="n"/>
      <c r="B38" s="222" t="inlineStr">
        <is>
          <t>Farm 1</t>
        </is>
      </c>
      <c r="C38" s="530" t="inlineStr">
        <is>
          <t>Heston Kjerstad</t>
        </is>
      </c>
      <c r="F38" s="244" t="n">
        <v>9</v>
      </c>
      <c r="G38" s="351" t="n">
        <v>2021</v>
      </c>
      <c r="I38" s="352" t="inlineStr">
        <is>
          <t>Yes</t>
        </is>
      </c>
      <c r="J38" s="229" t="n"/>
      <c r="K38" s="622" t="n"/>
      <c r="L38" s="29" t="n"/>
      <c r="M38" s="172" t="n"/>
      <c r="N38" s="622" t="n"/>
      <c r="O38" s="206" t="n"/>
      <c r="P38" s="622" t="n"/>
      <c r="Q38" s="622" t="n"/>
      <c r="R38" s="622" t="n"/>
      <c r="S38" s="622" t="n"/>
      <c r="T38" s="622" t="n"/>
      <c r="U38" s="230" t="n"/>
      <c r="V38" s="622" t="n"/>
      <c r="W38" s="622" t="n"/>
      <c r="X38" s="622" t="n"/>
      <c r="Y38" s="622" t="n"/>
      <c r="Z38" s="622" t="n"/>
      <c r="AA38" s="125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</row>
    <row r="39" ht="11.25" customHeight="1" s="26">
      <c r="A39" s="622" t="n"/>
      <c r="B39" s="231" t="inlineStr">
        <is>
          <t>Farm 2</t>
        </is>
      </c>
      <c r="C39" s="443" t="inlineStr">
        <is>
          <t>Andrew Painter</t>
        </is>
      </c>
      <c r="F39" s="309" t="n">
        <v>4</v>
      </c>
      <c r="G39" s="405" t="n">
        <v>2023</v>
      </c>
      <c r="I39" s="445" t="inlineStr">
        <is>
          <t>No</t>
        </is>
      </c>
      <c r="J39" s="299" t="n"/>
      <c r="K39" s="622" t="n"/>
      <c r="L39" s="29" t="n"/>
      <c r="M39" s="824" t="inlineStr">
        <is>
          <t>12th player contract --&gt;&gt;</t>
        </is>
      </c>
      <c r="N39" s="71" t="n"/>
      <c r="O39" s="211" t="n"/>
      <c r="P39" s="622" t="n"/>
      <c r="Q39" s="471" t="n"/>
      <c r="R39" s="67" t="n"/>
      <c r="S39" s="458" t="n"/>
      <c r="T39" s="215" t="n"/>
      <c r="U39" s="820" t="n"/>
      <c r="V39" s="622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528" t="inlineStr">
        <is>
          <t>Samuel Basallo</t>
        </is>
      </c>
      <c r="F40" s="692" t="n">
        <v>4</v>
      </c>
      <c r="G40" s="332" t="n">
        <v>2024</v>
      </c>
      <c r="I40" s="288" t="inlineStr">
        <is>
          <t>Yes</t>
        </is>
      </c>
      <c r="J40" s="242" t="n"/>
      <c r="K40" s="622" t="n"/>
      <c r="L40" s="29" t="n"/>
      <c r="M40" s="702" t="n"/>
      <c r="N40" s="71" t="n"/>
      <c r="P40" s="622" t="n"/>
      <c r="R40" s="67" t="n"/>
      <c r="T40" s="215" t="n"/>
      <c r="U40" s="823" t="n"/>
      <c r="V40" s="622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231" t="inlineStr">
        <is>
          <t>Farm 4</t>
        </is>
      </c>
      <c r="C41" s="530" t="inlineStr">
        <is>
          <t>Aidan Miller</t>
        </is>
      </c>
      <c r="F41" s="244" t="n">
        <v>2</v>
      </c>
      <c r="G41" s="351" t="n">
        <v>2024</v>
      </c>
      <c r="I41" s="352" t="inlineStr">
        <is>
          <t>No</t>
        </is>
      </c>
      <c r="J41" s="299" t="n"/>
      <c r="K41" s="622" t="n"/>
      <c r="L41" s="29" t="n"/>
      <c r="M41" s="172" t="n"/>
      <c r="N41" s="622" t="n"/>
      <c r="O41" s="685" t="n"/>
      <c r="P41" s="139" t="n"/>
      <c r="Q41" s="247" t="n"/>
      <c r="R41" s="67" t="n"/>
      <c r="S41" s="248" t="n"/>
      <c r="T41" s="215" t="n"/>
      <c r="U41" s="250" t="n"/>
      <c r="V41" s="139" t="n"/>
      <c r="W41" s="251" t="n"/>
      <c r="X41" s="139" t="n"/>
      <c r="Y41" s="141" t="n"/>
      <c r="Z41" s="71" t="n"/>
      <c r="AA41" s="143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231" t="inlineStr">
        <is>
          <t>Farm 5</t>
        </is>
      </c>
      <c r="C42" s="443" t="n"/>
      <c r="F42" s="309" t="n"/>
      <c r="G42" s="405" t="n"/>
      <c r="I42" s="445" t="n"/>
      <c r="J42" s="299" t="n"/>
      <c r="K42" s="622" t="n"/>
      <c r="L42" s="29" t="n"/>
      <c r="M42" s="824" t="inlineStr">
        <is>
          <t>13th player contract --&gt;&gt;</t>
        </is>
      </c>
      <c r="N42" s="622" t="n"/>
      <c r="O42" s="695" t="inlineStr">
        <is>
          <t> </t>
        </is>
      </c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530" t="n"/>
      <c r="F43" s="244" t="n"/>
      <c r="G43" s="351" t="n"/>
      <c r="I43" s="534" t="n"/>
      <c r="J43" s="229" t="n"/>
      <c r="K43" s="62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443" t="n"/>
      <c r="F44" s="309" t="n"/>
      <c r="G44" s="405" t="n"/>
      <c r="I44" s="445" t="n"/>
      <c r="J44" s="299" t="n"/>
      <c r="K44" s="622" t="n"/>
      <c r="L44" s="29" t="n"/>
      <c r="M44" s="172" t="n"/>
      <c r="N44" s="622" t="n"/>
      <c r="O44" s="622" t="n"/>
      <c r="P44" s="622" t="n"/>
      <c r="Q44" s="266" t="n"/>
      <c r="R44" s="266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70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</row>
    <row r="45" ht="11.25" customHeight="1" s="26">
      <c r="A45" s="622" t="n"/>
      <c r="B45" s="231" t="inlineStr">
        <is>
          <t>Farm 8</t>
        </is>
      </c>
      <c r="C45" s="443" t="n"/>
      <c r="F45" s="309" t="n"/>
      <c r="G45" s="405" t="n"/>
      <c r="I45" s="445" t="n"/>
      <c r="J45" s="299" t="n"/>
      <c r="K45" s="622" t="n"/>
      <c r="L45" s="29" t="n"/>
      <c r="M45" s="824" t="inlineStr">
        <is>
          <t>14th player contract --&gt;&gt;</t>
        </is>
      </c>
      <c r="N45" s="71" t="n"/>
      <c r="O45" s="695" t="inlineStr">
        <is>
          <t> </t>
        </is>
      </c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443" t="n"/>
      <c r="F46" s="309" t="n"/>
      <c r="G46" s="405" t="n"/>
      <c r="I46" s="445" t="n"/>
      <c r="J46" s="299" t="n"/>
      <c r="K46" s="62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443" t="n"/>
      <c r="F47" s="309" t="n"/>
      <c r="G47" s="405" t="n"/>
      <c r="I47" s="445" t="n"/>
      <c r="J47" s="299" t="n"/>
      <c r="K47" s="62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278" t="n"/>
      <c r="F48" s="367" t="n"/>
      <c r="G48" s="385" t="n"/>
      <c r="I48" s="386" t="n"/>
      <c r="J48" s="299" t="n"/>
      <c r="K48" s="622" t="n"/>
      <c r="L48" s="29" t="n"/>
      <c r="M48" s="824" t="inlineStr">
        <is>
          <t>15th player contract --&gt;&gt;</t>
        </is>
      </c>
      <c r="N48" s="622" t="n"/>
      <c r="O48" s="695" t="inlineStr">
        <is>
          <t> </t>
        </is>
      </c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</row>
    <row r="49" ht="11.25" customHeight="1" s="26">
      <c r="A49" s="622" t="n"/>
      <c r="B49" s="231" t="inlineStr">
        <is>
          <t>Farm 12</t>
        </is>
      </c>
      <c r="C49" s="443" t="n"/>
      <c r="F49" s="309" t="n"/>
      <c r="G49" s="405" t="n"/>
      <c r="I49" s="445" t="n"/>
      <c r="J49" s="299" t="n"/>
      <c r="K49" s="293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</row>
    <row r="50" ht="11.25" customHeight="1" s="26">
      <c r="A50" s="622" t="n"/>
      <c r="B50" s="231" t="inlineStr">
        <is>
          <t>Farm 13</t>
        </is>
      </c>
      <c r="C50" s="278" t="n"/>
      <c r="F50" s="367" t="n"/>
      <c r="G50" s="385" t="n"/>
      <c r="I50" s="386" t="n"/>
      <c r="J50" s="299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</row>
    <row r="51" ht="11.25" customHeight="1" s="26">
      <c r="A51" s="622" t="n"/>
      <c r="B51" s="231" t="inlineStr">
        <is>
          <t>Farm 14</t>
        </is>
      </c>
      <c r="C51" s="443" t="n"/>
      <c r="F51" s="309" t="n"/>
      <c r="G51" s="405" t="n"/>
      <c r="I51" s="445" t="n"/>
      <c r="J51" s="299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550" t="n"/>
      <c r="F52" s="367" t="n"/>
      <c r="G52" s="385" t="n"/>
      <c r="I52" s="386" t="n"/>
      <c r="J52" s="299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09" t="n"/>
      <c r="G53" s="405" t="n"/>
      <c r="I53" s="445" t="n"/>
      <c r="J53" s="242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</row>
    <row r="54" ht="11.25" customHeight="1" s="26">
      <c r="A54" s="622" t="n"/>
      <c r="B54" s="231" t="inlineStr">
        <is>
          <t>Farm 17</t>
        </is>
      </c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</row>
    <row r="55" ht="11.25" customHeight="1" s="26">
      <c r="A55" s="622" t="n"/>
      <c r="B55" s="231" t="inlineStr">
        <is>
          <t>Farm 18</t>
        </is>
      </c>
      <c r="J55" s="446" t="n"/>
      <c r="K55" s="293" t="n"/>
      <c r="L55" s="29" t="n"/>
      <c r="M55" s="830" t="inlineStr">
        <is>
          <t>1st dropped contract</t>
        </is>
      </c>
      <c r="N55" s="321" t="n"/>
      <c r="O55" s="831" t="inlineStr">
        <is>
          <t>Nolan Jones</t>
        </is>
      </c>
      <c r="P55" s="323" t="n"/>
      <c r="Q55" s="832" t="n">
        <v>2</v>
      </c>
      <c r="R55" s="325" t="n"/>
      <c r="S55" s="833" t="n">
        <v>2023</v>
      </c>
      <c r="T55" s="327" t="n"/>
      <c r="U55" s="834" t="n">
        <v>3</v>
      </c>
      <c r="V55" s="323" t="n"/>
      <c r="W55" s="835">
        <f>Y55-$B$1</f>
        <v/>
      </c>
      <c r="X55" s="323" t="n"/>
      <c r="Y55" s="836">
        <f>S55+U55</f>
        <v/>
      </c>
      <c r="Z55" s="335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</row>
    <row r="56" ht="11.25" customHeight="1" s="26">
      <c r="A56" s="622" t="n"/>
      <c r="B56" s="231" t="inlineStr">
        <is>
          <t>Farm 19</t>
        </is>
      </c>
      <c r="J56" s="446" t="n"/>
      <c r="K56" s="293" t="n"/>
      <c r="L56" s="29" t="n"/>
      <c r="M56" s="702" t="n"/>
      <c r="N56" s="337" t="n"/>
      <c r="O56" s="779" t="n"/>
      <c r="P56" s="339" t="n"/>
      <c r="Q56" s="779" t="n"/>
      <c r="R56" s="340" t="n"/>
      <c r="S56" s="779" t="n"/>
      <c r="T56" s="341" t="n"/>
      <c r="U56" s="779" t="n"/>
      <c r="V56" s="339" t="n"/>
      <c r="W56" s="779" t="n"/>
      <c r="X56" s="339" t="n"/>
      <c r="Y56" s="779" t="n"/>
      <c r="Z56" s="342" t="n"/>
      <c r="AA56" s="619" t="n"/>
      <c r="AB56" s="62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</row>
    <row r="57" ht="11.25" customHeight="1" s="26">
      <c r="A57" s="622" t="n"/>
      <c r="B57" s="343" t="inlineStr">
        <is>
          <t>Farm 20</t>
        </is>
      </c>
      <c r="J57" s="446" t="n"/>
      <c r="K57" s="293" t="n"/>
      <c r="L57" s="622" t="n"/>
      <c r="M57" s="344" t="inlineStr">
        <is>
          <t>Year Dropped</t>
        </is>
      </c>
      <c r="N57" s="768" t="n"/>
      <c r="O57" s="363" t="n">
        <v>2025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</row>
    <row r="58" ht="11.25" customHeight="1" s="26">
      <c r="B58" s="355" t="inlineStr">
        <is>
          <t>Farm 21</t>
        </is>
      </c>
      <c r="C58" s="842" t="n"/>
      <c r="E58" s="619" t="n"/>
      <c r="F58" s="358" t="n"/>
      <c r="G58" s="370" t="n"/>
      <c r="I58" s="358" t="n"/>
      <c r="J58" s="360" t="n"/>
      <c r="K58" s="622" t="n"/>
      <c r="L58" s="622" t="n"/>
      <c r="M58" s="361" t="n"/>
      <c r="N58" s="361" t="n"/>
      <c r="O58" s="363" t="n"/>
      <c r="P58" s="843" t="n"/>
      <c r="AA58" s="619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B59" s="355" t="inlineStr">
        <is>
          <t>Farm 22</t>
        </is>
      </c>
      <c r="C59" s="844" t="n"/>
      <c r="E59" s="619" t="n"/>
      <c r="F59" s="366" t="n"/>
      <c r="G59" s="370" t="n"/>
      <c r="I59" s="366" t="n"/>
      <c r="J59" s="360" t="n"/>
      <c r="K59" s="622" t="n"/>
      <c r="L59" s="622" t="n"/>
      <c r="M59" s="361" t="n"/>
      <c r="N59" s="361" t="n"/>
      <c r="O59" s="363" t="n"/>
      <c r="P59" s="843" t="n"/>
      <c r="AA59" s="619" t="n"/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336" t="n"/>
      <c r="AK59" s="48" t="n"/>
      <c r="AL59" s="48" t="n"/>
      <c r="AM59" s="604" t="n"/>
      <c r="AN59" s="336" t="n"/>
      <c r="AO59" s="48" t="n"/>
      <c r="AP59" s="48" t="n"/>
      <c r="AQ59" s="604" t="n"/>
      <c r="AR59" s="336" t="n"/>
      <c r="AS59" s="48" t="n"/>
      <c r="AT59" s="48" t="n"/>
      <c r="AU59" s="312" t="n"/>
    </row>
    <row r="60" ht="11.25" customHeight="1" s="26">
      <c r="B60" s="368" t="n"/>
      <c r="C60" s="369" t="n"/>
      <c r="D60" s="369" t="n"/>
      <c r="E60" s="369" t="n"/>
      <c r="F60" s="370" t="n"/>
      <c r="G60" s="370" t="n"/>
      <c r="H60" s="370" t="n"/>
      <c r="I60" s="370" t="n"/>
      <c r="J60" s="370" t="n"/>
      <c r="K60" s="622" t="n"/>
      <c r="L60" s="622" t="n"/>
      <c r="M60" s="361" t="n"/>
      <c r="N60" s="361" t="n"/>
      <c r="O60" s="363" t="n"/>
      <c r="P60" s="843" t="n"/>
      <c r="AA60" s="619" t="n"/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336" t="n"/>
      <c r="AK60" s="48" t="n"/>
      <c r="AL60" s="48" t="n"/>
      <c r="AM60" s="604" t="n"/>
      <c r="AN60" s="336" t="n"/>
      <c r="AO60" s="48" t="n"/>
      <c r="AP60" s="48" t="n"/>
      <c r="AQ60" s="604" t="n"/>
      <c r="AR60" s="336" t="n"/>
      <c r="AS60" s="48" t="n"/>
      <c r="AT60" s="48" t="n"/>
      <c r="AU60" s="312" t="n"/>
    </row>
    <row r="61" ht="11.25" customHeight="1" s="26">
      <c r="B61" s="371" t="n"/>
      <c r="C61" s="845" t="n"/>
      <c r="F61" s="373">
        <f>$B$1+1</f>
        <v/>
      </c>
      <c r="G61" s="846">
        <f>$B$1+2</f>
        <v/>
      </c>
      <c r="I61" s="373">
        <f>$B$1+3</f>
        <v/>
      </c>
      <c r="J61" s="373">
        <f>$B$1+4</f>
        <v/>
      </c>
      <c r="K61" s="622" t="n"/>
      <c r="L61" s="622" t="n"/>
      <c r="M61" s="361" t="inlineStr">
        <is>
          <t>Contract Ends</t>
        </is>
      </c>
      <c r="O61" s="363">
        <f>Y55</f>
        <v/>
      </c>
      <c r="P61" s="847" t="n"/>
      <c r="Q61" s="779" t="n"/>
      <c r="R61" s="779" t="n"/>
      <c r="S61" s="779" t="n"/>
      <c r="T61" s="779" t="n"/>
      <c r="U61" s="779" t="n"/>
      <c r="V61" s="779" t="n"/>
      <c r="W61" s="779" t="n"/>
      <c r="X61" s="779" t="n"/>
      <c r="Y61" s="779" t="n"/>
      <c r="Z61" s="779" t="n"/>
      <c r="AA61" s="848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336" t="n"/>
      <c r="AK61" s="48" t="n"/>
      <c r="AL61" s="48" t="n"/>
      <c r="AM61" s="604" t="n"/>
      <c r="AN61" s="336" t="n"/>
      <c r="AO61" s="48" t="n"/>
      <c r="AP61" s="48" t="n"/>
      <c r="AQ61" s="604" t="n"/>
      <c r="AR61" s="336" t="n"/>
      <c r="AS61" s="48" t="n"/>
      <c r="AT61" s="48" t="n"/>
      <c r="AU61" s="312" t="n"/>
    </row>
    <row r="62" ht="11.25" customHeight="1" s="26">
      <c r="A62" s="622" t="n"/>
      <c r="B62" s="377" t="inlineStr">
        <is>
          <t>Buyout 1</t>
        </is>
      </c>
      <c r="C62" s="617">
        <f>IF($AA$57&gt;0,$O$55,"")</f>
        <v/>
      </c>
      <c r="F62" s="384">
        <f>IF($AA$57&gt;0,$AA$57,"")</f>
        <v/>
      </c>
      <c r="G62" s="387">
        <f>IF($AA$57&gt;0,$U$59,"")</f>
        <v/>
      </c>
      <c r="H62" s="753" t="n"/>
      <c r="I62" s="387">
        <f>IF($AA$57&gt;0,$U$63,"")</f>
        <v/>
      </c>
      <c r="J62" s="392">
        <f>IF($AA$57&gt;0,$AA$62,"")</f>
        <v/>
      </c>
      <c r="K62" s="622" t="n"/>
      <c r="L62" s="622" t="n"/>
      <c r="M62" s="393" t="inlineStr">
        <is>
          <t>Years Penalized</t>
        </is>
      </c>
      <c r="N62" s="759" t="n"/>
      <c r="O62" s="394">
        <f>O61-O57</f>
        <v/>
      </c>
      <c r="P62" s="395" t="n"/>
      <c r="Q62" s="396">
        <f>CONCATENATE("Penalty in ",$M$3+1)</f>
        <v/>
      </c>
      <c r="R62" s="768" t="n"/>
      <c r="S62" s="768" t="n"/>
      <c r="T62" s="397" t="n"/>
      <c r="U62" s="398">
        <f>IF(Y55&gt;$M$3,ROUND(AA55*(U57-0.1),0),0)</f>
        <v/>
      </c>
      <c r="V62" s="397" t="n"/>
      <c r="W62" s="396">
        <f>CONCATENATE("Penalty in ",$M$3+3)</f>
        <v/>
      </c>
      <c r="X62" s="768" t="n"/>
      <c r="Y62" s="768" t="n"/>
      <c r="Z62" s="397" t="n"/>
      <c r="AA62" s="401">
        <f>IF(Y55&gt;$M$3+2,ROUND(AG55*(AA61-0.1),0),0)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402" t="inlineStr">
        <is>
          <t>Buyout 2</t>
        </is>
      </c>
      <c r="C63" s="405">
        <f>IF($AA$67&gt;0,$O$65,"")</f>
        <v/>
      </c>
      <c r="F63" s="384">
        <f>IF($AA$67&gt;0,$AA$67,"")</f>
        <v/>
      </c>
      <c r="G63" s="406">
        <f>IF($AA$67&gt;0,$U$69,"")</f>
        <v/>
      </c>
      <c r="I63" s="408">
        <f>IF($AA$74&gt;0,$U$77,"")</f>
        <v/>
      </c>
      <c r="J63" s="409">
        <f>IF($AA$74&gt;0,$AA$76,"")</f>
        <v/>
      </c>
      <c r="K63" s="622" t="n"/>
      <c r="L63" s="622" t="n"/>
      <c r="M63" s="230" t="n"/>
      <c r="N63" s="230" t="n"/>
      <c r="O63" s="410" t="n"/>
      <c r="P63" s="411" t="n"/>
      <c r="Q63" s="413">
        <f>CONCATENATE("Penalty in ",$M$3+2)</f>
        <v/>
      </c>
      <c r="R63" s="759" t="n"/>
      <c r="S63" s="759" t="n"/>
      <c r="T63" s="414" t="n"/>
      <c r="U63" s="418">
        <f>IF(Y55&gt;$M$3+1,ROUND(AA56*(U62-0.1),0),0)</f>
        <v/>
      </c>
      <c r="V63" s="414" t="n"/>
      <c r="W63" s="420" t="inlineStr">
        <is>
          <t>Total Penalty Left</t>
        </is>
      </c>
      <c r="X63" s="759" t="n"/>
      <c r="Y63" s="759" t="n"/>
      <c r="Z63" s="414" t="n"/>
      <c r="AA63" s="421">
        <f>SUM(AA57+U62+U63+AA62)</f>
        <v/>
      </c>
      <c r="AB63" s="622" t="n"/>
      <c r="AC63" s="49" t="n"/>
      <c r="AD63" s="48" t="n"/>
      <c r="AE63" s="604" t="n"/>
      <c r="AF63" s="50" t="n"/>
      <c r="AG63" s="49" t="n"/>
      <c r="AH63" s="48" t="n"/>
      <c r="AI63" s="604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402" t="inlineStr">
        <is>
          <t>Buyout 3</t>
        </is>
      </c>
      <c r="C64" s="427">
        <f>IF($AA$74&gt;0,$O$72,"")</f>
        <v/>
      </c>
      <c r="D64" s="779" t="n"/>
      <c r="E64" s="779" t="n"/>
      <c r="F64" s="430">
        <f>IF($AA$74&gt;0,$AA$74,"")</f>
        <v/>
      </c>
      <c r="G64" s="432">
        <f>IF($AA$81&gt;0,$U$83,"")</f>
        <v/>
      </c>
      <c r="H64" s="779" t="n"/>
      <c r="I64" s="430">
        <f>IF($AA$81&gt;0,$U$84,"")</f>
        <v/>
      </c>
      <c r="J64" s="435">
        <f>IF($AA$81&gt;0,$AA$83,"")</f>
        <v/>
      </c>
      <c r="K64" s="622" t="n"/>
      <c r="L64" s="622" t="n"/>
      <c r="M64" s="622" t="n"/>
      <c r="N64" s="622" t="n"/>
      <c r="O64" s="436" t="n"/>
      <c r="P64" s="622" t="n"/>
      <c r="Q64" s="436" t="n"/>
      <c r="R64" s="622" t="n"/>
      <c r="S64" s="436" t="n"/>
      <c r="T64" s="622" t="n"/>
      <c r="U64" s="436" t="n"/>
      <c r="V64" s="622" t="n"/>
      <c r="W64" s="436" t="n"/>
      <c r="X64" s="622" t="n"/>
      <c r="Y64" s="622" t="n"/>
      <c r="Z64" s="622" t="n"/>
      <c r="AA64" s="436" t="n"/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437" t="inlineStr">
        <is>
          <t>Buyout 4</t>
        </is>
      </c>
      <c r="C65" s="438">
        <f>IF($AA$74&gt;0,$O$72,"")</f>
        <v/>
      </c>
      <c r="D65" s="763" t="n"/>
      <c r="E65" s="763" t="n"/>
      <c r="F65" s="439">
        <f>IF($AA$74&gt;0,$AA$74,"")</f>
        <v/>
      </c>
      <c r="G65" s="440">
        <f>IF($AA$81&gt;0,$U$83,"")</f>
        <v/>
      </c>
      <c r="H65" s="759" t="n"/>
      <c r="I65" s="439">
        <f>IF($AA$81&gt;0,$U$84,"")</f>
        <v/>
      </c>
      <c r="J65" s="441">
        <f>IF($AA$81&gt;0,$AA$83,"")</f>
        <v/>
      </c>
      <c r="K65" s="622" t="n"/>
      <c r="L65" s="622" t="n"/>
      <c r="M65" s="830" t="inlineStr">
        <is>
          <t>2nd dropped contract</t>
        </is>
      </c>
      <c r="N65" s="321" t="n"/>
      <c r="O65" s="831" t="n"/>
      <c r="P65" s="323" t="n"/>
      <c r="Q65" s="832" t="n"/>
      <c r="R65" s="325" t="n"/>
      <c r="S65" s="833" t="n"/>
      <c r="T65" s="327" t="n"/>
      <c r="U65" s="834" t="n"/>
      <c r="V65" s="323" t="n"/>
      <c r="W65" s="835" t="n"/>
      <c r="X65" s="323" t="n"/>
      <c r="Y65" s="836">
        <f>S65+U65</f>
        <v/>
      </c>
      <c r="Z65" s="335" t="n"/>
      <c r="AA65" s="96">
        <f>IF(S65&gt;=2014, IF(W65=0,0,IF(U65=1,Q65,IF(U65=2,Q65+5,IF(U65=3,Q65+10,IF(U65=4,Q65+15, IF(U65&gt;4,Q65+U65*4)))))), IF(W65=0,0,IF(U65=1,Q65,IF(U65=2,Q65+4,IF(U65=3,Q65+8,IF(U65&gt;3,Q65+U65*3))))))</f>
        <v/>
      </c>
      <c r="AB65" s="8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371" t="n"/>
      <c r="C66" s="849" t="n"/>
      <c r="F66" s="849" t="n"/>
      <c r="I66" s="450" t="n"/>
      <c r="J66" s="450" t="n"/>
      <c r="K66" s="450" t="n"/>
      <c r="L66" s="622" t="n"/>
      <c r="M66" s="702" t="n"/>
      <c r="N66" s="337" t="n"/>
      <c r="O66" s="779" t="n"/>
      <c r="P66" s="339" t="n"/>
      <c r="Q66" s="779" t="n"/>
      <c r="R66" s="340" t="n"/>
      <c r="S66" s="779" t="n"/>
      <c r="T66" s="341" t="n"/>
      <c r="U66" s="779" t="n"/>
      <c r="V66" s="339" t="n"/>
      <c r="W66" s="779" t="n"/>
      <c r="X66" s="339" t="n"/>
      <c r="Y66" s="779" t="n"/>
      <c r="Z66" s="342" t="n"/>
      <c r="AA66" s="619" t="n"/>
      <c r="AB66" s="82" t="n"/>
      <c r="AC66" s="49" t="n"/>
      <c r="AD66" s="48" t="n"/>
      <c r="AE66" s="604" t="n"/>
      <c r="AF66" s="50" t="n"/>
      <c r="AG66" s="49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850" t="inlineStr">
        <is>
          <t>Missed IP Penalty</t>
        </is>
      </c>
      <c r="C67" s="753" t="n"/>
      <c r="D67" s="753" t="n"/>
      <c r="E67" s="753" t="n"/>
      <c r="F67" s="753" t="n"/>
      <c r="G67" s="753" t="n"/>
      <c r="H67" s="753" t="n"/>
      <c r="I67" s="753" t="n"/>
      <c r="J67" s="816" t="n"/>
      <c r="K67" s="450" t="n"/>
      <c r="L67" s="622" t="n"/>
      <c r="M67" s="344" t="inlineStr">
        <is>
          <t>Year Dropped</t>
        </is>
      </c>
      <c r="N67" s="768" t="n"/>
      <c r="O67" s="363" t="n"/>
      <c r="P67" s="837">
        <f>CONCATENATE($M$3," Penalty % ")</f>
        <v/>
      </c>
      <c r="Q67" s="768" t="n"/>
      <c r="R67" s="768" t="n"/>
      <c r="S67" s="768" t="n"/>
      <c r="T67" s="455" t="n"/>
      <c r="U67" s="839">
        <f>(0.7-0.1*($M$3-(O67+1)))</f>
        <v/>
      </c>
      <c r="V67" s="840">
        <f>CONCATENATE("Penalty in ",$M$3)</f>
        <v/>
      </c>
      <c r="W67" s="768" t="n"/>
      <c r="X67" s="768" t="n"/>
      <c r="Y67" s="768" t="n"/>
      <c r="Z67" s="768" t="n"/>
      <c r="AA67" s="841">
        <f>IF(Y65&gt;$B$1, ROUND(AA65*U67,0), 0)</f>
        <v/>
      </c>
      <c r="AB67" s="622" t="n"/>
      <c r="AC67" s="49" t="n"/>
      <c r="AD67" s="48" t="n"/>
      <c r="AE67" s="604" t="n"/>
      <c r="AF67" s="50" t="n"/>
      <c r="AG67" s="49" t="n"/>
      <c r="AH67" s="48" t="n"/>
      <c r="AI67" s="604" t="n"/>
      <c r="AJ67" s="50" t="n"/>
      <c r="AK67" s="49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702" t="n"/>
      <c r="J68" s="619" t="n"/>
      <c r="K68" s="450" t="n"/>
      <c r="L68" s="622" t="n"/>
      <c r="M68" s="361" t="inlineStr">
        <is>
          <t>Contract Ends</t>
        </is>
      </c>
      <c r="O68" s="363">
        <f>Y65</f>
        <v/>
      </c>
      <c r="P68" s="847" t="n"/>
      <c r="Q68" s="779" t="n"/>
      <c r="R68" s="779" t="n"/>
      <c r="S68" s="779" t="n"/>
      <c r="T68" s="463" t="n"/>
      <c r="U68" s="779" t="n"/>
      <c r="V68" s="779" t="n"/>
      <c r="W68" s="779" t="n"/>
      <c r="X68" s="779" t="n"/>
      <c r="Y68" s="779" t="n"/>
      <c r="Z68" s="779" t="n"/>
      <c r="AA68" s="848" t="n"/>
      <c r="AB68" s="622" t="n"/>
      <c r="AC68" s="49" t="n"/>
      <c r="AD68" s="48" t="n"/>
      <c r="AE68" s="604" t="n"/>
      <c r="AF68" s="50" t="n"/>
      <c r="AG68" s="49" t="n"/>
      <c r="AH68" s="48" t="n"/>
      <c r="AI68" s="604" t="n"/>
      <c r="AJ68" s="50" t="n"/>
      <c r="AK68" s="49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464" t="n"/>
      <c r="D69" s="465" t="n"/>
      <c r="F69" s="54" t="n"/>
      <c r="G69" s="54" t="n"/>
      <c r="H69" s="54" t="n"/>
      <c r="I69" s="54" t="n"/>
      <c r="J69" s="466" t="n"/>
      <c r="K69" s="450" t="n"/>
      <c r="L69" s="622" t="n"/>
      <c r="M69" s="393" t="inlineStr">
        <is>
          <t>Years Penalized</t>
        </is>
      </c>
      <c r="N69" s="759" t="n"/>
      <c r="O69" s="394">
        <f>O68-O67</f>
        <v/>
      </c>
      <c r="P69" s="395" t="n"/>
      <c r="Q69" s="396">
        <f>CONCATENATE("Penalty in ",$M$3+1)</f>
        <v/>
      </c>
      <c r="R69" s="768" t="n"/>
      <c r="S69" s="768" t="n"/>
      <c r="T69" s="397" t="n"/>
      <c r="U69" s="398">
        <f>IF(Y65&gt;$M$3,ROUND(AA65*(U67-0.1),0),0)</f>
        <v/>
      </c>
      <c r="V69" s="397" t="n"/>
      <c r="W69" s="396">
        <f>CONCATENATE("Penalty in ",$M$3+3)</f>
        <v/>
      </c>
      <c r="X69" s="768" t="n"/>
      <c r="Y69" s="768" t="n"/>
      <c r="Z69" s="397" t="n"/>
      <c r="AA69" s="401">
        <f>IF(Y65&gt;$M$3+2,ROUND(AG65*(AA68-0.1),0),0)</f>
        <v/>
      </c>
      <c r="AB69" s="622" t="n"/>
      <c r="AC69" s="49" t="n"/>
      <c r="AD69" s="48" t="n"/>
      <c r="AE69" s="604" t="n"/>
      <c r="AF69" s="50" t="n"/>
      <c r="AG69" s="49" t="n"/>
      <c r="AH69" s="48" t="n"/>
      <c r="AI69" s="604" t="n"/>
      <c r="AJ69" s="50" t="n"/>
      <c r="AK69" s="49" t="n"/>
      <c r="AL69" s="48" t="n"/>
      <c r="AM69" s="604" t="n"/>
      <c r="AN69" s="50" t="n"/>
      <c r="AO69" s="49" t="n"/>
      <c r="AP69" s="48" t="n"/>
      <c r="AQ69" s="604" t="n"/>
      <c r="AR69" s="50" t="n"/>
      <c r="AS69" s="49" t="n"/>
      <c r="AT69" s="48" t="n"/>
      <c r="AU69" s="604" t="n"/>
    </row>
    <row r="70" ht="11.25" customHeight="1" s="26">
      <c r="A70" s="622" t="n"/>
      <c r="B70" s="702" t="n"/>
      <c r="F70" s="54" t="n"/>
      <c r="G70" s="54" t="n"/>
      <c r="H70" s="54" t="n"/>
      <c r="I70" s="54" t="n"/>
      <c r="J70" s="466" t="n"/>
      <c r="K70" s="450" t="n"/>
      <c r="L70" s="622" t="n"/>
      <c r="M70" s="230" t="n"/>
      <c r="N70" s="230" t="n"/>
      <c r="O70" s="410" t="n"/>
      <c r="P70" s="411" t="n"/>
      <c r="Q70" s="413">
        <f>CONCATENATE("Penalty in ",$M$3+2)</f>
        <v/>
      </c>
      <c r="R70" s="759" t="n"/>
      <c r="S70" s="759" t="n"/>
      <c r="T70" s="414" t="n"/>
      <c r="U70" s="418">
        <f>IF(Y65&gt;$M$3+1,ROUND(AA66*(U69-0.1),0),0)</f>
        <v/>
      </c>
      <c r="V70" s="414" t="n"/>
      <c r="W70" s="420" t="inlineStr">
        <is>
          <t>Total Penalty Left</t>
        </is>
      </c>
      <c r="X70" s="759" t="n"/>
      <c r="Y70" s="759" t="n"/>
      <c r="Z70" s="414" t="n"/>
      <c r="AA70" s="421">
        <f>SUM(AA67+U69+U70+AA69)</f>
        <v/>
      </c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464" t="n"/>
      <c r="D71" s="465" t="n"/>
      <c r="F71" s="54" t="n"/>
      <c r="G71" s="54" t="n"/>
      <c r="H71" s="54" t="n"/>
      <c r="I71" s="54" t="n"/>
      <c r="J71" s="466" t="n"/>
      <c r="K71" s="450" t="n"/>
      <c r="L71" s="622" t="n"/>
      <c r="M71" s="622" t="n"/>
      <c r="N71" s="622" t="n"/>
      <c r="O71" s="622" t="n"/>
      <c r="P71" s="622" t="n"/>
      <c r="Q71" s="622" t="n"/>
      <c r="R71" s="622" t="n"/>
      <c r="S71" s="622" t="n"/>
      <c r="T71" s="622" t="n"/>
      <c r="U71" s="622" t="n"/>
      <c r="V71" s="622" t="n"/>
      <c r="W71" s="622" t="n"/>
      <c r="X71" s="622" t="n"/>
      <c r="Y71" s="622" t="n"/>
      <c r="Z71" s="622" t="n"/>
      <c r="AA71" s="436" t="n"/>
      <c r="AB71" s="622" t="n"/>
      <c r="AF71" s="30" t="n"/>
      <c r="AJ71" s="30" t="n"/>
      <c r="AL71" s="48" t="n"/>
      <c r="AM71" s="604" t="n"/>
      <c r="AN71" s="50" t="n"/>
      <c r="AO71" s="49" t="n"/>
      <c r="AP71" s="48" t="n"/>
      <c r="AQ71" s="604" t="n"/>
      <c r="AR71" s="50" t="n"/>
      <c r="AS71" s="49" t="n"/>
      <c r="AT71" s="48" t="n"/>
      <c r="AU71" s="604" t="n"/>
    </row>
    <row r="72" ht="11.25" customHeight="1" s="26">
      <c r="A72" s="622" t="n"/>
      <c r="B72" s="702" t="n"/>
      <c r="F72" s="54" t="n"/>
      <c r="G72" s="54" t="n"/>
      <c r="H72" s="54" t="n"/>
      <c r="I72" s="54" t="n"/>
      <c r="J72" s="466" t="n"/>
      <c r="K72" s="450" t="n"/>
      <c r="L72" s="622" t="n"/>
      <c r="M72" s="830" t="inlineStr">
        <is>
          <t>3rd dropped contract</t>
        </is>
      </c>
      <c r="N72" s="321" t="n"/>
      <c r="O72" s="831" t="n"/>
      <c r="P72" s="323" t="n"/>
      <c r="Q72" s="832" t="n"/>
      <c r="R72" s="325" t="n"/>
      <c r="S72" s="833" t="n"/>
      <c r="T72" s="327" t="n"/>
      <c r="U72" s="834" t="n"/>
      <c r="V72" s="323" t="n"/>
      <c r="W72" s="835">
        <f>Y72-$B$1</f>
        <v/>
      </c>
      <c r="X72" s="323" t="n"/>
      <c r="Y72" s="836">
        <f>S72+U72</f>
        <v/>
      </c>
      <c r="Z72" s="335" t="n"/>
      <c r="AA72" s="96">
        <f>IF(S72&gt;=2014, IF(W72=0,0,IF(U72=1,Q72,IF(U72=2,Q72+5,IF(U72=3,Q72+10,IF(U72=4,Q72+15, IF(U72&gt;4,Q72+U72*4)))))), IF(W72=0,0,IF(U72=1,Q72,IF(U72=2,Q72+4,IF(U72=3,Q72+8,IF(U72&gt;3,Q72+U72*3))))))</f>
        <v/>
      </c>
      <c r="AB72" s="82" t="n"/>
      <c r="AF72" s="30" t="n"/>
      <c r="AJ72" s="30" t="n"/>
      <c r="AL72" s="48" t="n"/>
      <c r="AM72" s="604" t="n"/>
      <c r="AN72" s="50" t="n"/>
      <c r="AO72" s="49" t="n"/>
      <c r="AR72" s="50" t="n"/>
      <c r="AS72" s="49" t="n"/>
      <c r="AT72" s="48" t="n"/>
      <c r="AU72" s="604" t="n"/>
    </row>
    <row r="73" ht="11.25" customHeight="1" s="26">
      <c r="A73" s="622" t="n"/>
      <c r="B73" s="851" t="n"/>
      <c r="D73" s="852" t="n"/>
      <c r="F73" s="54" t="n"/>
      <c r="G73" s="54" t="n"/>
      <c r="H73" s="54" t="n"/>
      <c r="I73" s="54" t="n"/>
      <c r="J73" s="466" t="n"/>
      <c r="K73" s="450" t="n"/>
      <c r="L73" s="622" t="n"/>
      <c r="M73" s="702" t="n"/>
      <c r="N73" s="337" t="n"/>
      <c r="O73" s="779" t="n"/>
      <c r="P73" s="339" t="n"/>
      <c r="Q73" s="779" t="n"/>
      <c r="R73" s="340" t="n"/>
      <c r="S73" s="779" t="n"/>
      <c r="T73" s="341" t="n"/>
      <c r="U73" s="779" t="n"/>
      <c r="V73" s="339" t="n"/>
      <c r="W73" s="779" t="n"/>
      <c r="X73" s="339" t="n"/>
      <c r="Y73" s="779" t="n"/>
      <c r="Z73" s="342" t="n"/>
      <c r="AA73" s="619" t="n"/>
      <c r="AB73" s="82" t="n"/>
      <c r="AF73" s="30" t="n"/>
      <c r="AJ73" s="30" t="n"/>
      <c r="AL73" s="48" t="n"/>
      <c r="AM73" s="604" t="n"/>
      <c r="AN73" s="50" t="n"/>
      <c r="AO73" s="49" t="n"/>
      <c r="AP73" s="48" t="n"/>
      <c r="AQ73" s="604" t="n"/>
      <c r="AR73" s="50" t="n"/>
      <c r="AS73" s="49" t="n"/>
      <c r="AT73" s="48" t="n"/>
      <c r="AU73" s="604" t="n"/>
    </row>
    <row r="74" ht="11.25" customHeight="1" s="26">
      <c r="A74" s="622" t="n"/>
      <c r="B74" s="755" t="n"/>
      <c r="C74" s="759" t="n"/>
      <c r="D74" s="759" t="n"/>
      <c r="E74" s="759" t="n"/>
      <c r="F74" s="475" t="n"/>
      <c r="G74" s="475" t="n"/>
      <c r="H74" s="475" t="n"/>
      <c r="I74" s="475" t="n"/>
      <c r="J74" s="476" t="n"/>
      <c r="K74" s="450" t="n"/>
      <c r="L74" s="622" t="n"/>
      <c r="M74" s="344" t="inlineStr">
        <is>
          <t>Year Dropped</t>
        </is>
      </c>
      <c r="N74" s="768" t="n"/>
      <c r="O74" s="363" t="n"/>
      <c r="P74" s="837">
        <f>CONCATENATE($M$3," Penalty % ")</f>
        <v/>
      </c>
      <c r="Q74" s="768" t="n"/>
      <c r="R74" s="768" t="n"/>
      <c r="S74" s="768" t="n"/>
      <c r="T74" s="455" t="n"/>
      <c r="U74" s="839">
        <f>(0.7-0.1*($M$3-(O74+1)))</f>
        <v/>
      </c>
      <c r="V74" s="840">
        <f>CONCATENATE("Penalty in ",$M$3)</f>
        <v/>
      </c>
      <c r="W74" s="768" t="n"/>
      <c r="X74" s="768" t="n"/>
      <c r="Y74" s="768" t="n"/>
      <c r="Z74" s="768" t="n"/>
      <c r="AA74" s="841">
        <f>IF(Y72&gt;$B$1, ROUND(AA72*U74,0), 0)</f>
        <v/>
      </c>
      <c r="AB74" s="622" t="n"/>
      <c r="AF74" s="30" t="n"/>
      <c r="AJ74" s="30" t="n"/>
      <c r="AL74" s="48" t="n"/>
      <c r="AM74" s="604" t="n"/>
      <c r="AN74" s="30" t="n"/>
      <c r="AR74" s="30" t="n"/>
    </row>
    <row r="75" ht="11.25" customHeight="1" s="26">
      <c r="A75" s="622" t="n"/>
      <c r="B75" s="622" t="n"/>
      <c r="C75" s="622" t="n"/>
      <c r="D75" s="622" t="n"/>
      <c r="E75" s="622" t="n"/>
      <c r="F75" s="622" t="n"/>
      <c r="G75" s="622" t="n"/>
      <c r="H75" s="622" t="n"/>
      <c r="I75" s="622" t="n"/>
      <c r="J75" s="622" t="n"/>
      <c r="K75" s="622" t="n"/>
      <c r="L75" s="622" t="n"/>
      <c r="M75" s="361" t="inlineStr">
        <is>
          <t>Contract Ends</t>
        </is>
      </c>
      <c r="O75" s="363">
        <f>Y72</f>
        <v/>
      </c>
      <c r="P75" s="847" t="n"/>
      <c r="Q75" s="779" t="n"/>
      <c r="R75" s="779" t="n"/>
      <c r="S75" s="779" t="n"/>
      <c r="T75" s="463" t="n"/>
      <c r="U75" s="779" t="n"/>
      <c r="V75" s="779" t="n"/>
      <c r="W75" s="779" t="n"/>
      <c r="X75" s="779" t="n"/>
      <c r="Y75" s="779" t="n"/>
      <c r="Z75" s="779" t="n"/>
      <c r="AA75" s="848" t="n"/>
      <c r="AB75" s="622" t="n"/>
      <c r="AF75" s="30" t="n"/>
      <c r="AJ75" s="30" t="n"/>
      <c r="AL75" s="48" t="n"/>
      <c r="AM75" s="481" t="n"/>
      <c r="AN75" s="30" t="n"/>
      <c r="AR75" s="30" t="n"/>
    </row>
    <row r="76" ht="11.25" customHeight="1" s="26">
      <c r="L76" s="622" t="n"/>
      <c r="M76" s="393" t="inlineStr">
        <is>
          <t>Years Penalized</t>
        </is>
      </c>
      <c r="N76" s="759" t="n"/>
      <c r="O76" s="394">
        <f>O75-O74</f>
        <v/>
      </c>
      <c r="P76" s="395" t="n"/>
      <c r="Q76" s="396">
        <f>CONCATENATE("Penalty in ",$M$3+1)</f>
        <v/>
      </c>
      <c r="R76" s="768" t="n"/>
      <c r="S76" s="768" t="n"/>
      <c r="T76" s="397" t="n"/>
      <c r="U76" s="398">
        <f>IF(Y72&gt;$M$3,ROUND(AA72*(U74-0.1),0),0)</f>
        <v/>
      </c>
      <c r="V76" s="397" t="n"/>
      <c r="W76" s="396">
        <f>CONCATENATE("Penalty in ",$M$3+3)</f>
        <v/>
      </c>
      <c r="X76" s="768" t="n"/>
      <c r="Y76" s="768" t="n"/>
      <c r="Z76" s="397" t="n"/>
      <c r="AA76" s="401">
        <f>IF(Y72&gt;$M$3+2,ROUND(AG72*(AA75-0.1),0),0)</f>
        <v/>
      </c>
      <c r="AB76" s="622" t="n"/>
      <c r="AF76" s="30" t="n"/>
      <c r="AJ76" s="30" t="n"/>
      <c r="AL76" s="48" t="n"/>
      <c r="AM76" s="604" t="n"/>
      <c r="AN76" s="50" t="n"/>
      <c r="AO76" s="49" t="n"/>
      <c r="AR76" s="30" t="n"/>
    </row>
    <row r="77" ht="11.25" customHeight="1" s="26">
      <c r="L77" s="622" t="n"/>
      <c r="M77" s="230" t="n"/>
      <c r="N77" s="230" t="n"/>
      <c r="O77" s="410" t="n"/>
      <c r="P77" s="411" t="n"/>
      <c r="Q77" s="413">
        <f>CONCATENATE("Penalty in ",$M$3+2)</f>
        <v/>
      </c>
      <c r="R77" s="759" t="n"/>
      <c r="S77" s="759" t="n"/>
      <c r="T77" s="414" t="n"/>
      <c r="U77" s="418">
        <f>IF(Y72&gt;$M$3+1,ROUND(AA73*(U76-0.1),0),0)</f>
        <v/>
      </c>
      <c r="V77" s="414" t="n"/>
      <c r="W77" s="420" t="inlineStr">
        <is>
          <t>Total Penalty Left</t>
        </is>
      </c>
      <c r="X77" s="759" t="n"/>
      <c r="Y77" s="759" t="n"/>
      <c r="Z77" s="414" t="n"/>
      <c r="AA77" s="421">
        <f>SUM(AA74+U76+U77+AA76)</f>
        <v/>
      </c>
      <c r="AB77" s="622" t="n"/>
      <c r="AF77" s="30" t="n"/>
      <c r="AJ77" s="30" t="n"/>
      <c r="AL77" s="48" t="n"/>
      <c r="AM77" s="604" t="n"/>
      <c r="AN77" s="50" t="n"/>
      <c r="AO77" s="49" t="n"/>
      <c r="AP77" s="48" t="n"/>
      <c r="AQ77" s="604" t="n"/>
      <c r="AR77" s="30" t="n"/>
    </row>
    <row r="78" ht="11.25" customHeight="1" s="26">
      <c r="L78" s="622" t="n"/>
      <c r="M78" s="622" t="n"/>
      <c r="N78" s="622" t="n"/>
      <c r="O78" s="622" t="n"/>
      <c r="P78" s="622" t="n"/>
      <c r="Q78" s="622" t="n"/>
      <c r="R78" s="622" t="n"/>
      <c r="S78" s="622" t="n"/>
      <c r="T78" s="622" t="n"/>
      <c r="U78" s="622" t="n"/>
      <c r="V78" s="622" t="n"/>
      <c r="W78" s="622" t="n"/>
      <c r="X78" s="622" t="n"/>
      <c r="Y78" s="622" t="n"/>
      <c r="Z78" s="622" t="n"/>
      <c r="AA78" s="436" t="n"/>
      <c r="AB78" s="622" t="n"/>
      <c r="AF78" s="30" t="n"/>
      <c r="AJ78" s="30" t="n"/>
      <c r="AL78" s="48" t="n"/>
      <c r="AM78" s="604" t="n"/>
      <c r="AN78" s="50" t="n"/>
      <c r="AO78" s="49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853" t="inlineStr">
        <is>
          <t>4th dropped contract</t>
        </is>
      </c>
      <c r="N79" s="321" t="n"/>
      <c r="O79" s="831" t="n"/>
      <c r="P79" s="323" t="n"/>
      <c r="Q79" s="832" t="n"/>
      <c r="R79" s="325" t="n"/>
      <c r="S79" s="833" t="n"/>
      <c r="T79" s="327" t="n"/>
      <c r="U79" s="834" t="n"/>
      <c r="V79" s="323" t="n"/>
      <c r="W79" s="835">
        <f>Y79-$B$1</f>
        <v/>
      </c>
      <c r="X79" s="323" t="n"/>
      <c r="Y79" s="836">
        <f>S79+U79</f>
        <v/>
      </c>
      <c r="Z79" s="335" t="n"/>
      <c r="AA79" s="96">
        <f>IF(S79&gt;=2014, IF(W79=0,0,IF(U79=1,Q79,IF(U79=2,Q79+5,IF(U79=3,Q79+10,IF(U79=4,Q79+15, IF(U79&gt;4,Q79+U79*4)))))), IF(W79=0,0,IF(U79=1,Q79,IF(U79=2,Q79+4,IF(U79=3,Q79+8,IF(U79&gt;3,Q79+U79*3))))))</f>
        <v/>
      </c>
      <c r="AB79" s="82" t="n"/>
      <c r="AF79" s="30" t="n"/>
      <c r="AJ79" s="30" t="n"/>
      <c r="AL79" s="48" t="n"/>
      <c r="AM79" s="604" t="n"/>
      <c r="AN79" s="50" t="n"/>
      <c r="AO79" s="49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702" t="n"/>
      <c r="N80" s="337" t="n"/>
      <c r="O80" s="779" t="n"/>
      <c r="P80" s="339" t="n"/>
      <c r="Q80" s="779" t="n"/>
      <c r="R80" s="340" t="n"/>
      <c r="S80" s="779" t="n"/>
      <c r="T80" s="341" t="n"/>
      <c r="U80" s="779" t="n"/>
      <c r="V80" s="339" t="n"/>
      <c r="W80" s="779" t="n"/>
      <c r="X80" s="339" t="n"/>
      <c r="Y80" s="779" t="n"/>
      <c r="Z80" s="342" t="n"/>
      <c r="AA80" s="619" t="n"/>
      <c r="AB80" s="8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344" t="inlineStr">
        <is>
          <t>Year Dropped</t>
        </is>
      </c>
      <c r="N81" s="768" t="n"/>
      <c r="O81" s="363" t="n"/>
      <c r="P81" s="837">
        <f>CONCATENATE($M$3," Penalty % ")</f>
        <v/>
      </c>
      <c r="Q81" s="768" t="n"/>
      <c r="R81" s="768" t="n"/>
      <c r="S81" s="768" t="n"/>
      <c r="T81" s="455" t="n"/>
      <c r="U81" s="839">
        <f>(0.7-0.1*($M$3-(O81+1)))</f>
        <v/>
      </c>
      <c r="V81" s="840">
        <f>CONCATENATE("Penalty in ",$M$3)</f>
        <v/>
      </c>
      <c r="W81" s="768" t="n"/>
      <c r="X81" s="768" t="n"/>
      <c r="Y81" s="768" t="n"/>
      <c r="Z81" s="768" t="n"/>
      <c r="AA81" s="841">
        <f>IF(Y79&gt;$B$1, ROUND(AA79*U81,0), 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361" t="inlineStr">
        <is>
          <t>Contract Ends</t>
        </is>
      </c>
      <c r="O82" s="363">
        <f>Y79</f>
        <v/>
      </c>
      <c r="P82" s="847" t="n"/>
      <c r="Q82" s="779" t="n"/>
      <c r="R82" s="779" t="n"/>
      <c r="S82" s="779" t="n"/>
      <c r="T82" s="463" t="n"/>
      <c r="U82" s="779" t="n"/>
      <c r="V82" s="779" t="n"/>
      <c r="W82" s="779" t="n"/>
      <c r="X82" s="779" t="n"/>
      <c r="Y82" s="779" t="n"/>
      <c r="Z82" s="779" t="n"/>
      <c r="AA82" s="848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L83" s="622" t="n"/>
      <c r="M83" s="393" t="inlineStr">
        <is>
          <t>Years Penalized</t>
        </is>
      </c>
      <c r="N83" s="759" t="n"/>
      <c r="O83" s="394">
        <f>O82-O81</f>
        <v/>
      </c>
      <c r="P83" s="395" t="n"/>
      <c r="Q83" s="396">
        <f>CONCATENATE("Penalty in ",$M$3+1)</f>
        <v/>
      </c>
      <c r="R83" s="768" t="n"/>
      <c r="S83" s="768" t="n"/>
      <c r="T83" s="397" t="n"/>
      <c r="U83" s="398">
        <f>IF(Y79&gt;$M$3,ROUND(AA79*(U81-0.1),0),0)</f>
        <v/>
      </c>
      <c r="V83" s="397" t="n"/>
      <c r="W83" s="396">
        <f>CONCATENATE("Penalty in ",$M$3+3)</f>
        <v/>
      </c>
      <c r="X83" s="768" t="n"/>
      <c r="Y83" s="768" t="n"/>
      <c r="Z83" s="397" t="n"/>
      <c r="AA83" s="401">
        <f>IF(Y79&gt;$M$3+2,ROUND(AG79*(AA82-0.1),0),0)</f>
        <v/>
      </c>
      <c r="AB83" s="622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L84" s="622" t="n"/>
      <c r="M84" s="230" t="n"/>
      <c r="N84" s="230" t="n"/>
      <c r="O84" s="410" t="n"/>
      <c r="P84" s="411" t="n"/>
      <c r="Q84" s="413">
        <f>CONCATENATE("Penalty in ",$M$3+2)</f>
        <v/>
      </c>
      <c r="R84" s="759" t="n"/>
      <c r="S84" s="759" t="n"/>
      <c r="T84" s="414" t="n"/>
      <c r="U84" s="418">
        <f>IF(Y79&gt;$M$3+1,ROUND(AA80*(U83-0.1),0),0)</f>
        <v/>
      </c>
      <c r="V84" s="414" t="n"/>
      <c r="W84" s="420" t="inlineStr">
        <is>
          <t>Total Penalty Left</t>
        </is>
      </c>
      <c r="X84" s="759" t="n"/>
      <c r="Y84" s="759" t="n"/>
      <c r="Z84" s="414" t="n"/>
      <c r="AA84" s="421">
        <f>SUM(AA81+U83+U84+AA83)</f>
        <v/>
      </c>
      <c r="AB84" s="622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L85" s="622" t="n"/>
      <c r="M85" s="622" t="n"/>
      <c r="N85" s="622" t="n"/>
      <c r="O85" s="622" t="n"/>
      <c r="P85" s="622" t="n"/>
      <c r="Q85" s="622" t="n"/>
      <c r="R85" s="622" t="n"/>
      <c r="S85" s="622" t="n"/>
      <c r="T85" s="622" t="n"/>
      <c r="U85" s="622" t="n"/>
      <c r="V85" s="622" t="n"/>
      <c r="W85" s="622" t="n"/>
      <c r="X85" s="622" t="n"/>
      <c r="Y85" s="622" t="n"/>
      <c r="Z85" s="622" t="n"/>
      <c r="AA85" s="622" t="n"/>
      <c r="AB85" s="622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P91" s="48" t="n"/>
      <c r="AQ91" s="604" t="n"/>
      <c r="AR91" s="50" t="n"/>
      <c r="AS91" s="49" t="n"/>
      <c r="AT91" s="48" t="n"/>
      <c r="AU91" s="604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P92" s="48" t="n"/>
      <c r="AQ92" s="604" t="n"/>
      <c r="AR92" s="50" t="n"/>
      <c r="AS92" s="49" t="n"/>
      <c r="AT92" s="48" t="n"/>
      <c r="AU92" s="604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604" t="n"/>
      <c r="AN93" s="30" t="n"/>
      <c r="AP93" s="48" t="n"/>
      <c r="AQ93" s="604" t="n"/>
      <c r="AR93" s="50" t="n"/>
      <c r="AS93" s="49" t="n"/>
      <c r="AT93" s="48" t="n"/>
      <c r="AU93" s="604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481" t="n"/>
      <c r="AN96" s="30" t="n"/>
      <c r="AR96" s="30" t="n"/>
    </row>
    <row r="97" ht="11.25" customHeight="1" s="26">
      <c r="P97" s="30" t="n"/>
      <c r="U97" s="30" t="n"/>
      <c r="V97" s="30" t="n"/>
      <c r="W97" s="30" t="n"/>
      <c r="X97" s="30" t="n"/>
      <c r="AF97" s="30" t="n"/>
      <c r="AJ97" s="30" t="n"/>
      <c r="AL97" s="48" t="n"/>
      <c r="AM97" s="604" t="n"/>
      <c r="AN97" s="30" t="n"/>
      <c r="AR97" s="30" t="n"/>
    </row>
    <row r="98" ht="11.25" customHeight="1" s="26">
      <c r="P98" s="30" t="n"/>
      <c r="U98" s="30" t="n"/>
      <c r="V98" s="30" t="n"/>
      <c r="W98" s="30" t="n"/>
      <c r="X98" s="30" t="n"/>
      <c r="AF98" s="30" t="n"/>
      <c r="AJ98" s="30" t="n"/>
      <c r="AL98" s="48" t="n"/>
      <c r="AM98" s="604" t="n"/>
      <c r="AN98" s="30" t="n"/>
      <c r="AR98" s="30" t="n"/>
    </row>
    <row r="99" ht="11.25" customHeight="1" s="26">
      <c r="P99" s="30" t="n"/>
      <c r="U99" s="30" t="n"/>
      <c r="V99" s="30" t="n"/>
      <c r="W99" s="30" t="n"/>
      <c r="X99" s="30" t="n"/>
      <c r="AF99" s="30" t="n"/>
      <c r="AJ99" s="30" t="n"/>
      <c r="AL99" s="48" t="n"/>
      <c r="AM99" s="604" t="n"/>
      <c r="AN99" s="30" t="n"/>
      <c r="AR99" s="30" t="n"/>
    </row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1.25" customHeight="1" s="26"/>
    <row r="283" ht="11.25" customHeight="1" s="26"/>
    <row r="284" ht="11.2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  <row r="1001" ht="15.75" customHeight="1" s="26"/>
    <row r="1002" ht="15.75" customHeight="1" s="26"/>
    <row r="1003" ht="15.75" customHeight="1" s="26"/>
  </sheetData>
  <mergeCells count="308">
    <mergeCell ref="U74:U75"/>
    <mergeCell ref="F66:H66"/>
    <mergeCell ref="AA51:AA53"/>
    <mergeCell ref="M74:N74"/>
    <mergeCell ref="M18:M19"/>
    <mergeCell ref="U67:U68"/>
    <mergeCell ref="U42:U43"/>
    <mergeCell ref="W42:W43"/>
    <mergeCell ref="Q77:S77"/>
    <mergeCell ref="Y33:Y34"/>
    <mergeCell ref="M9:M10"/>
    <mergeCell ref="O9:O10"/>
    <mergeCell ref="U6:U7"/>
    <mergeCell ref="W6:W7"/>
    <mergeCell ref="G59:H59"/>
    <mergeCell ref="G61:H61"/>
    <mergeCell ref="AA15:AA16"/>
    <mergeCell ref="G48:H48"/>
    <mergeCell ref="Q39:Q40"/>
    <mergeCell ref="S39:S40"/>
    <mergeCell ref="AA30:AA31"/>
    <mergeCell ref="G62:H62"/>
    <mergeCell ref="S24:S25"/>
    <mergeCell ref="U24:U25"/>
    <mergeCell ref="M27:M28"/>
    <mergeCell ref="M24:M25"/>
    <mergeCell ref="W18:W19"/>
    <mergeCell ref="M76:N76"/>
    <mergeCell ref="Q51:Q53"/>
    <mergeCell ref="H12:J13"/>
    <mergeCell ref="W76:Y76"/>
    <mergeCell ref="H14:J15"/>
    <mergeCell ref="M55:M56"/>
    <mergeCell ref="S27:S28"/>
    <mergeCell ref="U45:U46"/>
    <mergeCell ref="U72:U73"/>
    <mergeCell ref="M12:M13"/>
    <mergeCell ref="W72:W73"/>
    <mergeCell ref="O12:O13"/>
    <mergeCell ref="AA36:AA37"/>
    <mergeCell ref="Y65:Y66"/>
    <mergeCell ref="C37:E37"/>
    <mergeCell ref="AA65:AA66"/>
    <mergeCell ref="G64:H64"/>
    <mergeCell ref="G51:H51"/>
    <mergeCell ref="Q62:S62"/>
    <mergeCell ref="AA57:AA61"/>
    <mergeCell ref="K8:K10"/>
    <mergeCell ref="U27:U28"/>
    <mergeCell ref="W33:W34"/>
    <mergeCell ref="P67:S68"/>
    <mergeCell ref="W77:Y77"/>
    <mergeCell ref="W9:W10"/>
    <mergeCell ref="AA55:AA56"/>
    <mergeCell ref="M33:M34"/>
    <mergeCell ref="S55:S56"/>
    <mergeCell ref="U55:U56"/>
    <mergeCell ref="M57:N57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Q70:S70"/>
    <mergeCell ref="M1:AA2"/>
    <mergeCell ref="V67:Z68"/>
    <mergeCell ref="Y36:Y37"/>
    <mergeCell ref="O3:O4"/>
    <mergeCell ref="Q3:Q4"/>
    <mergeCell ref="W83:Y83"/>
    <mergeCell ref="S3:S4"/>
    <mergeCell ref="O39:O40"/>
    <mergeCell ref="Q83:S83"/>
    <mergeCell ref="AA81:AA82"/>
    <mergeCell ref="C59:E59"/>
    <mergeCell ref="O36:O37"/>
    <mergeCell ref="O30:O31"/>
    <mergeCell ref="C46:E46"/>
    <mergeCell ref="Q79:Q80"/>
    <mergeCell ref="G38:H38"/>
    <mergeCell ref="M65:M66"/>
    <mergeCell ref="C61:E61"/>
    <mergeCell ref="O65:O66"/>
    <mergeCell ref="C48:E48"/>
    <mergeCell ref="AA74:AA75"/>
    <mergeCell ref="H18:J20"/>
    <mergeCell ref="W51:W53"/>
    <mergeCell ref="U9:U10"/>
    <mergeCell ref="M68:N68"/>
    <mergeCell ref="M67:N67"/>
    <mergeCell ref="Q42:Q43"/>
    <mergeCell ref="S42:S43"/>
    <mergeCell ref="Y39:Y40"/>
    <mergeCell ref="M15:M16"/>
    <mergeCell ref="C36:E36"/>
    <mergeCell ref="AA39:AA40"/>
    <mergeCell ref="M69:N69"/>
    <mergeCell ref="Q84:S84"/>
    <mergeCell ref="O55:O56"/>
    <mergeCell ref="Q6:Q7"/>
    <mergeCell ref="S6:S7"/>
    <mergeCell ref="M81:N81"/>
    <mergeCell ref="B67:J68"/>
    <mergeCell ref="P3:P4"/>
    <mergeCell ref="R3:R4"/>
    <mergeCell ref="C62:E62"/>
    <mergeCell ref="AA21:AA22"/>
    <mergeCell ref="Y51:Y53"/>
    <mergeCell ref="G41:H41"/>
    <mergeCell ref="K16:K17"/>
    <mergeCell ref="C64:E64"/>
    <mergeCell ref="Q24:Q25"/>
    <mergeCell ref="S18:S19"/>
    <mergeCell ref="G43:H43"/>
    <mergeCell ref="C1:F2"/>
    <mergeCell ref="D71:E72"/>
    <mergeCell ref="D73:E74"/>
    <mergeCell ref="B1:B2"/>
    <mergeCell ref="U12:U13"/>
    <mergeCell ref="W12:W13"/>
    <mergeCell ref="M36:M37"/>
    <mergeCell ref="Q76:S76"/>
    <mergeCell ref="M30:M31"/>
    <mergeCell ref="O79:O80"/>
    <mergeCell ref="AA3:AA4"/>
    <mergeCell ref="Y45:Y46"/>
    <mergeCell ref="W69:Y69"/>
    <mergeCell ref="Q45:Q46"/>
    <mergeCell ref="AA67:AA68"/>
    <mergeCell ref="S45:S46"/>
    <mergeCell ref="C58:E58"/>
    <mergeCell ref="S72:S73"/>
    <mergeCell ref="P81:S82"/>
    <mergeCell ref="U65:U66"/>
    <mergeCell ref="AA27:AA28"/>
    <mergeCell ref="W65:W66"/>
    <mergeCell ref="X3:X4"/>
    <mergeCell ref="Z3:Z4"/>
    <mergeCell ref="M82:N82"/>
    <mergeCell ref="AA24:AA25"/>
    <mergeCell ref="G3:G4"/>
    <mergeCell ref="Q27:Q28"/>
    <mergeCell ref="S33:S34"/>
    <mergeCell ref="G58:H58"/>
    <mergeCell ref="U33:U34"/>
    <mergeCell ref="Y42:Y43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W79:W80"/>
    <mergeCell ref="Q55:Q56"/>
    <mergeCell ref="AA6:AA7"/>
    <mergeCell ref="Y79:Y80"/>
    <mergeCell ref="W62:Y62"/>
    <mergeCell ref="K23:K25"/>
    <mergeCell ref="H31:K32"/>
    <mergeCell ref="AA48:AA49"/>
    <mergeCell ref="W70:Y70"/>
    <mergeCell ref="C38:E38"/>
    <mergeCell ref="K18:K20"/>
    <mergeCell ref="D69:E70"/>
    <mergeCell ref="M21:M22"/>
    <mergeCell ref="G65:H65"/>
    <mergeCell ref="M52:M53"/>
    <mergeCell ref="Y3:Y4"/>
    <mergeCell ref="C35:E35"/>
    <mergeCell ref="O18:O19"/>
    <mergeCell ref="Q63:S63"/>
    <mergeCell ref="AA33:AA34"/>
    <mergeCell ref="Q72:Q73"/>
    <mergeCell ref="U36:U37"/>
    <mergeCell ref="W21:W22"/>
    <mergeCell ref="AA45:AA46"/>
    <mergeCell ref="M75:N75"/>
    <mergeCell ref="O21:O22"/>
    <mergeCell ref="M45:M46"/>
    <mergeCell ref="C41:E41"/>
    <mergeCell ref="W36:W37"/>
    <mergeCell ref="O24:O25"/>
    <mergeCell ref="Q18:Q19"/>
    <mergeCell ref="C43:E43"/>
    <mergeCell ref="Q9:Q10"/>
    <mergeCell ref="S9:S10"/>
    <mergeCell ref="K12:K13"/>
    <mergeCell ref="G53:H53"/>
    <mergeCell ref="Y6:Y7"/>
    <mergeCell ref="K14:K15"/>
    <mergeCell ref="M42:M43"/>
    <mergeCell ref="O42:O43"/>
    <mergeCell ref="V81:Z82"/>
    <mergeCell ref="M61:N61"/>
    <mergeCell ref="U39:U40"/>
    <mergeCell ref="W39:W40"/>
    <mergeCell ref="W84:Y84"/>
    <mergeCell ref="O6:O7"/>
    <mergeCell ref="W24:W25"/>
    <mergeCell ref="C65:E65"/>
    <mergeCell ref="Y24:Y25"/>
    <mergeCell ref="M48:M49"/>
    <mergeCell ref="C44:E44"/>
    <mergeCell ref="H27:J30"/>
    <mergeCell ref="P57:S61"/>
    <mergeCell ref="H33:K33"/>
    <mergeCell ref="S51:S53"/>
    <mergeCell ref="U51:U53"/>
    <mergeCell ref="H35:K35"/>
    <mergeCell ref="J36:J37"/>
    <mergeCell ref="K27:K30"/>
    <mergeCell ref="C49:E49"/>
    <mergeCell ref="W27:W28"/>
    <mergeCell ref="O27:O28"/>
    <mergeCell ref="B71:C72"/>
    <mergeCell ref="Y18:Y19"/>
    <mergeCell ref="C42:E42"/>
    <mergeCell ref="AA18:AA19"/>
    <mergeCell ref="M62:N62"/>
    <mergeCell ref="B73:C74"/>
    <mergeCell ref="Y72:Y73"/>
    <mergeCell ref="Q12:Q13"/>
    <mergeCell ref="G44:H44"/>
    <mergeCell ref="AA72:AA73"/>
    <mergeCell ref="S12:S13"/>
    <mergeCell ref="M79:M80"/>
    <mergeCell ref="Y21:Y22"/>
    <mergeCell ref="Q69:S69"/>
    <mergeCell ref="W45:W46"/>
    <mergeCell ref="O45:O46"/>
    <mergeCell ref="C52:E52"/>
    <mergeCell ref="C39:E39"/>
    <mergeCell ref="G49:H49"/>
    <mergeCell ref="Q65:Q66"/>
    <mergeCell ref="S65:S66"/>
    <mergeCell ref="Y27:Y28"/>
    <mergeCell ref="H34:K34"/>
    <mergeCell ref="T3:T4"/>
    <mergeCell ref="P74:S75"/>
    <mergeCell ref="K3:K4"/>
    <mergeCell ref="U57:U61"/>
    <mergeCell ref="V57:Z61"/>
    <mergeCell ref="K5:K6"/>
    <mergeCell ref="C63:E63"/>
    <mergeCell ref="C50:E50"/>
    <mergeCell ref="Y9:Y10"/>
    <mergeCell ref="M83:N83"/>
    <mergeCell ref="AA9:AA10"/>
    <mergeCell ref="G42:H42"/>
    <mergeCell ref="O33:O34"/>
    <mergeCell ref="Q33:Q34"/>
    <mergeCell ref="W55:W56"/>
    <mergeCell ref="G39:H39"/>
    <mergeCell ref="G37:H37"/>
    <mergeCell ref="Q15:Q16"/>
    <mergeCell ref="S15:S16"/>
    <mergeCell ref="Q30:Q31"/>
    <mergeCell ref="U21:U22"/>
    <mergeCell ref="S30:S31"/>
    <mergeCell ref="AA79:AA80"/>
    <mergeCell ref="S79:S80"/>
    <mergeCell ref="W48:W49"/>
    <mergeCell ref="O48:O49"/>
    <mergeCell ref="Y48:Y49"/>
    <mergeCell ref="Q48:Q49"/>
    <mergeCell ref="H8:J10"/>
    <mergeCell ref="G63:H63"/>
    <mergeCell ref="G50:H50"/>
    <mergeCell ref="H16:J17"/>
    <mergeCell ref="H3:J4"/>
    <mergeCell ref="V74:Z75"/>
    <mergeCell ref="B69:C70"/>
    <mergeCell ref="G52:H52"/>
    <mergeCell ref="K21:K22"/>
    <mergeCell ref="W63:Y63"/>
    <mergeCell ref="H5:J6"/>
    <mergeCell ref="U3:U4"/>
    <mergeCell ref="M6:M7"/>
    <mergeCell ref="W3:W4"/>
    <mergeCell ref="U18:U19"/>
    <mergeCell ref="H21:J22"/>
    <mergeCell ref="C66:E66"/>
    <mergeCell ref="C53:E53"/>
    <mergeCell ref="T57:T61"/>
    <mergeCell ref="Y12:Y13"/>
    <mergeCell ref="AA12:AA13"/>
    <mergeCell ref="G45:H45"/>
    <mergeCell ref="Q36:Q37"/>
    <mergeCell ref="M72:M73"/>
    <mergeCell ref="S36:S37"/>
    <mergeCell ref="O72:O73"/>
    <mergeCell ref="H23:J25"/>
    <mergeCell ref="U79:U80"/>
    <mergeCell ref="G47:H47"/>
    <mergeCell ref="S21:S22"/>
    <mergeCell ref="G46:H46"/>
    <mergeCell ref="G40:H40"/>
    <mergeCell ref="U81:U82"/>
    <mergeCell ref="H1:K2"/>
  </mergeCells>
  <conditionalFormatting sqref="W35 W38 W44:W49">
    <cfRule type="cellIs" priority="1" operator="equal" dxfId="0">
      <formula>"'0'"</formula>
    </cfRule>
  </conditionalFormatting>
  <conditionalFormatting sqref="W45:W46 W48:W49">
    <cfRule type="cellIs" priority="2" operator="equal" dxfId="0">
      <formula>0</formula>
    </cfRule>
  </conditionalFormatting>
  <conditionalFormatting sqref="J39">
    <cfRule type="expression" priority="3" dxfId="1">
      <formula>ISNUMBER($F39)</formula>
    </cfRule>
  </conditionalFormatting>
  <conditionalFormatting sqref="W42:W43">
    <cfRule type="cellIs" priority="4" operator="equal" dxfId="0">
      <formula>0</formula>
    </cfRule>
  </conditionalFormatting>
  <conditionalFormatting sqref="W11">
    <cfRule type="cellIs" priority="5" operator="equal" dxfId="0">
      <formula>"'0'"</formula>
    </cfRule>
  </conditionalFormatting>
  <conditionalFormatting sqref="W29">
    <cfRule type="cellIs" priority="6" operator="equal" dxfId="0">
      <formula>"'0'"</formula>
    </cfRule>
  </conditionalFormatting>
  <conditionalFormatting sqref="W6:W7">
    <cfRule type="cellIs" priority="7" operator="equal" dxfId="0">
      <formula>0</formula>
    </cfRule>
    <cfRule type="cellIs" priority="9" operator="equal" dxfId="0">
      <formula>"'0'"</formula>
    </cfRule>
    <cfRule type="cellIs" priority="10" operator="equal" dxfId="0">
      <formula>0</formula>
    </cfRule>
  </conditionalFormatting>
  <conditionalFormatting sqref="W8">
    <cfRule type="cellIs" priority="8" operator="equal" dxfId="0">
      <formula>"'0'"</formula>
    </cfRule>
  </conditionalFormatting>
  <conditionalFormatting sqref="W14">
    <cfRule type="cellIs" priority="11" operator="equal" dxfId="0">
      <formula>"'0'"</formula>
    </cfRule>
  </conditionalFormatting>
  <conditionalFormatting sqref="W36:W37">
    <cfRule type="cellIs" priority="12" operator="equal" dxfId="0">
      <formula>"'0'"</formula>
    </cfRule>
    <cfRule type="cellIs" priority="15" operator="equal" dxfId="0">
      <formula>0</formula>
    </cfRule>
  </conditionalFormatting>
  <conditionalFormatting sqref="W39:W40">
    <cfRule type="cellIs" priority="13" operator="equal" dxfId="0">
      <formula>"'0'"</formula>
    </cfRule>
    <cfRule type="cellIs" priority="14" operator="equal" dxfId="0">
      <formula>0</formula>
    </cfRule>
  </conditionalFormatting>
  <conditionalFormatting sqref="W9:W10">
    <cfRule type="cellIs" priority="16" operator="equal" dxfId="0">
      <formula>"'0'"</formula>
    </cfRule>
    <cfRule type="cellIs" priority="17" operator="equal" dxfId="0">
      <formula>0</formula>
    </cfRule>
  </conditionalFormatting>
  <conditionalFormatting sqref="W12:W13">
    <cfRule type="cellIs" priority="18" operator="equal" dxfId="0">
      <formula>0</formula>
    </cfRule>
  </conditionalFormatting>
  <conditionalFormatting sqref="W8 W17 W23:W28">
    <cfRule type="cellIs" priority="19" operator="equal" dxfId="0">
      <formula>"'0'"</formula>
    </cfRule>
  </conditionalFormatting>
  <conditionalFormatting sqref="W24:W25 W27:W28">
    <cfRule type="cellIs" priority="20" operator="equal" dxfId="0">
      <formula>0</formula>
    </cfRule>
  </conditionalFormatting>
  <conditionalFormatting sqref="W12:W13 W21:W22">
    <cfRule type="cellIs" priority="21" operator="equal" dxfId="0">
      <formula>0</formula>
    </cfRule>
  </conditionalFormatting>
  <conditionalFormatting sqref="W6:W7 W15:W16">
    <cfRule type="cellIs" priority="22" operator="equal" dxfId="0">
      <formula>"'0'"</formula>
    </cfRule>
    <cfRule type="cellIs" priority="23" operator="equal" dxfId="0">
      <formula>0</formula>
    </cfRule>
  </conditionalFormatting>
  <conditionalFormatting sqref="W9:W10 W18:W19">
    <cfRule type="cellIs" priority="24" operator="equal" dxfId="0">
      <formula>"'0'"</formula>
    </cfRule>
    <cfRule type="cellIs" priority="25" operator="equal" dxfId="0">
      <formula>0</formula>
    </cfRule>
  </conditionalFormatting>
  <conditionalFormatting sqref="W30:W34">
    <cfRule type="cellIs" priority="26" operator="equal" dxfId="0">
      <formula>"'0'"</formula>
    </cfRule>
  </conditionalFormatting>
  <conditionalFormatting sqref="W30:W31 W33:W34">
    <cfRule type="cellIs" priority="27" operator="equal" dxfId="0">
      <formula>0</formula>
    </cfRule>
  </conditionalFormatting>
  <conditionalFormatting sqref="J38:J44">
    <cfRule type="expression" priority="28" dxfId="1">
      <formula>ISNUMBER($F38)</formula>
    </cfRule>
  </conditionalFormatting>
  <conditionalFormatting sqref="J40:J41 J43:J54">
    <cfRule type="expression" priority="29" dxfId="1">
      <formula>ISNUMBER($F40)</formula>
    </cfRule>
  </conditionalFormatting>
  <conditionalFormatting sqref="J55">
    <cfRule type="expression" priority="30" dxfId="1">
      <formula>ISNUMBER($F53)</formula>
    </cfRule>
  </conditionalFormatting>
  <conditionalFormatting sqref="J49">
    <cfRule type="expression" priority="31" dxfId="1">
      <formula>ISNUMBER($F49)</formula>
    </cfRule>
  </conditionalFormatting>
  <conditionalFormatting sqref="J56">
    <cfRule type="expression" priority="32" dxfId="1">
      <formula>ISNUMBER($F43)</formula>
    </cfRule>
  </conditionalFormatting>
  <conditionalFormatting sqref="J40:J57">
    <cfRule type="expression" priority="33" dxfId="1">
      <formula>ISNUMBER($F40)</formula>
    </cfRule>
  </conditionalFormatting>
  <conditionalFormatting sqref="J57">
    <cfRule type="expression" priority="34" dxfId="1">
      <formula>ISNUMBER($F39)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9.289999999999999" customWidth="1" style="26" min="2" max="2"/>
    <col width="12.43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CONCATENATE("Andrew Weinert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1B,2B,3B,CI,MI</t>
        </is>
      </c>
      <c r="C3" s="38" t="n"/>
      <c r="D3" s="38" t="n"/>
      <c r="E3" s="38" t="n"/>
      <c r="G3" s="88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</t>
        </is>
      </c>
      <c r="C4" s="38" t="n"/>
      <c r="D4" s="38" t="n"/>
      <c r="E4" s="38" t="n"/>
      <c r="G4" s="855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</t>
        </is>
      </c>
      <c r="C5" s="38" t="n"/>
      <c r="D5" s="38" t="n"/>
      <c r="E5" s="38" t="n"/>
      <c r="G5" s="856" t="n"/>
      <c r="H5" s="55" t="n"/>
      <c r="K5" s="108" t="n"/>
      <c r="L5" s="98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1B,CI,OF</t>
        </is>
      </c>
      <c r="C6" s="38" t="n"/>
      <c r="D6" s="38" t="n"/>
      <c r="E6" s="38" t="n"/>
      <c r="G6" s="54" t="n"/>
      <c r="H6" s="702" t="n"/>
      <c r="K6" s="108" t="n"/>
      <c r="L6" s="98" t="n"/>
      <c r="M6" s="802" t="inlineStr">
        <is>
          <t>1st player contract --&gt;&gt;</t>
        </is>
      </c>
      <c r="N6" s="71" t="n"/>
      <c r="O6" s="184" t="inlineStr">
        <is>
          <t>Colton Cowser</t>
        </is>
      </c>
      <c r="P6" s="523" t="n"/>
      <c r="Q6" s="186" t="n">
        <v>0</v>
      </c>
      <c r="R6" s="75" t="n"/>
      <c r="S6" s="188" t="n">
        <v>2024</v>
      </c>
      <c r="T6" s="77" t="n"/>
      <c r="U6" s="857" t="n">
        <v>3</v>
      </c>
      <c r="V6" s="79" t="n"/>
      <c r="W6" s="804">
        <f>Y6-$B$1</f>
        <v/>
      </c>
      <c r="X6" s="127" t="n"/>
      <c r="Y6" s="86">
        <f>S6+U6</f>
        <v/>
      </c>
      <c r="Z6" s="71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2B,MI</t>
        </is>
      </c>
      <c r="C7" s="38" t="n"/>
      <c r="D7" s="38" t="n"/>
      <c r="E7" s="38" t="n"/>
      <c r="G7" s="67" t="n"/>
      <c r="H7" s="99" t="n"/>
      <c r="I7" s="100" t="n"/>
      <c r="J7" s="100" t="n"/>
      <c r="K7" s="102" t="n"/>
      <c r="L7" s="29" t="n"/>
      <c r="M7" s="702" t="n"/>
      <c r="N7" s="71" t="n"/>
      <c r="P7" s="523" t="n"/>
      <c r="R7" s="75" t="n"/>
      <c r="T7" s="77" t="n"/>
      <c r="U7" s="771" t="n"/>
      <c r="V7" s="79" t="n"/>
      <c r="W7" s="771" t="n"/>
      <c r="X7" s="127" t="n"/>
      <c r="Z7" s="71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2B,MI</t>
        </is>
      </c>
      <c r="C8" s="38" t="n"/>
      <c r="D8" s="38" t="n"/>
      <c r="E8" s="38" t="n"/>
      <c r="G8" s="67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124" t="n"/>
      <c r="V8" s="616" t="n"/>
      <c r="W8" s="124" t="n"/>
      <c r="X8" s="622" t="n"/>
      <c r="Y8" s="141" t="n"/>
      <c r="Z8" s="622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2B,MI</t>
        </is>
      </c>
      <c r="C9" s="38" t="n"/>
      <c r="D9" s="38" t="n"/>
      <c r="E9" s="38" t="n"/>
      <c r="G9" s="67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Bryson Stott</t>
        </is>
      </c>
      <c r="P9" s="616" t="n"/>
      <c r="Q9" s="186" t="n">
        <v>2</v>
      </c>
      <c r="R9" s="146" t="n"/>
      <c r="S9" s="188" t="n">
        <v>2023</v>
      </c>
      <c r="T9" s="79" t="n"/>
      <c r="U9" s="803" t="n">
        <v>3</v>
      </c>
      <c r="V9" s="79" t="n"/>
      <c r="W9" s="807">
        <f>Y9-$B$1</f>
        <v/>
      </c>
      <c r="X9" s="127" t="n"/>
      <c r="Y9" s="86">
        <f>S9+U9</f>
        <v/>
      </c>
      <c r="Z9" s="71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3B,CI</t>
        </is>
      </c>
      <c r="C10" s="38" t="n"/>
      <c r="D10" s="38" t="n"/>
      <c r="E10" s="38" t="n"/>
      <c r="G10" s="67" t="n"/>
      <c r="H10" s="755" t="n"/>
      <c r="I10" s="759" t="n"/>
      <c r="J10" s="759" t="n"/>
      <c r="K10" s="793" t="n"/>
      <c r="L10" s="29" t="n"/>
      <c r="M10" s="702" t="n"/>
      <c r="N10" s="71" t="n"/>
      <c r="P10" s="616" t="n"/>
      <c r="R10" s="146" t="n"/>
      <c r="T10" s="79" t="n"/>
      <c r="U10" s="771" t="n"/>
      <c r="V10" s="79" t="n"/>
      <c r="W10" s="771" t="n"/>
      <c r="X10" s="127" t="n"/>
      <c r="Z10" s="71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3B,CI</t>
        </is>
      </c>
      <c r="C11" s="110" t="n"/>
      <c r="D11" s="38" t="n"/>
      <c r="E11" s="38" t="n"/>
      <c r="G11" s="67" t="n"/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124" t="n"/>
      <c r="V11" s="616" t="n"/>
      <c r="W11" s="124" t="n"/>
      <c r="X11" s="622" t="n"/>
      <c r="Y11" s="622" t="n"/>
      <c r="Z11" s="622" t="n"/>
      <c r="AA11" s="15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C</t>
        </is>
      </c>
      <c r="C12" s="38" t="n"/>
      <c r="D12" s="38" t="n"/>
      <c r="E12" s="38" t="n"/>
      <c r="G12" s="67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Spencer Torkelson</t>
        </is>
      </c>
      <c r="P12" s="616" t="n"/>
      <c r="Q12" s="228" t="n">
        <v>3</v>
      </c>
      <c r="R12" s="146" t="n"/>
      <c r="S12" s="188" t="n">
        <v>2022</v>
      </c>
      <c r="T12" s="79" t="n"/>
      <c r="U12" s="803" t="n">
        <v>5</v>
      </c>
      <c r="V12" s="79" t="n"/>
      <c r="W12" s="807">
        <f>Y12-$B$1</f>
        <v/>
      </c>
      <c r="X12" s="127" t="n"/>
      <c r="Y12" s="86">
        <f>S12+U12</f>
        <v/>
      </c>
      <c r="Z12" s="71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C</t>
        </is>
      </c>
      <c r="C13" s="38" t="n"/>
      <c r="D13" s="38" t="n"/>
      <c r="E13" s="38" t="n"/>
      <c r="G13" s="67" t="n"/>
      <c r="H13" s="702" t="n"/>
      <c r="K13" s="619" t="n"/>
      <c r="L13" s="29" t="n"/>
      <c r="M13" s="702" t="n"/>
      <c r="N13" s="71" t="n"/>
      <c r="P13" s="616" t="n"/>
      <c r="R13" s="146" t="n"/>
      <c r="T13" s="79" t="n"/>
      <c r="U13" s="771" t="n"/>
      <c r="V13" s="79" t="n"/>
      <c r="W13" s="771" t="n"/>
      <c r="X13" s="127" t="n"/>
      <c r="Z13" s="71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G14" s="67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124" t="n"/>
      <c r="V14" s="616" t="n"/>
      <c r="W14" s="124" t="n"/>
      <c r="X14" s="622" t="n"/>
      <c r="Y14" s="141" t="n"/>
      <c r="Z14" s="622" t="n"/>
      <c r="AA14" s="164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G15" s="67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Kerry Carpenter</t>
        </is>
      </c>
      <c r="P15" s="616" t="n"/>
      <c r="Q15" s="228" t="n">
        <v>0</v>
      </c>
      <c r="R15" s="146" t="n"/>
      <c r="S15" s="188" t="n">
        <v>2023</v>
      </c>
      <c r="T15" s="79" t="n"/>
      <c r="U15" s="803" t="n">
        <v>3</v>
      </c>
      <c r="V15" s="79" t="n"/>
      <c r="W15" s="807">
        <f>Y15-$B$1</f>
        <v/>
      </c>
      <c r="X15" s="127" t="n"/>
      <c r="Y15" s="86">
        <f>S15+U15</f>
        <v/>
      </c>
      <c r="Z15" s="71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G16" s="67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616" t="n"/>
      <c r="R16" s="146" t="n"/>
      <c r="T16" s="79" t="n"/>
      <c r="U16" s="771" t="n"/>
      <c r="V16" s="79" t="n"/>
      <c r="W16" s="771" t="n"/>
      <c r="X16" s="127" t="n"/>
      <c r="Z16" s="71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G17" s="67" t="n"/>
      <c r="H17" s="702" t="n"/>
      <c r="K17" s="619" t="n"/>
      <c r="L17" s="29" t="n"/>
      <c r="M17" s="119" t="n"/>
      <c r="N17" s="71" t="n"/>
      <c r="O17" s="616" t="n"/>
      <c r="P17" s="616" t="n"/>
      <c r="Q17" s="146" t="n"/>
      <c r="R17" s="146" t="n"/>
      <c r="S17" s="616" t="n"/>
      <c r="T17" s="616" t="n"/>
      <c r="U17" s="124" t="n"/>
      <c r="V17" s="616" t="n"/>
      <c r="W17" s="124" t="n"/>
      <c r="X17" s="139" t="n"/>
      <c r="Y17" s="141" t="n"/>
      <c r="Z17" s="71" t="n"/>
      <c r="AA17" s="14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38" t="n"/>
      <c r="D18" s="38" t="n"/>
      <c r="E18" s="38" t="n"/>
      <c r="G18" s="67" t="n"/>
      <c r="H18" s="162">
        <f>CONCATENATE($B$1+1," Auction Budget acquired by trade (Offseason Only)")</f>
        <v/>
      </c>
      <c r="K18" s="809">
        <f>'Draft budget calc'!E3</f>
        <v/>
      </c>
      <c r="L18" s="29" t="n"/>
      <c r="M18" s="802" t="inlineStr">
        <is>
          <t>5th player contract --&gt;&gt;</t>
        </is>
      </c>
      <c r="N18" s="71" t="n"/>
      <c r="O18" s="184" t="inlineStr">
        <is>
          <t>George Kirby</t>
        </is>
      </c>
      <c r="P18" s="616" t="n"/>
      <c r="Q18" s="186" t="n">
        <v>6</v>
      </c>
      <c r="R18" s="146" t="n"/>
      <c r="S18" s="188" t="n">
        <v>2024</v>
      </c>
      <c r="T18" s="79" t="n"/>
      <c r="U18" s="803" t="n">
        <v>5</v>
      </c>
      <c r="V18" s="79" t="n"/>
      <c r="W18" s="807">
        <f>Y18-$B$1</f>
        <v/>
      </c>
      <c r="X18" s="127" t="n"/>
      <c r="Y18" s="86">
        <f>S18+U18</f>
        <v/>
      </c>
      <c r="Z18" s="71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OF</t>
        </is>
      </c>
      <c r="C19" s="110" t="n"/>
      <c r="D19" s="38" t="n"/>
      <c r="E19" s="38" t="n"/>
      <c r="G19" s="67" t="n"/>
      <c r="H19" s="702" t="n"/>
      <c r="K19" s="619" t="n"/>
      <c r="L19" s="29" t="n"/>
      <c r="M19" s="702" t="n"/>
      <c r="N19" s="71" t="n"/>
      <c r="P19" s="616" t="n"/>
      <c r="R19" s="146" t="n"/>
      <c r="T19" s="79" t="n"/>
      <c r="U19" s="771" t="n"/>
      <c r="V19" s="79" t="n"/>
      <c r="W19" s="771" t="n"/>
      <c r="X19" s="127" t="n"/>
      <c r="Z19" s="71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OF</t>
        </is>
      </c>
      <c r="C20" s="38" t="n"/>
      <c r="D20" s="38" t="n"/>
      <c r="E20" s="38" t="n"/>
      <c r="G20" s="67" t="n"/>
      <c r="H20" s="702" t="n"/>
      <c r="K20" s="619" t="n"/>
      <c r="L20" s="29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124" t="n"/>
      <c r="V20" s="616" t="n"/>
      <c r="W20" s="124" t="n"/>
      <c r="X20" s="139" t="n"/>
      <c r="Y20" s="141" t="n"/>
      <c r="Z20" s="71" t="n"/>
      <c r="AA20" s="143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G21" s="67" t="n"/>
      <c r="H21" s="171" t="inlineStr">
        <is>
          <t>Min. IP Penalties</t>
        </is>
      </c>
      <c r="K21" s="810" t="n"/>
      <c r="L21" s="29" t="n"/>
      <c r="M21" s="802" t="inlineStr">
        <is>
          <t>6th player contract --&gt;&gt;</t>
        </is>
      </c>
      <c r="N21" s="71" t="n"/>
      <c r="O21" s="184" t="inlineStr">
        <is>
          <t>Grayson Rodriguez</t>
        </is>
      </c>
      <c r="P21" s="616" t="n"/>
      <c r="Q21" s="228" t="n">
        <v>6</v>
      </c>
      <c r="R21" s="146" t="n"/>
      <c r="S21" s="188" t="n">
        <v>2024</v>
      </c>
      <c r="T21" s="79" t="n"/>
      <c r="U21" s="803" t="n">
        <v>5</v>
      </c>
      <c r="V21" s="79" t="n"/>
      <c r="W21" s="807">
        <f>Y21-$B$1</f>
        <v/>
      </c>
      <c r="X21" s="127" t="n"/>
      <c r="Y21" s="86">
        <f>S21+U21</f>
        <v/>
      </c>
      <c r="Z21" s="71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G22" s="67" t="n"/>
      <c r="H22" s="702" t="n"/>
      <c r="K22" s="619" t="n"/>
      <c r="L22" s="29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127" t="n"/>
      <c r="Z22" s="71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G23" s="67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616" t="n"/>
      <c r="P23" s="616" t="n"/>
      <c r="Q23" s="146" t="n"/>
      <c r="R23" s="146" t="n"/>
      <c r="S23" s="616" t="n"/>
      <c r="T23" s="616" t="n"/>
      <c r="U23" s="124" t="n"/>
      <c r="V23" s="616" t="n"/>
      <c r="W23" s="124" t="n"/>
      <c r="X23" s="139" t="n"/>
      <c r="Y23" s="141" t="n"/>
      <c r="Z23" s="71" t="n"/>
      <c r="AA23" s="143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G24" s="67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184" t="inlineStr">
        <is>
          <t>Zack Gelof</t>
        </is>
      </c>
      <c r="P24" s="616" t="n"/>
      <c r="Q24" s="180" t="n">
        <v>4</v>
      </c>
      <c r="R24" s="146" t="n"/>
      <c r="S24" s="181" t="n">
        <v>2023</v>
      </c>
      <c r="T24" s="79" t="n"/>
      <c r="U24" s="858" t="n">
        <v>3</v>
      </c>
      <c r="V24" s="79" t="n"/>
      <c r="W24" s="807">
        <f>Y24-$B$1</f>
        <v/>
      </c>
      <c r="X24" s="127" t="n"/>
      <c r="Y24" s="86">
        <f>S24+U24</f>
        <v/>
      </c>
      <c r="Z24" s="71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G25" s="67" t="n"/>
      <c r="H25" s="755" t="n"/>
      <c r="I25" s="759" t="n"/>
      <c r="J25" s="759" t="n"/>
      <c r="K25" s="793" t="n"/>
      <c r="L25" s="29" t="n"/>
      <c r="M25" s="702" t="n"/>
      <c r="N25" s="71" t="n"/>
      <c r="P25" s="616" t="n"/>
      <c r="R25" s="146" t="n"/>
      <c r="T25" s="79" t="n"/>
      <c r="U25" s="771" t="n"/>
      <c r="V25" s="79" t="n"/>
      <c r="W25" s="771" t="n"/>
      <c r="X25" s="127" t="n"/>
      <c r="Z25" s="71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G26" s="67" t="n"/>
      <c r="H26" s="622" t="n"/>
      <c r="I26" s="622" t="n"/>
      <c r="J26" s="622" t="n"/>
      <c r="K26" s="622" t="n"/>
      <c r="L26" s="29" t="n"/>
      <c r="M26" s="172" t="n"/>
      <c r="N26" s="622" t="n"/>
      <c r="O26" s="616" t="n"/>
      <c r="P26" s="616" t="n"/>
      <c r="Q26" s="146" t="n"/>
      <c r="R26" s="146" t="n"/>
      <c r="S26" s="616" t="n"/>
      <c r="T26" s="616" t="n"/>
      <c r="U26" s="124" t="n"/>
      <c r="V26" s="616" t="n"/>
      <c r="W26" s="124" t="n"/>
      <c r="X26" s="139" t="n"/>
      <c r="Y26" s="141" t="n"/>
      <c r="Z26" s="71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G27" s="67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184" t="inlineStr">
        <is>
          <t>Austin Wells</t>
        </is>
      </c>
      <c r="P27" s="616" t="n"/>
      <c r="Q27" s="228" t="n">
        <v>3</v>
      </c>
      <c r="R27" s="146" t="n"/>
      <c r="S27" s="188" t="n">
        <v>2024</v>
      </c>
      <c r="T27" s="79" t="n"/>
      <c r="U27" s="803" t="n">
        <v>3</v>
      </c>
      <c r="V27" s="79" t="n"/>
      <c r="W27" s="807">
        <f>Y27-$B$1</f>
        <v/>
      </c>
      <c r="X27" s="127" t="n"/>
      <c r="Y27" s="86">
        <f>S27+U27</f>
        <v/>
      </c>
      <c r="Z27" s="71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G28" s="67" t="n"/>
      <c r="H28" s="702" t="n"/>
      <c r="K28" s="619" t="n"/>
      <c r="L28" s="29" t="n"/>
      <c r="M28" s="702" t="n"/>
      <c r="N28" s="622" t="n"/>
      <c r="P28" s="616" t="n"/>
      <c r="R28" s="146" t="n"/>
      <c r="T28" s="79" t="n"/>
      <c r="U28" s="771" t="n"/>
      <c r="V28" s="79" t="n"/>
      <c r="W28" s="771" t="n"/>
      <c r="X28" s="127" t="n"/>
      <c r="Z28" s="71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G29" s="67" t="n"/>
      <c r="H29" s="702" t="n"/>
      <c r="K29" s="619" t="n"/>
      <c r="L29" s="29" t="n"/>
      <c r="M29" s="172" t="n"/>
      <c r="N29" s="622" t="n"/>
      <c r="O29" s="616" t="n"/>
      <c r="P29" s="616" t="n"/>
      <c r="Q29" s="146" t="n"/>
      <c r="R29" s="146" t="n"/>
      <c r="S29" s="616" t="n"/>
      <c r="T29" s="616" t="n"/>
      <c r="U29" s="124" t="n"/>
      <c r="V29" s="616" t="n"/>
      <c r="W29" s="124" t="n"/>
      <c r="X29" s="622" t="n"/>
      <c r="Y29" s="622" t="n"/>
      <c r="Z29" s="622" t="n"/>
      <c r="AA29" s="15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G30" s="67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184" t="n"/>
      <c r="P30" s="201" t="n"/>
      <c r="Q30" s="180" t="n"/>
      <c r="R30" s="203" t="n"/>
      <c r="S30" s="181" t="n"/>
      <c r="T30" s="205" t="n"/>
      <c r="U30" s="858" t="n"/>
      <c r="V30" s="79" t="n"/>
      <c r="W30" s="807">
        <f>Y30-$B$1</f>
        <v/>
      </c>
      <c r="X30" s="127" t="n"/>
      <c r="Y30" s="86">
        <f>S30+U30</f>
        <v/>
      </c>
      <c r="Z30" s="71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G31" s="218" t="n"/>
      <c r="H31" s="54" t="inlineStr">
        <is>
          <t>Roster Key</t>
        </is>
      </c>
      <c r="L31" s="29" t="n"/>
      <c r="M31" s="702" t="n"/>
      <c r="N31" s="71" t="n"/>
      <c r="P31" s="201" t="n"/>
      <c r="R31" s="203" t="n"/>
      <c r="T31" s="205" t="n"/>
      <c r="U31" s="771" t="n"/>
      <c r="V31" s="79" t="n"/>
      <c r="W31" s="771" t="n"/>
      <c r="X31" s="127" t="n"/>
      <c r="Z31" s="71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218" t="n"/>
      <c r="L32" s="29" t="n"/>
      <c r="M32" s="172" t="n"/>
      <c r="N32" s="622" t="n"/>
      <c r="O32" s="616" t="n"/>
      <c r="P32" s="616" t="n"/>
      <c r="Q32" s="146" t="n"/>
      <c r="R32" s="146" t="n"/>
      <c r="S32" s="616" t="n"/>
      <c r="T32" s="616" t="n"/>
      <c r="U32" s="124" t="n"/>
      <c r="V32" s="616" t="n"/>
      <c r="W32" s="124" t="n"/>
      <c r="X32" s="622" t="n"/>
      <c r="Y32" s="141" t="n"/>
      <c r="Z32" s="622" t="n"/>
      <c r="AA32" s="16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P</t>
        </is>
      </c>
      <c r="C33" s="38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616" t="n"/>
      <c r="Q33" s="228" t="n"/>
      <c r="R33" s="146" t="n"/>
      <c r="S33" s="188" t="n"/>
      <c r="T33" s="79" t="n"/>
      <c r="U33" s="803" t="n"/>
      <c r="V33" s="79" t="n"/>
      <c r="W33" s="807">
        <f>Y33-$B$1</f>
        <v/>
      </c>
      <c r="X33" s="127" t="n"/>
      <c r="Y33" s="86">
        <f>S33+U33</f>
        <v/>
      </c>
      <c r="Z33" s="71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P</t>
        </is>
      </c>
      <c r="C34" s="110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616" t="n"/>
      <c r="R34" s="146" t="n"/>
      <c r="T34" s="79" t="n"/>
      <c r="U34" s="771" t="n"/>
      <c r="V34" s="79" t="n"/>
      <c r="W34" s="771" t="n"/>
      <c r="X34" s="127" t="n"/>
      <c r="Z34" s="71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38" t="inlineStr">
        <is>
          <t>P</t>
        </is>
      </c>
      <c r="C35" s="38" t="n"/>
      <c r="D35" s="38" t="n"/>
      <c r="E35" s="38" t="n"/>
      <c r="G35" s="249" t="n"/>
      <c r="H35" s="859" t="inlineStr">
        <is>
          <t>White = Signable</t>
        </is>
      </c>
      <c r="K35" s="619" t="n"/>
      <c r="L35" s="29" t="n"/>
      <c r="M35" s="172" t="n"/>
      <c r="N35" s="622" t="n"/>
      <c r="O35" s="685" t="n"/>
      <c r="P35" s="139" t="n"/>
      <c r="Q35" s="247" t="n"/>
      <c r="R35" s="67" t="n"/>
      <c r="S35" s="248" t="n"/>
      <c r="T35" s="215" t="n"/>
      <c r="U35" s="254" t="n"/>
      <c r="V35" s="139" t="n"/>
      <c r="W35" s="255" t="n"/>
      <c r="X35" s="139" t="n"/>
      <c r="Y35" s="141" t="n"/>
      <c r="Z35" s="71" t="n"/>
      <c r="AA35" s="143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0.5" customHeight="1" s="26">
      <c r="A36" s="622" t="n"/>
      <c r="B36" s="38" t="inlineStr">
        <is>
          <t>SS,MI</t>
        </is>
      </c>
      <c r="C36" s="38" t="n"/>
      <c r="D36" s="38" t="n"/>
      <c r="E36" s="38" t="n"/>
      <c r="F36" s="367" t="n"/>
      <c r="G36" s="257" t="n"/>
      <c r="H36" s="258" t="n"/>
      <c r="I36" s="258" t="n"/>
      <c r="J36" s="860">
        <f>CONCATENATE("Keep ",M3+1,"?")</f>
        <v/>
      </c>
      <c r="K36" s="82" t="n"/>
      <c r="L36" s="29" t="n"/>
      <c r="M36" s="802" t="inlineStr">
        <is>
          <t>11th player contract --&gt;&gt;</t>
        </is>
      </c>
      <c r="N36" s="71" t="n"/>
      <c r="O36" s="527" t="n"/>
      <c r="P36" s="260" t="n"/>
      <c r="Q36" s="186" t="n"/>
      <c r="R36" s="261" t="n"/>
      <c r="S36" s="263" t="n"/>
      <c r="T36" s="260" t="n"/>
      <c r="U36" s="861" t="n"/>
      <c r="V36" s="127" t="n"/>
      <c r="W36" s="821">
        <f>Y36-$B$1</f>
        <v/>
      </c>
      <c r="X36" s="139" t="n"/>
      <c r="Y36" s="86">
        <f>S36+U36</f>
        <v/>
      </c>
      <c r="Z36" s="71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G36" s="49" t="n"/>
      <c r="AH36" s="48" t="n"/>
      <c r="AI36" s="604" t="n"/>
      <c r="AJ36" s="50" t="n"/>
      <c r="AK36" s="49" t="n"/>
      <c r="AL36" s="48" t="n"/>
      <c r="AM36" s="604" t="n"/>
      <c r="AN36" s="50" t="n"/>
      <c r="AO36" s="49" t="n"/>
      <c r="AR36" s="30" t="n"/>
      <c r="AS36" s="49" t="n"/>
      <c r="AT36" s="48" t="n"/>
      <c r="AU36" s="604" t="n"/>
    </row>
    <row r="37" ht="10.5" customHeight="1" s="26">
      <c r="A37" s="622" t="n"/>
      <c r="B37" s="38" t="inlineStr">
        <is>
          <t>SS,MI</t>
        </is>
      </c>
      <c r="C37" s="276" t="n"/>
      <c r="D37" s="276" t="n"/>
      <c r="E37" s="276" t="n"/>
      <c r="F37" s="560" t="n"/>
      <c r="G37" s="279" t="inlineStr">
        <is>
          <t>Drafted</t>
        </is>
      </c>
      <c r="H37" s="759" t="n"/>
      <c r="I37" s="282" t="inlineStr">
        <is>
          <t>MLB</t>
        </is>
      </c>
      <c r="J37" s="759" t="n"/>
      <c r="K37" s="284" t="n"/>
      <c r="L37" s="29" t="n"/>
      <c r="M37" s="702" t="n"/>
      <c r="N37" s="71" t="n"/>
      <c r="P37" s="260" t="n"/>
      <c r="R37" s="261" t="n"/>
      <c r="T37" s="260" t="n"/>
      <c r="U37" s="823" t="n"/>
      <c r="V37" s="127" t="n"/>
      <c r="W37" s="823" t="n"/>
      <c r="X37" s="139" t="n"/>
      <c r="Z37" s="71" t="n"/>
      <c r="AA37" s="619" t="n"/>
      <c r="AB37" s="195" t="n"/>
      <c r="AC37" s="49" t="n"/>
      <c r="AD37" s="48" t="n"/>
      <c r="AE37" s="604" t="n"/>
      <c r="AF37" s="50" t="n"/>
      <c r="AG37" s="49" t="n"/>
      <c r="AH37" s="48" t="n"/>
      <c r="AI37" s="604" t="n"/>
      <c r="AJ37" s="50" t="n"/>
      <c r="AK37" s="49" t="n"/>
      <c r="AL37" s="48" t="n"/>
      <c r="AM37" s="604" t="n"/>
      <c r="AN37" s="50" t="n"/>
      <c r="AO37" s="49" t="n"/>
      <c r="AR37" s="30" t="n"/>
      <c r="AS37" s="49" t="n"/>
      <c r="AT37" s="48" t="n"/>
      <c r="AU37" s="604" t="n"/>
    </row>
    <row r="38" ht="10.5" customHeight="1" s="26">
      <c r="A38" s="67" t="n"/>
      <c r="B38" s="222" t="inlineStr">
        <is>
          <t>Farm 1</t>
        </is>
      </c>
      <c r="C38" s="862" t="n"/>
      <c r="E38" s="619" t="n"/>
      <c r="F38" s="388" t="n"/>
      <c r="G38" s="332" t="n"/>
      <c r="I38" s="288" t="n"/>
      <c r="J38" s="289" t="n"/>
      <c r="K38" s="172" t="n"/>
      <c r="L38" s="29" t="n"/>
      <c r="M38" s="172" t="n"/>
      <c r="N38" s="622" t="n"/>
      <c r="O38" s="685" t="n"/>
      <c r="P38" s="139" t="n"/>
      <c r="Q38" s="247" t="n"/>
      <c r="R38" s="67" t="n"/>
      <c r="S38" s="248" t="n"/>
      <c r="T38" s="215" t="n"/>
      <c r="U38" s="291" t="n"/>
      <c r="V38" s="139" t="n"/>
      <c r="W38" s="251" t="n"/>
      <c r="X38" s="139" t="n"/>
      <c r="Y38" s="141" t="n"/>
      <c r="Z38" s="71" t="n"/>
      <c r="AA38" s="143" t="n"/>
      <c r="AB38" s="195" t="n"/>
      <c r="AC38" s="49" t="n"/>
      <c r="AD38" s="48" t="n"/>
      <c r="AE38" s="604" t="n"/>
      <c r="AF38" s="50" t="n"/>
      <c r="AG38" s="49" t="n"/>
      <c r="AH38" s="48" t="n"/>
      <c r="AI38" s="604" t="n"/>
      <c r="AJ38" s="50" t="n"/>
      <c r="AK38" s="49" t="n"/>
      <c r="AL38" s="48" t="n"/>
      <c r="AM38" s="604" t="n"/>
      <c r="AN38" s="50" t="n"/>
      <c r="AO38" s="49" t="n"/>
      <c r="AR38" s="30" t="n"/>
      <c r="AS38" s="49" t="n"/>
      <c r="AT38" s="48" t="n"/>
      <c r="AU38" s="604" t="n"/>
    </row>
    <row r="39" ht="11.25" customHeight="1" s="26">
      <c r="A39" s="622" t="n"/>
      <c r="B39" s="231" t="inlineStr">
        <is>
          <t>Farm 2</t>
        </is>
      </c>
      <c r="C39" s="528" t="inlineStr">
        <is>
          <t>Luis Morales</t>
        </is>
      </c>
      <c r="F39" s="388" t="n">
        <v>5</v>
      </c>
      <c r="G39" s="332" t="n">
        <v>2023</v>
      </c>
      <c r="I39" s="288" t="inlineStr">
        <is>
          <t>Yes</t>
        </is>
      </c>
      <c r="J39" s="289" t="n"/>
      <c r="K39" s="172" t="n"/>
      <c r="L39" s="29" t="n"/>
      <c r="M39" s="824" t="inlineStr">
        <is>
          <t>12th player contract --&gt;&gt;</t>
        </is>
      </c>
      <c r="N39" s="71" t="n"/>
      <c r="O39" s="456" t="n"/>
      <c r="P39" s="139" t="n"/>
      <c r="Q39" s="457" t="n"/>
      <c r="R39" s="67" t="n"/>
      <c r="S39" s="458" t="n"/>
      <c r="T39" s="215" t="n"/>
      <c r="U39" s="820" t="n"/>
      <c r="V39" s="139" t="n"/>
      <c r="W39" s="821">
        <f>Y39-$B$1</f>
        <v/>
      </c>
      <c r="X39" s="139" t="n"/>
      <c r="Y39" s="86">
        <f>S39+U39</f>
        <v/>
      </c>
      <c r="Z39" s="71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C39" s="49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528" t="inlineStr">
        <is>
          <t>Chase Dollander</t>
        </is>
      </c>
      <c r="F40" s="388" t="n">
        <v>5</v>
      </c>
      <c r="G40" s="332" t="n">
        <v>2023</v>
      </c>
      <c r="I40" s="288" t="inlineStr">
        <is>
          <t>Yes</t>
        </is>
      </c>
      <c r="J40" s="289" t="n"/>
      <c r="K40" s="172" t="n"/>
      <c r="L40" s="29" t="n"/>
      <c r="M40" s="702" t="n"/>
      <c r="N40" s="71" t="n"/>
      <c r="P40" s="139" t="n"/>
      <c r="R40" s="67" t="n"/>
      <c r="T40" s="215" t="n"/>
      <c r="U40" s="823" t="n"/>
      <c r="V40" s="139" t="n"/>
      <c r="W40" s="823" t="n"/>
      <c r="X40" s="139" t="n"/>
      <c r="Z40" s="71" t="n"/>
      <c r="AA40" s="619" t="n"/>
      <c r="AB40" s="622" t="n"/>
      <c r="AD40" s="48" t="n"/>
      <c r="AE40" s="604" t="n"/>
      <c r="AF40" s="50" t="n"/>
      <c r="AH40" s="48" t="n"/>
      <c r="AI40" s="604" t="n"/>
      <c r="AJ40" s="30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329" t="inlineStr">
        <is>
          <t>Farm 4</t>
        </is>
      </c>
      <c r="C41" s="528" t="inlineStr">
        <is>
          <t>Paul Skenes</t>
        </is>
      </c>
      <c r="F41" s="388" t="n">
        <v>5</v>
      </c>
      <c r="G41" s="332" t="n">
        <v>2024</v>
      </c>
      <c r="I41" s="333" t="inlineStr">
        <is>
          <t>Yes</t>
        </is>
      </c>
      <c r="J41" s="289" t="n"/>
      <c r="K41" s="172" t="n"/>
      <c r="L41" s="29" t="n"/>
      <c r="M41" s="172" t="n"/>
      <c r="N41" s="622" t="n"/>
      <c r="O41" s="685" t="n"/>
      <c r="P41" s="139" t="n"/>
      <c r="Q41" s="247" t="n"/>
      <c r="R41" s="67" t="n"/>
      <c r="S41" s="248" t="n"/>
      <c r="T41" s="215" t="n"/>
      <c r="U41" s="250" t="n"/>
      <c r="V41" s="139" t="n"/>
      <c r="W41" s="251" t="n"/>
      <c r="X41" s="139" t="n"/>
      <c r="Y41" s="141" t="n"/>
      <c r="Z41" s="71" t="n"/>
      <c r="AA41" s="143" t="n"/>
      <c r="AB41" s="622" t="n"/>
      <c r="AF41" s="50" t="n"/>
      <c r="AH41" s="48" t="n"/>
      <c r="AI41" s="604" t="n"/>
      <c r="AJ41" s="30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231" t="inlineStr">
        <is>
          <t>Farm 5</t>
        </is>
      </c>
      <c r="C42" s="528" t="inlineStr">
        <is>
          <t>Ethan Holliday</t>
        </is>
      </c>
      <c r="F42" s="388" t="n">
        <v>3</v>
      </c>
      <c r="G42" s="332" t="n">
        <v>2024</v>
      </c>
      <c r="I42" s="333" t="inlineStr">
        <is>
          <t>No</t>
        </is>
      </c>
      <c r="J42" s="289" t="n"/>
      <c r="K42" s="172" t="n"/>
      <c r="L42" s="29" t="n"/>
      <c r="M42" s="824" t="inlineStr">
        <is>
          <t>13th player contract --&gt;&gt;</t>
        </is>
      </c>
      <c r="N42" s="622" t="n"/>
      <c r="O42" s="456" t="n"/>
      <c r="P42" s="139" t="n"/>
      <c r="Q42" s="457" t="n"/>
      <c r="R42" s="67" t="n"/>
      <c r="S42" s="458" t="n"/>
      <c r="T42" s="215" t="n"/>
      <c r="U42" s="820" t="n"/>
      <c r="V42" s="139" t="n"/>
      <c r="W42" s="821">
        <f>Y42-$B$1</f>
        <v/>
      </c>
      <c r="X42" s="139" t="n"/>
      <c r="Y42" s="86">
        <f>S42+U42</f>
        <v/>
      </c>
      <c r="Z42" s="71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D42" s="48" t="n"/>
      <c r="AE42" s="604" t="n"/>
      <c r="AF42" s="50" t="n"/>
      <c r="AH42" s="48" t="n"/>
      <c r="AI42" s="604" t="n"/>
      <c r="AJ42" s="30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530" t="inlineStr">
        <is>
          <t>Vance Honeycutt</t>
        </is>
      </c>
      <c r="F43" s="426" t="n">
        <v>3</v>
      </c>
      <c r="G43" s="351" t="n">
        <v>2024</v>
      </c>
      <c r="I43" s="352" t="inlineStr">
        <is>
          <t>No</t>
        </is>
      </c>
      <c r="J43" s="353" t="n"/>
      <c r="K43" s="172" t="n"/>
      <c r="L43" s="29" t="n"/>
      <c r="M43" s="702" t="n"/>
      <c r="N43" s="622" t="n"/>
      <c r="P43" s="139" t="n"/>
      <c r="R43" s="67" t="n"/>
      <c r="T43" s="215" t="n"/>
      <c r="U43" s="823" t="n"/>
      <c r="V43" s="139" t="n"/>
      <c r="W43" s="823" t="n"/>
      <c r="X43" s="139" t="n"/>
      <c r="Z43" s="71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862" t="inlineStr">
        <is>
          <t>Lazaro Montes</t>
        </is>
      </c>
      <c r="E44" s="619" t="n"/>
      <c r="F44" s="388" t="n">
        <v>3</v>
      </c>
      <c r="G44" s="332" t="n">
        <v>2024</v>
      </c>
      <c r="I44" s="288" t="inlineStr">
        <is>
          <t>No</t>
        </is>
      </c>
      <c r="J44" s="552" t="n"/>
      <c r="K44" s="17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622" t="n"/>
      <c r="X44" s="622" t="n"/>
      <c r="Y44" s="622" t="n"/>
      <c r="Z44" s="622" t="n"/>
      <c r="AA44" s="16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P44" s="48" t="n"/>
      <c r="AQ44" s="604" t="n"/>
      <c r="AR44" s="50" t="n"/>
      <c r="AS44" s="49" t="n"/>
      <c r="AT44" s="48" t="n"/>
      <c r="AU44" s="604" t="n"/>
    </row>
    <row r="45" ht="11.25" customHeight="1" s="26">
      <c r="A45" s="622" t="n"/>
      <c r="B45" s="231" t="inlineStr">
        <is>
          <t>Farm 8</t>
        </is>
      </c>
      <c r="C45" s="443" t="inlineStr">
        <is>
          <t>Alfredo Duno</t>
        </is>
      </c>
      <c r="F45" s="367" t="n">
        <v>2</v>
      </c>
      <c r="G45" s="405" t="n">
        <v>2025</v>
      </c>
      <c r="I45" s="445" t="inlineStr">
        <is>
          <t>No</t>
        </is>
      </c>
      <c r="J45" s="552" t="n"/>
      <c r="K45" s="172" t="n"/>
      <c r="L45" s="29" t="n"/>
      <c r="M45" s="824" t="inlineStr">
        <is>
          <t>14th player contract --&gt;&gt;</t>
        </is>
      </c>
      <c r="N45" s="71" t="n"/>
      <c r="O45" s="456" t="n"/>
      <c r="P45" s="139" t="n"/>
      <c r="Q45" s="457" t="n"/>
      <c r="R45" s="67" t="n"/>
      <c r="S45" s="458" t="n"/>
      <c r="T45" s="215" t="n"/>
      <c r="U45" s="820" t="n"/>
      <c r="V45" s="139" t="n"/>
      <c r="W45" s="821">
        <f>Y45-$B$1</f>
        <v/>
      </c>
      <c r="X45" s="139" t="n"/>
      <c r="Y45" s="86">
        <f>S45+U45</f>
        <v/>
      </c>
      <c r="Z45" s="71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S45" s="49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443" t="inlineStr">
        <is>
          <t>Hagen Smith</t>
        </is>
      </c>
      <c r="F46" s="367" t="n">
        <v>2</v>
      </c>
      <c r="G46" s="405" t="n">
        <v>2025</v>
      </c>
      <c r="I46" s="445" t="inlineStr">
        <is>
          <t>No</t>
        </is>
      </c>
      <c r="J46" s="552" t="n"/>
      <c r="K46" s="172" t="n"/>
      <c r="L46" s="29" t="n"/>
      <c r="M46" s="702" t="n"/>
      <c r="N46" s="71" t="n"/>
      <c r="P46" s="139" t="n"/>
      <c r="R46" s="67" t="n"/>
      <c r="T46" s="215" t="n"/>
      <c r="U46" s="823" t="n"/>
      <c r="V46" s="139" t="n"/>
      <c r="W46" s="823" t="n"/>
      <c r="X46" s="139" t="n"/>
      <c r="Z46" s="71" t="n"/>
      <c r="AA46" s="619" t="n"/>
      <c r="AB46" s="622" t="n"/>
      <c r="AC46" s="49" t="n"/>
      <c r="AD46" s="48" t="n"/>
      <c r="AE46" s="604" t="n"/>
      <c r="AF46" s="50" t="n"/>
      <c r="AG46" s="49" t="n"/>
      <c r="AH46" s="48" t="n"/>
      <c r="AI46" s="604" t="n"/>
      <c r="AJ46" s="50" t="n"/>
      <c r="AK46" s="49" t="n"/>
      <c r="AL46" s="48" t="n"/>
      <c r="AM46" s="604" t="n"/>
      <c r="AN46" s="50" t="n"/>
      <c r="AO46" s="49" t="n"/>
      <c r="AP46" s="48" t="n"/>
      <c r="AQ46" s="604" t="n"/>
      <c r="AR46" s="50" t="n"/>
      <c r="AS46" s="49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443" t="inlineStr">
        <is>
          <t>Kayson Cunningham</t>
        </is>
      </c>
      <c r="F47" s="367" t="n">
        <v>2</v>
      </c>
      <c r="G47" s="405" t="n">
        <v>2025</v>
      </c>
      <c r="I47" s="445" t="inlineStr">
        <is>
          <t>No</t>
        </is>
      </c>
      <c r="J47" s="552" t="n"/>
      <c r="K47" s="17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C47" s="49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50" t="n"/>
      <c r="AO47" s="49" t="n"/>
      <c r="AR47" s="5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443" t="inlineStr">
        <is>
          <t>Wehiwa Aloy</t>
        </is>
      </c>
      <c r="F48" s="367" t="n">
        <v>2</v>
      </c>
      <c r="G48" s="405" t="n">
        <v>2025</v>
      </c>
      <c r="I48" s="445" t="inlineStr">
        <is>
          <t>No</t>
        </is>
      </c>
      <c r="J48" s="552" t="n"/>
      <c r="K48" s="172" t="n"/>
      <c r="L48" s="29" t="n"/>
      <c r="M48" s="824" t="inlineStr">
        <is>
          <t>15th player contract --&gt;&gt;</t>
        </is>
      </c>
      <c r="N48" s="622" t="n"/>
      <c r="O48" s="456" t="n"/>
      <c r="P48" s="139" t="n"/>
      <c r="Q48" s="457" t="n"/>
      <c r="R48" s="67" t="n"/>
      <c r="S48" s="458" t="n"/>
      <c r="T48" s="215" t="n"/>
      <c r="U48" s="820" t="n"/>
      <c r="V48" s="139" t="n"/>
      <c r="W48" s="821">
        <f>Y48-$B$1</f>
        <v/>
      </c>
      <c r="X48" s="139" t="n"/>
      <c r="Y48" s="86">
        <f>S48+U48</f>
        <v/>
      </c>
      <c r="Z48" s="71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C48" s="49" t="n"/>
      <c r="AD48" s="48" t="n"/>
      <c r="AE48" s="604" t="n"/>
      <c r="AF48" s="50" t="n"/>
      <c r="AG48" s="49" t="n"/>
      <c r="AH48" s="48" t="n"/>
      <c r="AI48" s="604" t="n"/>
      <c r="AJ48" s="50" t="n"/>
      <c r="AK48" s="49" t="n"/>
      <c r="AL48" s="48" t="n"/>
      <c r="AM48" s="604" t="n"/>
      <c r="AN48" s="50" t="n"/>
      <c r="AO48" s="49" t="n"/>
      <c r="AP48" s="48" t="n"/>
      <c r="AQ48" s="604" t="n"/>
      <c r="AR48" s="50" t="n"/>
      <c r="AT48" s="48" t="n"/>
      <c r="AU48" s="604" t="n"/>
    </row>
    <row r="49" ht="11.25" customHeight="1" s="26">
      <c r="A49" s="622" t="n"/>
      <c r="B49" s="231" t="inlineStr">
        <is>
          <t>Farm 12</t>
        </is>
      </c>
      <c r="C49" s="443" t="inlineStr">
        <is>
          <t>Cam Smith</t>
        </is>
      </c>
      <c r="F49" s="367" t="n">
        <v>3</v>
      </c>
      <c r="G49" s="405" t="n">
        <v>2025</v>
      </c>
      <c r="I49" s="445" t="inlineStr">
        <is>
          <t>Yes</t>
        </is>
      </c>
      <c r="J49" s="552" t="n"/>
      <c r="K49" s="407" t="n"/>
      <c r="L49" s="29" t="n"/>
      <c r="M49" s="702" t="n"/>
      <c r="N49" s="622" t="n"/>
      <c r="P49" s="139" t="n"/>
      <c r="R49" s="67" t="n"/>
      <c r="T49" s="215" t="n"/>
      <c r="U49" s="823" t="n"/>
      <c r="V49" s="139" t="n"/>
      <c r="W49" s="823" t="n"/>
      <c r="X49" s="139" t="n"/>
      <c r="Z49" s="71" t="n"/>
      <c r="AA49" s="619" t="n"/>
      <c r="AB49" s="622" t="n"/>
      <c r="AD49" s="48" t="n"/>
      <c r="AE49" s="604" t="n"/>
      <c r="AF49" s="50" t="n"/>
      <c r="AG49" s="49" t="n"/>
      <c r="AJ49" s="50" t="n"/>
      <c r="AK49" s="49" t="n"/>
      <c r="AL49" s="48" t="n"/>
      <c r="AM49" s="604" t="n"/>
      <c r="AN49" s="30" t="n"/>
      <c r="AP49" s="48" t="n"/>
      <c r="AQ49" s="604" t="n"/>
      <c r="AR49" s="30" t="n"/>
      <c r="AT49" s="48" t="n"/>
      <c r="AU49" s="604" t="n"/>
    </row>
    <row r="50" ht="11.25" customHeight="1" s="26">
      <c r="A50" s="622" t="n"/>
      <c r="B50" s="329" t="inlineStr">
        <is>
          <t>Farm 13</t>
        </is>
      </c>
      <c r="C50" s="443" t="inlineStr">
        <is>
          <t>Moises Ballesteros</t>
        </is>
      </c>
      <c r="F50" s="309" t="n">
        <v>3</v>
      </c>
      <c r="G50" s="405" t="n">
        <v>2025</v>
      </c>
      <c r="I50" s="445" t="inlineStr">
        <is>
          <t>Yes</t>
        </is>
      </c>
      <c r="J50" s="446" t="n"/>
      <c r="K50" s="415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D50" s="48" t="n"/>
      <c r="AE50" s="604" t="n"/>
      <c r="AF50" s="50" t="n"/>
      <c r="AG50" s="49" t="n"/>
      <c r="AH50" s="48" t="n"/>
      <c r="AI50" s="604" t="n"/>
      <c r="AJ50" s="50" t="n"/>
      <c r="AK50" s="49" t="n"/>
      <c r="AL50" s="48" t="n"/>
      <c r="AM50" s="604" t="n"/>
      <c r="AN50" s="30" t="n"/>
      <c r="AP50" s="48" t="n"/>
      <c r="AQ50" s="604" t="n"/>
      <c r="AR50" s="30" t="n"/>
      <c r="AT50" s="48" t="n"/>
      <c r="AU50" s="604" t="n"/>
    </row>
    <row r="51" ht="11.25" customHeight="1" s="26">
      <c r="A51" s="622" t="n"/>
      <c r="B51" s="329" t="inlineStr">
        <is>
          <t>Farm 14</t>
        </is>
      </c>
      <c r="C51" s="690" t="n"/>
      <c r="F51" s="426" t="n"/>
      <c r="G51" s="531" t="n"/>
      <c r="I51" s="532" t="n"/>
      <c r="J51" s="429" t="n"/>
      <c r="K51" s="415" t="n"/>
      <c r="L51" s="29" t="n"/>
      <c r="M51" s="431" t="n"/>
      <c r="N51" s="71" t="n"/>
      <c r="O51" s="522" t="n"/>
      <c r="P51" s="139" t="n"/>
      <c r="Q51" s="863" t="n"/>
      <c r="R51" s="67" t="n"/>
      <c r="S51" s="826" t="n"/>
      <c r="T51" s="215" t="n"/>
      <c r="U51" s="827" t="n"/>
      <c r="V51" s="139" t="n"/>
      <c r="W51" s="827" t="n"/>
      <c r="X51" s="139" t="n"/>
      <c r="Y51" s="828" t="n"/>
      <c r="Z51" s="71" t="n"/>
      <c r="AA51" s="522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329" t="inlineStr">
        <is>
          <t>Farm 15</t>
        </is>
      </c>
      <c r="C52" s="443" t="n"/>
      <c r="F52" s="367" t="n"/>
      <c r="G52" s="405" t="n"/>
      <c r="I52" s="445" t="n"/>
      <c r="J52" s="446" t="n"/>
      <c r="K52" s="82" t="n"/>
      <c r="L52" s="29" t="n"/>
      <c r="M52" s="864" t="inlineStr">
        <is>
          <t>Buyouts</t>
        </is>
      </c>
      <c r="N52" s="71" t="n"/>
      <c r="P52" s="139" t="n"/>
      <c r="R52" s="67" t="n"/>
      <c r="T52" s="215" t="n"/>
      <c r="V52" s="139" t="n"/>
      <c r="X52" s="139" t="n"/>
      <c r="Z52" s="71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139" t="n"/>
      <c r="R53" s="67" t="n"/>
      <c r="T53" s="215" t="n"/>
      <c r="V53" s="139" t="n"/>
      <c r="X53" s="139" t="n"/>
      <c r="Z53" s="71" t="n"/>
      <c r="AB53" s="622" t="n"/>
      <c r="AD53" s="48" t="n"/>
      <c r="AE53" s="604" t="n"/>
      <c r="AF53" s="30" t="n"/>
      <c r="AJ53" s="30" t="n"/>
      <c r="AL53" s="48" t="n"/>
      <c r="AM53" s="604" t="n"/>
      <c r="AN53" s="30" t="n"/>
      <c r="AP53" s="48" t="n"/>
      <c r="AQ53" s="604" t="n"/>
      <c r="AR53" s="30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8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50" t="n"/>
      <c r="AG54" s="49" t="n"/>
      <c r="AJ54" s="30" t="n"/>
      <c r="AL54" s="48" t="n"/>
      <c r="AM54" s="604" t="n"/>
      <c r="AN54" s="30" t="n"/>
      <c r="AP54" s="48" t="n"/>
      <c r="AQ54" s="604" t="n"/>
      <c r="AR54" s="30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456" t="n"/>
      <c r="P55" s="139" t="n"/>
      <c r="Q55" s="457" t="n"/>
      <c r="R55" s="67" t="n"/>
      <c r="S55" s="458" t="n"/>
      <c r="T55" s="215" t="n"/>
      <c r="U55" s="820" t="n"/>
      <c r="V55" s="323" t="n"/>
      <c r="W55" s="835">
        <f>Y55-$B$1</f>
        <v/>
      </c>
      <c r="X55" s="323" t="n"/>
      <c r="Y55" s="334">
        <f>S55+U55</f>
        <v/>
      </c>
      <c r="Z55" s="335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82" t="n"/>
      <c r="AD55" s="48" t="n"/>
      <c r="AE55" s="604" t="n"/>
      <c r="AF55" s="30" t="n"/>
      <c r="AJ55" s="30" t="n"/>
      <c r="AL55" s="48" t="n"/>
      <c r="AM55" s="604" t="n"/>
      <c r="AN55" s="30" t="n"/>
      <c r="AP55" s="48" t="n"/>
      <c r="AQ55" s="604" t="n"/>
      <c r="AR55" s="30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139" t="n"/>
      <c r="R56" s="67" t="n"/>
      <c r="T56" s="215" t="n"/>
      <c r="U56" s="823" t="n"/>
      <c r="V56" s="339" t="n"/>
      <c r="W56" s="779" t="n"/>
      <c r="X56" s="339" t="n"/>
      <c r="Z56" s="342" t="n"/>
      <c r="AA56" s="619" t="n"/>
      <c r="AB56" s="82" t="n"/>
      <c r="AC56" s="49" t="n"/>
      <c r="AD56" s="48" t="n"/>
      <c r="AE56" s="604" t="n"/>
      <c r="AF56" s="312" t="n"/>
      <c r="AG56" s="48" t="n"/>
      <c r="AJ56" s="312" t="n"/>
      <c r="AK56" s="48" t="n"/>
      <c r="AL56" s="48" t="n"/>
      <c r="AM56" s="604" t="n"/>
      <c r="AN56" s="312" t="n"/>
      <c r="AO56" s="48" t="n"/>
      <c r="AP56" s="48" t="n"/>
      <c r="AQ56" s="604" t="n"/>
      <c r="AR56" s="312" t="n"/>
      <c r="AS56" s="48" t="n"/>
      <c r="AT56" s="48" t="n"/>
      <c r="AU56" s="48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468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312" t="n"/>
      <c r="AG57" s="48" t="n"/>
      <c r="AJ57" s="312" t="n"/>
      <c r="AK57" s="48" t="n"/>
      <c r="AL57" s="48" t="n"/>
      <c r="AM57" s="604" t="n"/>
      <c r="AN57" s="312" t="n"/>
      <c r="AO57" s="48" t="n"/>
      <c r="AP57" s="48" t="n"/>
      <c r="AQ57" s="604" t="n"/>
      <c r="AR57" s="312" t="n"/>
      <c r="AS57" s="48" t="n"/>
      <c r="AT57" s="48" t="n"/>
      <c r="AU57" s="48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336" t="n"/>
      <c r="AG58" s="48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336" t="n"/>
      <c r="AG59" s="48" t="n"/>
      <c r="AJ59" s="336" t="n"/>
      <c r="AK59" s="48" t="n"/>
      <c r="AL59" s="48" t="n"/>
      <c r="AM59" s="604" t="n"/>
      <c r="AN59" s="336" t="n"/>
      <c r="AO59" s="48" t="n"/>
      <c r="AP59" s="48" t="n"/>
      <c r="AQ59" s="604" t="n"/>
      <c r="AR59" s="336" t="n"/>
      <c r="AS59" s="48" t="n"/>
      <c r="AT59" s="48" t="n"/>
      <c r="AU59" s="312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J60" s="336" t="n"/>
      <c r="AK60" s="48" t="n"/>
      <c r="AL60" s="48" t="n"/>
      <c r="AM60" s="604" t="n"/>
      <c r="AN60" s="336" t="n"/>
      <c r="AO60" s="48" t="n"/>
      <c r="AP60" s="48" t="n"/>
      <c r="AQ60" s="604" t="n"/>
      <c r="AR60" s="336" t="n"/>
      <c r="AS60" s="48" t="n"/>
      <c r="AT60" s="48" t="n"/>
      <c r="AU60" s="312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436" t="n"/>
      <c r="P61" s="622" t="n"/>
      <c r="Q61" s="436" t="n"/>
      <c r="R61" s="622" t="n"/>
      <c r="S61" s="436" t="n"/>
      <c r="T61" s="622" t="n"/>
      <c r="U61" s="436" t="n"/>
      <c r="V61" s="622" t="n"/>
      <c r="W61" s="622" t="n"/>
      <c r="X61" s="622" t="n"/>
      <c r="Y61" s="622" t="n"/>
      <c r="Z61" s="622" t="n"/>
      <c r="AA61" s="436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336" t="n"/>
      <c r="AK61" s="48" t="n"/>
      <c r="AL61" s="48" t="n"/>
      <c r="AM61" s="604" t="n"/>
      <c r="AN61" s="336" t="n"/>
      <c r="AO61" s="48" t="n"/>
      <c r="AP61" s="48" t="n"/>
      <c r="AQ61" s="604" t="n"/>
      <c r="AR61" s="336" t="n"/>
      <c r="AS61" s="48" t="n"/>
      <c r="AT61" s="48" t="n"/>
      <c r="AU61" s="312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527" t="n"/>
      <c r="P62" s="523" t="n"/>
      <c r="Q62" s="228" t="n">
        <v>0</v>
      </c>
      <c r="R62" s="75" t="n"/>
      <c r="S62" s="188" t="n"/>
      <c r="T62" s="523" t="n"/>
      <c r="U62" s="865" t="n"/>
      <c r="V62" s="491" t="n"/>
      <c r="W62" s="835">
        <f>Y62-$B$1</f>
        <v/>
      </c>
      <c r="X62" s="323" t="n"/>
      <c r="Y62" s="836">
        <f>S62+U62</f>
        <v/>
      </c>
      <c r="Z62" s="335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8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P63" s="523" t="n"/>
      <c r="R63" s="75" t="n"/>
      <c r="T63" s="523" t="n"/>
      <c r="U63" s="823" t="n"/>
      <c r="V63" s="493" t="n"/>
      <c r="W63" s="779" t="n"/>
      <c r="X63" s="339" t="n"/>
      <c r="Y63" s="779" t="n"/>
      <c r="Z63" s="342" t="n"/>
      <c r="AA63" s="619" t="n"/>
      <c r="AB63" s="82" t="n"/>
      <c r="AC63" s="49" t="n"/>
      <c r="AD63" s="48" t="n"/>
      <c r="AE63" s="604" t="n"/>
      <c r="AF63" s="50" t="n"/>
      <c r="AG63" s="49" t="n"/>
      <c r="AH63" s="48" t="n"/>
      <c r="AI63" s="604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66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/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C67" s="49" t="n"/>
      <c r="AD67" s="48" t="n"/>
      <c r="AE67" s="604" t="n"/>
      <c r="AF67" s="50" t="n"/>
      <c r="AG67" s="49" t="n"/>
      <c r="AH67" s="48" t="n"/>
      <c r="AI67" s="604" t="n"/>
      <c r="AJ67" s="50" t="n"/>
      <c r="AK67" s="49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436" t="n"/>
      <c r="P68" s="622" t="n"/>
      <c r="Q68" s="436" t="n"/>
      <c r="R68" s="622" t="n"/>
      <c r="S68" s="436" t="n"/>
      <c r="T68" s="622" t="n"/>
      <c r="U68" s="436" t="n"/>
      <c r="V68" s="622" t="n"/>
      <c r="W68" s="622" t="n"/>
      <c r="X68" s="622" t="n"/>
      <c r="Y68" s="622" t="n"/>
      <c r="Z68" s="622" t="n"/>
      <c r="AA68" s="436" t="n"/>
      <c r="AB68" s="622" t="n"/>
      <c r="AC68" s="49" t="n"/>
      <c r="AD68" s="48" t="n"/>
      <c r="AE68" s="604" t="n"/>
      <c r="AF68" s="50" t="n"/>
      <c r="AG68" s="49" t="n"/>
      <c r="AH68" s="48" t="n"/>
      <c r="AI68" s="604" t="n"/>
      <c r="AJ68" s="50" t="n"/>
      <c r="AK68" s="49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67" t="inlineStr">
        <is>
          <t>MJ Melendez</t>
        </is>
      </c>
      <c r="P69" s="499" t="n"/>
      <c r="Q69" s="868" t="n"/>
      <c r="R69" s="501" t="n"/>
      <c r="S69" s="869" t="n"/>
      <c r="T69" s="499" t="n"/>
      <c r="U69" s="870" t="n"/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82" t="n"/>
      <c r="AC69" s="49" t="n"/>
      <c r="AD69" s="48" t="n"/>
      <c r="AE69" s="604" t="n"/>
      <c r="AF69" s="50" t="n"/>
      <c r="AG69" s="49" t="n"/>
      <c r="AH69" s="48" t="n"/>
      <c r="AI69" s="604" t="n"/>
      <c r="AJ69" s="50" t="n"/>
      <c r="AK69" s="49" t="n"/>
      <c r="AL69" s="48" t="n"/>
      <c r="AM69" s="604" t="n"/>
      <c r="AN69" s="50" t="n"/>
      <c r="AO69" s="49" t="n"/>
      <c r="AP69" s="48" t="n"/>
      <c r="AQ69" s="604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504" t="n"/>
      <c r="Q70" s="779" t="n"/>
      <c r="R70" s="505" t="n"/>
      <c r="S70" s="779" t="n"/>
      <c r="T70" s="504" t="n"/>
      <c r="U70" s="779" t="n"/>
      <c r="V70" s="339" t="n"/>
      <c r="W70" s="779" t="n"/>
      <c r="X70" s="339" t="n"/>
      <c r="Y70" s="779" t="n"/>
      <c r="Z70" s="342" t="n"/>
      <c r="AA70" s="619" t="n"/>
      <c r="AB70" s="8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>
        <v>2024</v>
      </c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50" t="n"/>
      <c r="AO71" s="49" t="n"/>
      <c r="AP71" s="48" t="n"/>
      <c r="AQ71" s="604" t="n"/>
      <c r="AR71" s="50" t="n"/>
      <c r="AS71" s="49" t="n"/>
      <c r="AT71" s="48" t="n"/>
      <c r="AU71" s="604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604" t="n"/>
      <c r="AN72" s="50" t="n"/>
      <c r="AO72" s="49" t="n"/>
      <c r="AR72" s="50" t="n"/>
      <c r="AS72" s="49" t="n"/>
      <c r="AT72" s="48" t="n"/>
      <c r="AU72" s="604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P73" s="48" t="n"/>
      <c r="AQ73" s="604" t="n"/>
      <c r="AR73" s="50" t="n"/>
      <c r="AS73" s="49" t="n"/>
      <c r="AT73" s="48" t="n"/>
      <c r="AU73" s="604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30" t="n"/>
      <c r="AR74" s="30" t="n"/>
    </row>
    <row r="75" ht="11.25" customHeight="1" s="26">
      <c r="L75" s="622" t="n"/>
      <c r="M75" s="622" t="n"/>
      <c r="N75" s="622" t="n"/>
      <c r="O75" s="436" t="n"/>
      <c r="P75" s="622" t="n"/>
      <c r="Q75" s="436" t="n"/>
      <c r="R75" s="622" t="n"/>
      <c r="S75" s="436" t="n"/>
      <c r="T75" s="622" t="n"/>
      <c r="U75" s="436" t="n"/>
      <c r="V75" s="622" t="n"/>
      <c r="W75" s="622" t="n"/>
      <c r="X75" s="622" t="n"/>
      <c r="Y75" s="622" t="n"/>
      <c r="Z75" s="622" t="n"/>
      <c r="AA75" s="436" t="n"/>
      <c r="AB75" s="622" t="n"/>
      <c r="AF75" s="30" t="n"/>
      <c r="AJ75" s="30" t="n"/>
      <c r="AL75" s="48" t="n"/>
      <c r="AM75" s="481" t="n"/>
      <c r="AN75" s="30" t="n"/>
      <c r="AR75" s="30" t="n"/>
    </row>
    <row r="76" ht="11.25" customHeight="1" s="26">
      <c r="L76" s="622" t="n"/>
      <c r="M76" s="853" t="inlineStr">
        <is>
          <t>4th dropped contract</t>
        </is>
      </c>
      <c r="N76" s="321" t="n"/>
      <c r="O76" s="867" t="n"/>
      <c r="P76" s="499" t="n"/>
      <c r="Q76" s="868" t="n"/>
      <c r="R76" s="501" t="n"/>
      <c r="S76" s="869" t="n"/>
      <c r="T76" s="499" t="n"/>
      <c r="U76" s="870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82" t="n"/>
      <c r="AF76" s="30" t="n"/>
      <c r="AJ76" s="30" t="n"/>
      <c r="AL76" s="48" t="n"/>
      <c r="AM76" s="604" t="n"/>
      <c r="AN76" s="50" t="n"/>
      <c r="AO76" s="49" t="n"/>
      <c r="AR76" s="30" t="n"/>
    </row>
    <row r="77" ht="11.25" customHeight="1" s="26">
      <c r="L77" s="622" t="n"/>
      <c r="M77" s="702" t="n"/>
      <c r="N77" s="337" t="n"/>
      <c r="O77" s="779" t="n"/>
      <c r="P77" s="504" t="n"/>
      <c r="Q77" s="779" t="n"/>
      <c r="R77" s="505" t="n"/>
      <c r="S77" s="779" t="n"/>
      <c r="T77" s="504" t="n"/>
      <c r="U77" s="779" t="n"/>
      <c r="V77" s="339" t="n"/>
      <c r="W77" s="779" t="n"/>
      <c r="X77" s="339" t="n"/>
      <c r="Y77" s="779" t="n"/>
      <c r="Z77" s="342" t="n"/>
      <c r="AA77" s="619" t="n"/>
      <c r="AB77" s="82" t="n"/>
      <c r="AF77" s="30" t="n"/>
      <c r="AJ77" s="30" t="n"/>
      <c r="AL77" s="48" t="n"/>
      <c r="AM77" s="604" t="n"/>
      <c r="AN77" s="50" t="n"/>
      <c r="AO77" s="49" t="n"/>
      <c r="AP77" s="48" t="n"/>
      <c r="AQ77" s="604" t="n"/>
      <c r="AR77" s="30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50" t="n"/>
      <c r="AO78" s="49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50" t="n"/>
      <c r="AO79" s="49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P91" s="48" t="n"/>
      <c r="AQ91" s="604" t="n"/>
      <c r="AR91" s="50" t="n"/>
      <c r="AS91" s="49" t="n"/>
      <c r="AT91" s="48" t="n"/>
      <c r="AU91" s="604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P92" s="48" t="n"/>
      <c r="AQ92" s="604" t="n"/>
      <c r="AR92" s="50" t="n"/>
      <c r="AS92" s="49" t="n"/>
      <c r="AT92" s="48" t="n"/>
      <c r="AU92" s="604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604" t="n"/>
      <c r="AN93" s="30" t="n"/>
      <c r="AP93" s="48" t="n"/>
      <c r="AQ93" s="604" t="n"/>
      <c r="AR93" s="50" t="n"/>
      <c r="AS93" s="49" t="n"/>
      <c r="AT93" s="48" t="n"/>
      <c r="AU93" s="604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481" t="n"/>
      <c r="AN96" s="30" t="n"/>
      <c r="AR96" s="30" t="n"/>
    </row>
    <row r="97" ht="11.25" customHeight="1" s="26">
      <c r="P97" s="30" t="n"/>
      <c r="U97" s="30" t="n"/>
      <c r="V97" s="30" t="n"/>
      <c r="W97" s="30" t="n"/>
      <c r="X97" s="30" t="n"/>
      <c r="AF97" s="30" t="n"/>
      <c r="AJ97" s="30" t="n"/>
      <c r="AL97" s="48" t="n"/>
      <c r="AM97" s="604" t="n"/>
      <c r="AN97" s="30" t="n"/>
      <c r="AR97" s="30" t="n"/>
    </row>
    <row r="98" ht="11.25" customHeight="1" s="26">
      <c r="P98" s="30" t="n"/>
      <c r="U98" s="30" t="n"/>
      <c r="V98" s="30" t="n"/>
      <c r="W98" s="30" t="n"/>
      <c r="X98" s="30" t="n"/>
      <c r="AF98" s="30" t="n"/>
      <c r="AJ98" s="30" t="n"/>
      <c r="AL98" s="48" t="n"/>
      <c r="AM98" s="604" t="n"/>
      <c r="AN98" s="30" t="n"/>
      <c r="AR98" s="30" t="n"/>
    </row>
    <row r="99" ht="11.25" customHeight="1" s="26">
      <c r="P99" s="30" t="n"/>
      <c r="U99" s="30" t="n"/>
      <c r="V99" s="30" t="n"/>
      <c r="W99" s="30" t="n"/>
      <c r="X99" s="30" t="n"/>
      <c r="AF99" s="30" t="n"/>
      <c r="AJ99" s="30" t="n"/>
      <c r="AL99" s="48" t="n"/>
      <c r="AM99" s="604" t="n"/>
      <c r="AN99" s="30" t="n"/>
      <c r="AR99" s="30" t="n"/>
    </row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09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U69:U70"/>
    <mergeCell ref="M9:M10"/>
    <mergeCell ref="Y33:Y34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Q42:Q43"/>
    <mergeCell ref="W66:Y66"/>
    <mergeCell ref="S42:S43"/>
    <mergeCell ref="Y39:Y40"/>
    <mergeCell ref="M15:M16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57:H57"/>
    <mergeCell ref="O76:O77"/>
    <mergeCell ref="I63:K63"/>
    <mergeCell ref="Q27:Q28"/>
    <mergeCell ref="S33:S34"/>
    <mergeCell ref="G58:H58"/>
    <mergeCell ref="U33:U34"/>
    <mergeCell ref="U78:U79"/>
    <mergeCell ref="Y42:Y43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K12:K13"/>
    <mergeCell ref="Q69:Q70"/>
    <mergeCell ref="S69:S70"/>
    <mergeCell ref="G53:H53"/>
    <mergeCell ref="S9:S10"/>
    <mergeCell ref="Y6:Y7"/>
    <mergeCell ref="K14:K15"/>
    <mergeCell ref="Q66:S66"/>
    <mergeCell ref="M42:M43"/>
    <mergeCell ref="AA64:AA65"/>
    <mergeCell ref="O42:O43"/>
    <mergeCell ref="U39:U40"/>
    <mergeCell ref="W39:W40"/>
    <mergeCell ref="O6:O7"/>
    <mergeCell ref="Q62:Q63"/>
    <mergeCell ref="W24:W25"/>
    <mergeCell ref="V78:Z79"/>
    <mergeCell ref="Y24:Y25"/>
    <mergeCell ref="S62:S63"/>
    <mergeCell ref="C44:E44"/>
    <mergeCell ref="M48:M49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C63:E63"/>
    <mergeCell ref="C50:E50"/>
    <mergeCell ref="T57:T58"/>
    <mergeCell ref="Y9:Y10"/>
    <mergeCell ref="AA9:AA10"/>
    <mergeCell ref="G42:H42"/>
    <mergeCell ref="O33:O34"/>
    <mergeCell ref="M69:M70"/>
    <mergeCell ref="Q33:Q34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U3:U4"/>
    <mergeCell ref="M6:M7"/>
    <mergeCell ref="W3:W4"/>
    <mergeCell ref="U18:U19"/>
    <mergeCell ref="H21:J22"/>
    <mergeCell ref="C53:E53"/>
    <mergeCell ref="G4:G5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W24">
    <cfRule type="cellIs" priority="1" operator="equal" dxfId="0">
      <formula>"'0'"</formula>
    </cfRule>
  </conditionalFormatting>
  <conditionalFormatting sqref="W42:W43 W45:W46 W48:W49">
    <cfRule type="cellIs" priority="2" operator="equal" dxfId="0">
      <formula>0</formula>
    </cfRule>
  </conditionalFormatting>
  <conditionalFormatting sqref="J49:J50">
    <cfRule type="expression" priority="3" dxfId="1">
      <formula>ISNUMBER($F49)</formula>
    </cfRule>
  </conditionalFormatting>
  <conditionalFormatting sqref="J40 J46">
    <cfRule type="expression" priority="4" dxfId="1">
      <formula>ISNUMBER($F40)</formula>
    </cfRule>
  </conditionalFormatting>
  <conditionalFormatting sqref="J47">
    <cfRule type="expression" priority="5" dxfId="1">
      <formula>ISNUMBER($F47)</formula>
    </cfRule>
  </conditionalFormatting>
  <conditionalFormatting sqref="J48">
    <cfRule type="expression" priority="6" dxfId="1">
      <formula>ISNUMBER($F48)</formula>
    </cfRule>
  </conditionalFormatting>
  <conditionalFormatting sqref="J40 J45:J49">
    <cfRule type="expression" priority="7" dxfId="1">
      <formula>ISNUMBER($F37)</formula>
    </cfRule>
  </conditionalFormatting>
  <conditionalFormatting sqref="J56">
    <cfRule type="expression" priority="8" dxfId="1">
      <formula>ISNUMBER($F56)</formula>
    </cfRule>
  </conditionalFormatting>
  <conditionalFormatting sqref="J57">
    <cfRule type="expression" priority="9" dxfId="1">
      <formula>ISNUMBER($F57)</formula>
    </cfRule>
  </conditionalFormatting>
  <conditionalFormatting sqref="J52">
    <cfRule type="expression" priority="10" dxfId="1">
      <formula>ISNUMBER($F52)</formula>
    </cfRule>
  </conditionalFormatting>
  <conditionalFormatting sqref="J51">
    <cfRule type="expression" priority="11" dxfId="1">
      <formula>ISNUMBER($F51)</formula>
    </cfRule>
  </conditionalFormatting>
  <conditionalFormatting sqref="J53">
    <cfRule type="expression" priority="12" dxfId="1">
      <formula>ISNUMBER($F53)</formula>
    </cfRule>
  </conditionalFormatting>
  <conditionalFormatting sqref="J54">
    <cfRule type="expression" priority="13" dxfId="1">
      <formula>ISNUMBER($F54)</formula>
    </cfRule>
  </conditionalFormatting>
  <conditionalFormatting sqref="W39:W40">
    <cfRule type="cellIs" priority="14" operator="equal" dxfId="0">
      <formula>0</formula>
    </cfRule>
  </conditionalFormatting>
  <conditionalFormatting sqref="W36:W37">
    <cfRule type="cellIs" priority="15" operator="equal" dxfId="0">
      <formula>0</formula>
    </cfRule>
  </conditionalFormatting>
  <conditionalFormatting sqref="W27:W28">
    <cfRule type="cellIs" priority="16" operator="equal" dxfId="0">
      <formula>0</formula>
    </cfRule>
  </conditionalFormatting>
  <conditionalFormatting sqref="W33:W34">
    <cfRule type="cellIs" priority="17" operator="equal" dxfId="0">
      <formula>0</formula>
    </cfRule>
  </conditionalFormatting>
  <conditionalFormatting sqref="W30:W31">
    <cfRule type="cellIs" priority="18" operator="equal" dxfId="0">
      <formula>0</formula>
    </cfRule>
  </conditionalFormatting>
  <conditionalFormatting sqref="W24:W25">
    <cfRule type="cellIs" priority="19" operator="equal" dxfId="0">
      <formula>0</formula>
    </cfRule>
  </conditionalFormatting>
  <conditionalFormatting sqref="W9:W10">
    <cfRule type="cellIs" priority="20" operator="equal" dxfId="0">
      <formula>0</formula>
    </cfRule>
  </conditionalFormatting>
  <conditionalFormatting sqref="W6:W7">
    <cfRule type="cellIs" priority="21" operator="equal" dxfId="0">
      <formula>0</formula>
    </cfRule>
  </conditionalFormatting>
  <conditionalFormatting sqref="W21:W22">
    <cfRule type="cellIs" priority="22" operator="equal" dxfId="0">
      <formula>0</formula>
    </cfRule>
  </conditionalFormatting>
  <conditionalFormatting sqref="W18:W19">
    <cfRule type="cellIs" priority="23" operator="equal" dxfId="0">
      <formula>0</formula>
    </cfRule>
  </conditionalFormatting>
  <conditionalFormatting sqref="W12:W13">
    <cfRule type="cellIs" priority="24" operator="equal" dxfId="0">
      <formula>0</formula>
    </cfRule>
  </conditionalFormatting>
  <conditionalFormatting sqref="W15:W16">
    <cfRule type="cellIs" priority="25" operator="equal" dxfId="0">
      <formula>0</formula>
    </cfRule>
  </conditionalFormatting>
  <conditionalFormatting sqref="J38:J49">
    <cfRule type="expression" priority="26" dxfId="1">
      <formula>ISNUMBER($F38)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8.140000000000001" customWidth="1" style="26" min="2" max="2"/>
    <col width="10.43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51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CONCATENATE("Brock Lauritsen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1B,3B,CI</t>
        </is>
      </c>
      <c r="C3" s="38" t="n"/>
      <c r="D3" s="38" t="n"/>
      <c r="E3" s="38" t="n"/>
      <c r="G3" s="54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</t>
        </is>
      </c>
      <c r="C4" s="38" t="n"/>
      <c r="D4" s="38" t="n"/>
      <c r="E4" s="38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</t>
        </is>
      </c>
      <c r="C5" s="38" t="n"/>
      <c r="D5" s="38" t="n"/>
      <c r="E5" s="38" t="n"/>
      <c r="G5" s="54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1B,CI</t>
        </is>
      </c>
      <c r="C6" s="38" t="n"/>
      <c r="D6" s="38" t="n"/>
      <c r="E6" s="38" t="n"/>
      <c r="G6" s="67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Alex Bregman</t>
        </is>
      </c>
      <c r="P6" s="175" t="n"/>
      <c r="Q6" s="186" t="n">
        <v>5</v>
      </c>
      <c r="R6" s="177" t="n"/>
      <c r="S6" s="188" t="n">
        <v>2018</v>
      </c>
      <c r="T6" s="178" t="n"/>
      <c r="U6" s="803" t="n">
        <v>8</v>
      </c>
      <c r="V6" s="79" t="n"/>
      <c r="W6" s="804">
        <f>Y6-$B$1</f>
        <v/>
      </c>
      <c r="X6" s="8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1B,CI,OF</t>
        </is>
      </c>
      <c r="C7" s="38" t="n"/>
      <c r="D7" s="38" t="n"/>
      <c r="E7" s="38" t="n"/>
      <c r="G7" s="67" t="n"/>
      <c r="H7" s="99" t="n"/>
      <c r="I7" s="100" t="n"/>
      <c r="J7" s="100" t="n"/>
      <c r="K7" s="102" t="n"/>
      <c r="L7" s="29" t="n"/>
      <c r="M7" s="702" t="n"/>
      <c r="N7" s="71" t="n"/>
      <c r="P7" s="175" t="n"/>
      <c r="R7" s="177" t="n"/>
      <c r="T7" s="178" t="n"/>
      <c r="U7" s="771" t="n"/>
      <c r="V7" s="79" t="n"/>
      <c r="W7" s="771" t="n"/>
      <c r="X7" s="8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2B,MI</t>
        </is>
      </c>
      <c r="C8" s="38" t="n"/>
      <c r="D8" s="38" t="n"/>
      <c r="E8" s="38" t="n"/>
      <c r="G8" s="67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523" t="n"/>
      <c r="P8" s="523" t="n"/>
      <c r="Q8" s="75" t="n"/>
      <c r="R8" s="75" t="n"/>
      <c r="S8" s="523" t="n"/>
      <c r="T8" s="175" t="n"/>
      <c r="U8" s="183" t="n"/>
      <c r="V8" s="616" t="n"/>
      <c r="W8" s="124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2B,MI,OF</t>
        </is>
      </c>
      <c r="C9" s="38" t="n"/>
      <c r="D9" s="38" t="n"/>
      <c r="E9" s="38" t="n"/>
      <c r="G9" s="67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Max Fried</t>
        </is>
      </c>
      <c r="P9" s="185" t="n"/>
      <c r="Q9" s="186" t="n">
        <v>47</v>
      </c>
      <c r="R9" s="75" t="n"/>
      <c r="S9" s="188" t="n">
        <v>2025</v>
      </c>
      <c r="T9" s="77" t="n"/>
      <c r="U9" s="803" t="n">
        <v>2</v>
      </c>
      <c r="V9" s="79" t="n"/>
      <c r="W9" s="807">
        <f>Y9-$B$1</f>
        <v/>
      </c>
      <c r="X9" s="8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2B,SS,MI</t>
        </is>
      </c>
      <c r="C10" s="38" t="n"/>
      <c r="D10" s="38" t="n"/>
      <c r="E10" s="38" t="n"/>
      <c r="G10" s="67" t="n"/>
      <c r="H10" s="755" t="n"/>
      <c r="I10" s="759" t="n"/>
      <c r="J10" s="759" t="n"/>
      <c r="K10" s="793" t="n"/>
      <c r="L10" s="29" t="n"/>
      <c r="M10" s="702" t="n"/>
      <c r="N10" s="71" t="n"/>
      <c r="P10" s="185" t="n"/>
      <c r="R10" s="75" t="n"/>
      <c r="T10" s="77" t="n"/>
      <c r="U10" s="771" t="n"/>
      <c r="V10" s="79" t="n"/>
      <c r="W10" s="771" t="n"/>
      <c r="X10" s="8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3B,CI</t>
        </is>
      </c>
      <c r="C11" s="38" t="n"/>
      <c r="D11" s="38" t="n"/>
      <c r="E11" s="38" t="n"/>
      <c r="G11" s="67" t="n"/>
      <c r="H11" s="136" t="n"/>
      <c r="I11" s="136" t="n"/>
      <c r="J11" s="136" t="n"/>
      <c r="K11" s="137" t="n"/>
      <c r="L11" s="29" t="n"/>
      <c r="M11" s="119" t="n"/>
      <c r="N11" s="71" t="n"/>
      <c r="O11" s="185" t="n"/>
      <c r="P11" s="185" t="n"/>
      <c r="Q11" s="523" t="n"/>
      <c r="R11" s="523" t="n"/>
      <c r="S11" s="523" t="n"/>
      <c r="T11" s="523" t="n"/>
      <c r="U11" s="138" t="n"/>
      <c r="V11" s="616" t="n"/>
      <c r="W11" s="124" t="n"/>
      <c r="X11" s="622" t="n"/>
      <c r="Y11" s="141" t="n"/>
      <c r="Z11" s="622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3B,CI</t>
        </is>
      </c>
      <c r="C12" s="38" t="n"/>
      <c r="D12" s="38" t="n"/>
      <c r="E12" s="38" t="n"/>
      <c r="G12" s="67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Isaac Paredes</t>
        </is>
      </c>
      <c r="P12" s="185" t="n"/>
      <c r="Q12" s="186" t="n">
        <v>3</v>
      </c>
      <c r="R12" s="75" t="n"/>
      <c r="S12" s="188" t="n">
        <v>2023</v>
      </c>
      <c r="T12" s="77" t="n"/>
      <c r="U12" s="803" t="n">
        <v>3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C,1B,CI</t>
        </is>
      </c>
      <c r="C13" s="38" t="n"/>
      <c r="D13" s="38" t="n"/>
      <c r="E13" s="38" t="n"/>
      <c r="G13" s="67" t="n"/>
      <c r="H13" s="702" t="n"/>
      <c r="K13" s="619" t="n"/>
      <c r="L13" s="29" t="n"/>
      <c r="M13" s="702" t="n"/>
      <c r="N13" s="71" t="n"/>
      <c r="P13" s="185" t="n"/>
      <c r="R13" s="75" t="n"/>
      <c r="T13" s="77" t="n"/>
      <c r="U13" s="771" t="n"/>
      <c r="V13" s="79" t="n"/>
      <c r="W13" s="771" t="n"/>
      <c r="X13" s="8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C,OF</t>
        </is>
      </c>
      <c r="C14" s="38" t="n"/>
      <c r="D14" s="38" t="n"/>
      <c r="E14" s="38" t="n"/>
      <c r="G14" s="67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523" t="n"/>
      <c r="P14" s="523" t="n"/>
      <c r="Q14" s="523" t="n"/>
      <c r="R14" s="523" t="n"/>
      <c r="S14" s="523" t="n"/>
      <c r="T14" s="523" t="n"/>
      <c r="U14" s="138" t="n"/>
      <c r="V14" s="616" t="n"/>
      <c r="W14" s="124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G15" s="67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Jackson Merrill</t>
        </is>
      </c>
      <c r="P15" s="523" t="n"/>
      <c r="Q15" s="186" t="n">
        <v>2</v>
      </c>
      <c r="R15" s="75" t="n"/>
      <c r="S15" s="188" t="n">
        <v>2024</v>
      </c>
      <c r="T15" s="77" t="n"/>
      <c r="U15" s="803" t="n">
        <v>5</v>
      </c>
      <c r="V15" s="79" t="n"/>
      <c r="W15" s="807">
        <f>Y15-$B$1</f>
        <v/>
      </c>
      <c r="X15" s="127" t="n"/>
      <c r="Y15" s="86">
        <f>S15+U15</f>
        <v/>
      </c>
      <c r="Z15" s="71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G16" s="67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523" t="n"/>
      <c r="R16" s="75" t="n"/>
      <c r="T16" s="77" t="n"/>
      <c r="U16" s="771" t="n"/>
      <c r="V16" s="79" t="n"/>
      <c r="W16" s="771" t="n"/>
      <c r="X16" s="127" t="n"/>
      <c r="Z16" s="71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G17" s="67" t="n"/>
      <c r="H17" s="702" t="n"/>
      <c r="K17" s="619" t="n"/>
      <c r="L17" s="29" t="n"/>
      <c r="M17" s="119" t="n"/>
      <c r="N17" s="71" t="n"/>
      <c r="O17" s="523" t="n"/>
      <c r="P17" s="523" t="n"/>
      <c r="Q17" s="523" t="n"/>
      <c r="R17" s="523" t="n"/>
      <c r="S17" s="523" t="n"/>
      <c r="T17" s="523" t="n"/>
      <c r="U17" s="138" t="n"/>
      <c r="V17" s="616" t="n"/>
      <c r="W17" s="124" t="n"/>
      <c r="X17" s="139" t="n"/>
      <c r="Y17" s="141" t="n"/>
      <c r="Z17" s="71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38" t="n"/>
      <c r="D18" s="38" t="n"/>
      <c r="E18" s="38" t="n"/>
      <c r="G18" s="67" t="n"/>
      <c r="H18" s="162">
        <f>CONCATENATE($B$1+1," Auction Budget acquired by trade (Offseason Only)")</f>
        <v/>
      </c>
      <c r="K18" s="809">
        <f>'Draft budget calc'!E4</f>
        <v/>
      </c>
      <c r="L18" s="29" t="n"/>
      <c r="M18" s="802" t="inlineStr">
        <is>
          <t>5th player contract --&gt;&gt;</t>
        </is>
      </c>
      <c r="N18" s="71" t="n"/>
      <c r="O18" s="184" t="inlineStr">
        <is>
          <t>Riley Greene</t>
        </is>
      </c>
      <c r="P18" s="523" t="n"/>
      <c r="Q18" s="186" t="n">
        <v>6</v>
      </c>
      <c r="R18" s="75" t="n"/>
      <c r="S18" s="188" t="n">
        <v>2024</v>
      </c>
      <c r="T18" s="77" t="n"/>
      <c r="U18" s="803" t="n">
        <v>3</v>
      </c>
      <c r="V18" s="79" t="n"/>
      <c r="W18" s="807">
        <f>Y18-$B$1</f>
        <v/>
      </c>
      <c r="X18" s="8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OF</t>
        </is>
      </c>
      <c r="C19" s="38" t="n"/>
      <c r="D19" s="38" t="n"/>
      <c r="E19" s="38" t="n"/>
      <c r="G19" s="67" t="n"/>
      <c r="H19" s="702" t="n"/>
      <c r="K19" s="619" t="n"/>
      <c r="L19" s="29" t="n"/>
      <c r="M19" s="702" t="n"/>
      <c r="N19" s="71" t="n"/>
      <c r="P19" s="523" t="n"/>
      <c r="R19" s="75" t="n"/>
      <c r="T19" s="77" t="n"/>
      <c r="U19" s="771" t="n"/>
      <c r="V19" s="79" t="n"/>
      <c r="W19" s="771" t="n"/>
      <c r="X19" s="8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  <c r="AV19" s="50" t="n"/>
      <c r="AW19" s="49" t="n"/>
      <c r="AX19" s="48" t="n"/>
      <c r="AY19" s="604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G20" s="67" t="n"/>
      <c r="H20" s="702" t="n"/>
      <c r="K20" s="619" t="n"/>
      <c r="L20" s="29" t="n"/>
      <c r="M20" s="119" t="n"/>
      <c r="N20" s="71" t="n"/>
      <c r="O20" s="523" t="n"/>
      <c r="P20" s="523" t="n"/>
      <c r="Q20" s="75" t="n"/>
      <c r="R20" s="75" t="n"/>
      <c r="S20" s="523" t="n"/>
      <c r="T20" s="175" t="n"/>
      <c r="U20" s="183" t="n"/>
      <c r="V20" s="616" t="n"/>
      <c r="W20" s="124" t="n"/>
      <c r="X20" s="622" t="n"/>
      <c r="Y20" s="622" t="n"/>
      <c r="Z20" s="622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  <c r="AV20" s="50" t="n"/>
      <c r="AW20" s="49" t="n"/>
      <c r="AX20" s="48" t="n"/>
      <c r="AY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G21" s="67" t="n"/>
      <c r="H21" s="171" t="inlineStr">
        <is>
          <t>Min. IP Penalties</t>
        </is>
      </c>
      <c r="K21" s="810">
        <f>SUM(D66:E71)</f>
        <v/>
      </c>
      <c r="L21" s="29" t="n"/>
      <c r="M21" s="802" t="inlineStr">
        <is>
          <t>6th player contract --&gt;&gt;</t>
        </is>
      </c>
      <c r="N21" s="71" t="n"/>
      <c r="O21" s="184" t="inlineStr">
        <is>
          <t>Wilson Contreras</t>
        </is>
      </c>
      <c r="P21" s="616" t="n"/>
      <c r="Q21" s="186" t="n">
        <v>10</v>
      </c>
      <c r="R21" s="146" t="n"/>
      <c r="S21" s="188" t="n">
        <v>2024</v>
      </c>
      <c r="T21" s="79" t="n"/>
      <c r="U21" s="803" t="n">
        <v>2</v>
      </c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  <c r="AV21" s="50" t="n"/>
      <c r="AW21" s="49" t="n"/>
      <c r="AX21" s="48" t="n"/>
      <c r="AY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G22" s="67" t="n"/>
      <c r="H22" s="702" t="n"/>
      <c r="K22" s="619" t="n"/>
      <c r="L22" s="29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  <c r="AV22" s="50" t="n"/>
      <c r="AW22" s="49" t="n"/>
      <c r="AX22" s="48" t="n"/>
      <c r="AY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G23" s="67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523" t="n"/>
      <c r="P23" s="523" t="n"/>
      <c r="Q23" s="523" t="n"/>
      <c r="R23" s="523" t="n"/>
      <c r="S23" s="523" t="n"/>
      <c r="T23" s="523" t="n"/>
      <c r="U23" s="138" t="n"/>
      <c r="V23" s="616" t="n"/>
      <c r="W23" s="124" t="n"/>
      <c r="X23" s="622" t="n"/>
      <c r="Y23" s="622" t="n"/>
      <c r="Z23" s="622" t="n"/>
      <c r="AA23" s="125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  <c r="AV23" s="50" t="n"/>
      <c r="AW23" s="49" t="n"/>
      <c r="AX23" s="48" t="n"/>
      <c r="AY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G24" s="67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268" t="inlineStr">
        <is>
          <t>Jacob Wilson</t>
        </is>
      </c>
      <c r="P24" s="270" t="n"/>
      <c r="Q24" s="271" t="n">
        <v>0</v>
      </c>
      <c r="R24" s="272" t="n"/>
      <c r="S24" s="273" t="n">
        <v>2025</v>
      </c>
      <c r="T24" s="274" t="n"/>
      <c r="U24" s="871" t="n">
        <v>3</v>
      </c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  <c r="AV24" s="50" t="n"/>
      <c r="AW24" s="49" t="n"/>
      <c r="AX24" s="48" t="n"/>
      <c r="AY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G25" s="67" t="n"/>
      <c r="H25" s="755" t="n"/>
      <c r="I25" s="759" t="n"/>
      <c r="J25" s="759" t="n"/>
      <c r="K25" s="793" t="n"/>
      <c r="L25" s="29" t="n"/>
      <c r="M25" s="702" t="n"/>
      <c r="N25" s="71" t="n"/>
      <c r="P25" s="270" t="n"/>
      <c r="R25" s="272" t="n"/>
      <c r="T25" s="274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  <c r="AV25" s="50" t="n"/>
      <c r="AW25" s="49" t="n"/>
      <c r="AX25" s="48" t="n"/>
      <c r="AY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G26" s="67" t="n"/>
      <c r="H26" s="622" t="n"/>
      <c r="I26" s="622" t="n"/>
      <c r="J26" s="622" t="n"/>
      <c r="K26" s="622" t="n"/>
      <c r="L26" s="29" t="n"/>
      <c r="M26" s="172" t="n"/>
      <c r="N26" s="622" t="n"/>
      <c r="O26" s="290" t="n"/>
      <c r="P26" s="270" t="n"/>
      <c r="Q26" s="272" t="n"/>
      <c r="R26" s="272" t="n"/>
      <c r="S26" s="270" t="n"/>
      <c r="T26" s="270" t="n"/>
      <c r="U26" s="292" t="n"/>
      <c r="V26" s="616" t="n"/>
      <c r="W26" s="124" t="n"/>
      <c r="X26" s="622" t="n"/>
      <c r="Y26" s="141" t="n"/>
      <c r="Z26" s="622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  <c r="AV26" s="50" t="n"/>
      <c r="AW26" s="49" t="n"/>
      <c r="AX26" s="48" t="n"/>
      <c r="AY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G27" s="67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268" t="inlineStr">
        <is>
          <t>Seiya Suzuki</t>
        </is>
      </c>
      <c r="P27" s="270" t="n"/>
      <c r="Q27" s="271" t="n">
        <v>9</v>
      </c>
      <c r="R27" s="272" t="n"/>
      <c r="S27" s="273" t="n">
        <v>2025</v>
      </c>
      <c r="T27" s="274" t="n"/>
      <c r="U27" s="871" t="n">
        <v>2</v>
      </c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  <c r="AV27" s="50" t="n"/>
      <c r="AW27" s="49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G28" s="67" t="n"/>
      <c r="H28" s="702" t="n"/>
      <c r="K28" s="619" t="n"/>
      <c r="L28" s="29" t="n"/>
      <c r="M28" s="702" t="n"/>
      <c r="N28" s="622" t="n"/>
      <c r="P28" s="270" t="n"/>
      <c r="R28" s="272" t="n"/>
      <c r="T28" s="274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  <c r="AV28" s="50" t="n"/>
      <c r="AW28" s="49" t="n"/>
      <c r="AX28" s="48" t="n"/>
      <c r="AY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G29" s="67" t="n"/>
      <c r="H29" s="702" t="n"/>
      <c r="K29" s="619" t="n"/>
      <c r="L29" s="29" t="n"/>
      <c r="M29" s="172" t="n"/>
      <c r="N29" s="622" t="n"/>
      <c r="O29" s="290" t="n"/>
      <c r="P29" s="270" t="n"/>
      <c r="Q29" s="270" t="n"/>
      <c r="R29" s="270" t="n"/>
      <c r="S29" s="270" t="n"/>
      <c r="T29" s="270" t="n"/>
      <c r="U29" s="292" t="n"/>
      <c r="V29" s="616" t="n"/>
      <c r="W29" s="124" t="n"/>
      <c r="X29" s="139" t="n"/>
      <c r="Y29" s="141" t="n"/>
      <c r="Z29" s="71" t="n"/>
      <c r="AA29" s="15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  <c r="AV29" s="50" t="n"/>
      <c r="AW29" s="49" t="n"/>
      <c r="AX29" s="48" t="n"/>
      <c r="AY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G30" s="67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268" t="inlineStr">
        <is>
          <t>Randy Arozarena</t>
        </is>
      </c>
      <c r="P30" s="270" t="n"/>
      <c r="Q30" s="271" t="n">
        <v>22</v>
      </c>
      <c r="R30" s="272" t="n"/>
      <c r="S30" s="273" t="n">
        <v>2025</v>
      </c>
      <c r="T30" s="274" t="n"/>
      <c r="U30" s="871" t="n">
        <v>2</v>
      </c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  <c r="AV30" s="50" t="n"/>
      <c r="AW30" s="49" t="n"/>
      <c r="AX30" s="48" t="n"/>
      <c r="AY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G31" s="218" t="n"/>
      <c r="H31" s="54" t="inlineStr">
        <is>
          <t>Roster Key</t>
        </is>
      </c>
      <c r="L31" s="29" t="n"/>
      <c r="M31" s="702" t="n"/>
      <c r="N31" s="71" t="n"/>
      <c r="P31" s="270" t="n"/>
      <c r="R31" s="272" t="n"/>
      <c r="T31" s="274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  <c r="AV31" s="50" t="n"/>
      <c r="AW31" s="49" t="n"/>
      <c r="AX31" s="48" t="n"/>
      <c r="AY31" s="604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218" t="n"/>
      <c r="L32" s="29" t="n"/>
      <c r="M32" s="172" t="n"/>
      <c r="N32" s="622" t="n"/>
      <c r="O32" s="290" t="n"/>
      <c r="P32" s="270" t="n"/>
      <c r="Q32" s="270" t="n"/>
      <c r="R32" s="270" t="n"/>
      <c r="S32" s="270" t="n"/>
      <c r="T32" s="270" t="n"/>
      <c r="U32" s="292" t="n"/>
      <c r="V32" s="616" t="n"/>
      <c r="W32" s="124" t="n"/>
      <c r="X32" s="622" t="n"/>
      <c r="Y32" s="622" t="n"/>
      <c r="Z32" s="622" t="n"/>
      <c r="AA32" s="16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  <c r="AV32" s="50" t="n"/>
      <c r="AW32" s="49" t="n"/>
      <c r="AX32" s="48" t="n"/>
      <c r="AY32" s="604" t="n"/>
    </row>
    <row r="33" ht="10.5" customHeight="1" s="26">
      <c r="A33" s="622" t="n"/>
      <c r="B33" s="38" t="inlineStr">
        <is>
          <t>P</t>
        </is>
      </c>
      <c r="C33" s="38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268" t="inlineStr">
        <is>
          <t>Romany Anthony</t>
        </is>
      </c>
      <c r="P33" s="270" t="n"/>
      <c r="Q33" s="271" t="n">
        <v>2</v>
      </c>
      <c r="R33" s="272" t="n"/>
      <c r="S33" s="273" t="n">
        <v>2025</v>
      </c>
      <c r="T33" s="274" t="n"/>
      <c r="U33" s="871" t="n">
        <v>7</v>
      </c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  <c r="AV33" s="50" t="n"/>
      <c r="AW33" s="49" t="n"/>
      <c r="AX33" s="48" t="n"/>
      <c r="AY33" s="604" t="n"/>
    </row>
    <row r="34" ht="10.5" customHeight="1" s="26">
      <c r="A34" s="622" t="n"/>
      <c r="B34" s="38" t="inlineStr">
        <is>
          <t>P</t>
        </is>
      </c>
      <c r="C34" s="38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270" t="n"/>
      <c r="R34" s="272" t="n"/>
      <c r="T34" s="274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  <c r="AV34" s="50" t="n"/>
      <c r="AW34" s="49" t="n"/>
      <c r="AX34" s="48" t="n"/>
      <c r="AY34" s="604" t="n"/>
    </row>
    <row r="35" ht="10.5" customHeight="1" s="26">
      <c r="A35" s="622" t="n"/>
      <c r="B35" s="38" t="inlineStr">
        <is>
          <t>SS,MI</t>
        </is>
      </c>
      <c r="C35" s="38" t="n"/>
      <c r="D35" s="38" t="n"/>
      <c r="E35" s="38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207" t="n"/>
      <c r="V35" s="622" t="n"/>
      <c r="W35" s="208" t="n"/>
      <c r="X35" s="622" t="n"/>
      <c r="Y35" s="622" t="n"/>
      <c r="Z35" s="622" t="n"/>
      <c r="AA35" s="125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  <c r="AV35" s="50" t="n"/>
      <c r="AW35" s="49" t="n"/>
      <c r="AX35" s="48" t="n"/>
      <c r="AY35" s="604" t="n"/>
    </row>
    <row r="36" ht="11.25" customHeight="1" s="26">
      <c r="A36" s="622" t="n"/>
      <c r="B36" s="38" t="inlineStr">
        <is>
          <t>SS,MI</t>
        </is>
      </c>
      <c r="C36" s="38" t="n"/>
      <c r="D36" s="38" t="n"/>
      <c r="E36" s="38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695" t="n"/>
      <c r="P36" s="622" t="n"/>
      <c r="Q36" s="471" t="n"/>
      <c r="R36" s="67" t="n"/>
      <c r="S36" s="458" t="n"/>
      <c r="T36" s="215" t="n"/>
      <c r="U36" s="820" t="n"/>
      <c r="V36" s="622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  <c r="AV36" s="50" t="n"/>
      <c r="AW36" s="49" t="n"/>
    </row>
    <row r="37" ht="11.25" customHeight="1" s="26">
      <c r="A37" s="622" t="n"/>
      <c r="B37" s="199" t="inlineStr">
        <is>
          <t>DL 5</t>
        </is>
      </c>
      <c r="C37" s="559" t="n"/>
      <c r="D37" s="759" t="n"/>
      <c r="E37" s="759" t="n"/>
      <c r="F37" s="379" t="n"/>
      <c r="G37" s="873" t="inlineStr">
        <is>
          <t>Drafted</t>
        </is>
      </c>
      <c r="H37" s="759" t="n"/>
      <c r="I37" s="383" t="inlineStr">
        <is>
          <t>MLB</t>
        </is>
      </c>
      <c r="J37" s="759" t="n"/>
      <c r="K37" s="220" t="n"/>
      <c r="L37" s="29" t="n"/>
      <c r="M37" s="702" t="n"/>
      <c r="N37" s="71" t="n"/>
      <c r="P37" s="622" t="n"/>
      <c r="R37" s="67" t="n"/>
      <c r="T37" s="215" t="n"/>
      <c r="U37" s="823" t="n"/>
      <c r="V37" s="622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  <c r="AV37" s="50" t="n"/>
      <c r="AW37" s="49" t="n"/>
      <c r="AX37" s="48" t="n"/>
      <c r="AY37" s="604" t="n"/>
    </row>
    <row r="38" ht="11.25" customHeight="1" s="26">
      <c r="A38" s="622" t="n"/>
      <c r="B38" s="222" t="inlineStr">
        <is>
          <t>Farm 1</t>
        </is>
      </c>
      <c r="C38" s="443" t="inlineStr">
        <is>
          <t>Xavier Isaac</t>
        </is>
      </c>
      <c r="F38" s="367" t="n">
        <v>3</v>
      </c>
      <c r="G38" s="385" t="n">
        <v>2025</v>
      </c>
      <c r="I38" s="386" t="inlineStr">
        <is>
          <t>No</t>
        </is>
      </c>
      <c r="J38" s="446" t="n"/>
      <c r="K38" s="172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30" t="n"/>
      <c r="V38" s="622" t="n"/>
      <c r="W38" s="622" t="n"/>
      <c r="X38" s="622" t="n"/>
      <c r="Y38" s="622" t="n"/>
      <c r="Z38" s="622" t="n"/>
      <c r="AA38" s="125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  <c r="AV38" s="50" t="n"/>
      <c r="AW38" s="49" t="n"/>
      <c r="AX38" s="48" t="n"/>
      <c r="AY38" s="604" t="n"/>
    </row>
    <row r="39" ht="11.25" customHeight="1" s="26">
      <c r="A39" s="622" t="n"/>
      <c r="B39" s="231" t="inlineStr">
        <is>
          <t>Farm 2</t>
        </is>
      </c>
      <c r="C39" s="528" t="inlineStr">
        <is>
          <t>Brock Wilken</t>
        </is>
      </c>
      <c r="F39" s="388" t="n">
        <v>3</v>
      </c>
      <c r="G39" s="417" t="n">
        <v>2024</v>
      </c>
      <c r="I39" s="554" t="inlineStr">
        <is>
          <t>No</t>
        </is>
      </c>
      <c r="J39" s="391" t="n"/>
      <c r="K39" s="172" t="n"/>
      <c r="L39" s="29" t="n"/>
      <c r="M39" s="824" t="inlineStr">
        <is>
          <t>12th player contract --&gt;&gt;</t>
        </is>
      </c>
      <c r="N39" s="71" t="n"/>
      <c r="O39" s="695" t="inlineStr">
        <is>
          <t> </t>
        </is>
      </c>
      <c r="P39" s="622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  <c r="AV39" s="50" t="n"/>
      <c r="AW39" s="49" t="n"/>
      <c r="AX39" s="48" t="n"/>
      <c r="AY39" s="604" t="n"/>
    </row>
    <row r="40" ht="11.25" customHeight="1" s="26">
      <c r="A40" s="622" t="n"/>
      <c r="B40" s="231" t="inlineStr">
        <is>
          <t>Farm 3</t>
        </is>
      </c>
      <c r="C40" s="874" t="inlineStr">
        <is>
          <t>Emmanuel Rodriguez</t>
        </is>
      </c>
      <c r="E40" s="619" t="n"/>
      <c r="F40" s="388" t="n">
        <v>4</v>
      </c>
      <c r="G40" s="417" t="n">
        <v>2023</v>
      </c>
      <c r="I40" s="419" t="inlineStr">
        <is>
          <t>No</t>
        </is>
      </c>
      <c r="J40" s="391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139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  <c r="AV40" s="50" t="n"/>
      <c r="AW40" s="49" t="n"/>
      <c r="AX40" s="48" t="n"/>
      <c r="AY40" s="604" t="n"/>
    </row>
    <row r="41" ht="11.25" customHeight="1" s="26">
      <c r="A41" s="622" t="n"/>
      <c r="B41" s="231" t="inlineStr">
        <is>
          <t>Farm 4</t>
        </is>
      </c>
      <c r="C41" s="530" t="inlineStr">
        <is>
          <t>Adael Amador</t>
        </is>
      </c>
      <c r="F41" s="426" t="n">
        <v>6</v>
      </c>
      <c r="G41" s="531" t="n">
        <v>2023</v>
      </c>
      <c r="I41" s="532" t="inlineStr">
        <is>
          <t>Yes</t>
        </is>
      </c>
      <c r="J41" s="446" t="n"/>
      <c r="K41" s="172" t="n"/>
      <c r="L41" s="29" t="n"/>
      <c r="M41" s="172" t="n"/>
      <c r="N41" s="622" t="n"/>
      <c r="O41" s="685" t="n"/>
      <c r="P41" s="622" t="n"/>
      <c r="Q41" s="247" t="n"/>
      <c r="R41" s="67" t="n"/>
      <c r="S41" s="248" t="n"/>
      <c r="T41" s="215" t="n"/>
      <c r="U41" s="250" t="n"/>
      <c r="V41" s="622" t="n"/>
      <c r="W41" s="251" t="n"/>
      <c r="X41" s="622" t="n"/>
      <c r="Y41" s="141" t="n"/>
      <c r="Z41" s="622" t="n"/>
      <c r="AA41" s="143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  <c r="AV41" s="50" t="n"/>
      <c r="AW41" s="49" t="n"/>
      <c r="AX41" s="48" t="n"/>
      <c r="AY41" s="604" t="n"/>
    </row>
    <row r="42" ht="11.25" customHeight="1" s="26">
      <c r="A42" s="622" t="n"/>
      <c r="B42" s="231" t="inlineStr">
        <is>
          <t>Farm 5</t>
        </is>
      </c>
      <c r="C42" s="530" t="n"/>
      <c r="F42" s="426" t="n"/>
      <c r="G42" s="531" t="n"/>
      <c r="I42" s="532" t="n"/>
      <c r="J42" s="446" t="n"/>
      <c r="K42" s="172" t="n"/>
      <c r="L42" s="29" t="n"/>
      <c r="M42" s="824" t="inlineStr">
        <is>
          <t>13th player contract --&gt;&gt;</t>
        </is>
      </c>
      <c r="N42" s="622" t="n"/>
      <c r="O42" s="695" t="inlineStr">
        <is>
          <t> </t>
        </is>
      </c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  <c r="AV42" s="50" t="n"/>
      <c r="AW42" s="49" t="n"/>
    </row>
    <row r="43" ht="11.25" customHeight="1" s="26">
      <c r="A43" s="622" t="n"/>
      <c r="B43" s="231" t="inlineStr">
        <is>
          <t>Farm 6</t>
        </is>
      </c>
      <c r="C43" s="874" t="n"/>
      <c r="E43" s="619" t="n"/>
      <c r="F43" s="388" t="n"/>
      <c r="G43" s="417" t="n"/>
      <c r="I43" s="419" t="n"/>
      <c r="J43" s="446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  <c r="AV43" s="50" t="n"/>
      <c r="AW43" s="49" t="n"/>
      <c r="AX43" s="48" t="n"/>
      <c r="AY43" s="604" t="n"/>
    </row>
    <row r="44" ht="11.25" customHeight="1" s="26">
      <c r="A44" s="622" t="n"/>
      <c r="B44" s="231" t="inlineStr">
        <is>
          <t>Farm 7</t>
        </is>
      </c>
      <c r="C44" s="550" t="n"/>
      <c r="F44" s="367" t="n"/>
      <c r="G44" s="385" t="n"/>
      <c r="I44" s="386" t="n"/>
      <c r="J44" s="446" t="n"/>
      <c r="K44" s="172" t="n"/>
      <c r="L44" s="29" t="n"/>
      <c r="M44" s="172" t="n"/>
      <c r="N44" s="622" t="n"/>
      <c r="O44" s="423" t="n"/>
      <c r="P44" s="139" t="n"/>
      <c r="Q44" s="424" t="n"/>
      <c r="R44" s="425" t="n"/>
      <c r="S44" s="248" t="n"/>
      <c r="T44" s="215" t="n"/>
      <c r="U44" s="230" t="n"/>
      <c r="V44" s="139" t="n"/>
      <c r="W44" s="251" t="n"/>
      <c r="X44" s="139" t="n"/>
      <c r="Y44" s="141" t="n"/>
      <c r="Z44" s="71" t="n"/>
      <c r="AA44" s="153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  <c r="AV44" s="30" t="n"/>
      <c r="AX44" s="48" t="n"/>
      <c r="AY44" s="604" t="n"/>
    </row>
    <row r="45" ht="11.25" customHeight="1" s="26">
      <c r="A45" s="622" t="n"/>
      <c r="B45" s="231" t="inlineStr">
        <is>
          <t>Farm 8</t>
        </is>
      </c>
      <c r="C45" s="443" t="n"/>
      <c r="F45" s="309" t="n"/>
      <c r="G45" s="405" t="n"/>
      <c r="I45" s="445" t="n"/>
      <c r="J45" s="446" t="n"/>
      <c r="K45" s="172" t="n"/>
      <c r="L45" s="29" t="n"/>
      <c r="M45" s="824" t="inlineStr">
        <is>
          <t>14th player contract --&gt;&gt;</t>
        </is>
      </c>
      <c r="N45" s="71" t="n"/>
      <c r="O45" s="695" t="inlineStr">
        <is>
          <t> </t>
        </is>
      </c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  <c r="AV45" s="30" t="n"/>
      <c r="AX45" s="48" t="n"/>
      <c r="AY45" s="604" t="n"/>
    </row>
    <row r="46" ht="11.25" customHeight="1" s="26">
      <c r="A46" s="622" t="n"/>
      <c r="B46" s="231" t="inlineStr">
        <is>
          <t>Farm 9</t>
        </is>
      </c>
      <c r="C46" s="442" t="n"/>
      <c r="F46" s="309" t="n"/>
      <c r="G46" s="405" t="n"/>
      <c r="I46" s="445" t="n"/>
      <c r="J46" s="444" t="n"/>
      <c r="K46" s="17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  <c r="AV46" s="30" t="n"/>
      <c r="AX46" s="48" t="n"/>
      <c r="AY46" s="604" t="n"/>
    </row>
    <row r="47" ht="11.25" customHeight="1" s="26">
      <c r="A47" s="622" t="n"/>
      <c r="B47" s="231" t="inlineStr">
        <is>
          <t>Farm 10</t>
        </is>
      </c>
      <c r="C47" s="442" t="n"/>
      <c r="F47" s="309" t="n"/>
      <c r="G47" s="405" t="n"/>
      <c r="I47" s="445" t="n"/>
      <c r="J47" s="446" t="n"/>
      <c r="K47" s="172" t="n"/>
      <c r="L47" s="29" t="n"/>
      <c r="M47" s="172" t="n"/>
      <c r="N47" s="622" t="n"/>
      <c r="O47" s="622" t="n"/>
      <c r="P47" s="622" t="n"/>
      <c r="Q47" s="622" t="n"/>
      <c r="R47" s="622" t="n"/>
      <c r="S47" s="622" t="n"/>
      <c r="T47" s="622" t="n"/>
      <c r="U47" s="250" t="n"/>
      <c r="V47" s="622" t="n"/>
      <c r="W47" s="251" t="n"/>
      <c r="X47" s="622" t="n"/>
      <c r="Y47" s="622" t="n"/>
      <c r="Z47" s="622" t="n"/>
      <c r="AA47" s="164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  <c r="AV47" s="30" t="n"/>
      <c r="AX47" s="48" t="n"/>
      <c r="AY47" s="604" t="n"/>
    </row>
    <row r="48" ht="11.25" customHeight="1" s="26">
      <c r="A48" s="622" t="n"/>
      <c r="B48" s="231" t="inlineStr">
        <is>
          <t>Farm 11</t>
        </is>
      </c>
      <c r="C48" s="875" t="n"/>
      <c r="E48" s="619" t="n"/>
      <c r="F48" s="244" t="n"/>
      <c r="G48" s="351" t="n"/>
      <c r="I48" s="534" t="n"/>
      <c r="J48" s="446" t="n"/>
      <c r="K48" s="622" t="n"/>
      <c r="L48" s="29" t="n"/>
      <c r="M48" s="824" t="inlineStr">
        <is>
          <t>15th player contract --&gt;&gt;</t>
        </is>
      </c>
      <c r="N48" s="622" t="n"/>
      <c r="O48" s="695" t="inlineStr">
        <is>
          <t> </t>
        </is>
      </c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  <c r="AV48" s="30" t="n"/>
      <c r="AX48" s="48" t="n"/>
      <c r="AY48" s="604" t="n"/>
    </row>
    <row r="49" ht="11.25" customHeight="1" s="26">
      <c r="A49" s="622" t="n"/>
      <c r="B49" s="231" t="inlineStr">
        <is>
          <t>Farm 12</t>
        </is>
      </c>
      <c r="C49" s="459" t="n"/>
      <c r="F49" s="367" t="n"/>
      <c r="G49" s="405" t="n"/>
      <c r="I49" s="445" t="n"/>
      <c r="J49" s="446" t="n"/>
      <c r="K49" s="293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  <c r="AV49" s="30" t="n"/>
      <c r="AX49" s="48" t="n"/>
      <c r="AY49" s="604" t="n"/>
    </row>
    <row r="50" ht="11.25" customHeight="1" s="26">
      <c r="A50" s="622" t="n"/>
      <c r="B50" s="231" t="inlineStr">
        <is>
          <t>Farm 13</t>
        </is>
      </c>
      <c r="C50" s="459" t="n"/>
      <c r="F50" s="367" t="n"/>
      <c r="G50" s="405" t="n"/>
      <c r="I50" s="445" t="n"/>
      <c r="J50" s="536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  <c r="AV50" s="30" t="n"/>
      <c r="AX50" s="48" t="n"/>
      <c r="AY50" s="604" t="n"/>
    </row>
    <row r="51" ht="11.25" customHeight="1" s="26">
      <c r="A51" s="622" t="n"/>
      <c r="B51" s="231" t="inlineStr">
        <is>
          <t>Farm 14</t>
        </is>
      </c>
      <c r="C51" s="443" t="n"/>
      <c r="F51" s="367" t="n"/>
      <c r="G51" s="405" t="n"/>
      <c r="I51" s="445" t="n"/>
      <c r="J51" s="446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  <c r="AV51" s="30" t="n"/>
      <c r="AX51" s="48" t="n"/>
      <c r="AY51" s="604" t="n"/>
    </row>
    <row r="52" ht="11.25" customHeight="1" s="26">
      <c r="B52" s="231" t="inlineStr">
        <is>
          <t>Farm 15</t>
        </is>
      </c>
      <c r="C52" s="443" t="n"/>
      <c r="F52" s="367" t="n"/>
      <c r="G52" s="405" t="n"/>
      <c r="I52" s="445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  <c r="AV52" s="30" t="n"/>
      <c r="AX52" s="48" t="n"/>
      <c r="AY52" s="604" t="n"/>
    </row>
    <row r="53" ht="11.25" customHeight="1" s="26">
      <c r="A53" s="622" t="n"/>
      <c r="B53" s="231" t="inlineStr">
        <is>
          <t>Farm 16</t>
        </is>
      </c>
      <c r="C53" s="459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  <c r="AV53" s="312" t="n"/>
      <c r="AW53" s="48" t="n"/>
      <c r="AX53" s="48" t="n"/>
      <c r="AY53" s="604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8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  <c r="AV54" s="312" t="n"/>
      <c r="AW54" s="48" t="n"/>
      <c r="AX54" s="48" t="n"/>
      <c r="AY54" s="604" t="n"/>
    </row>
    <row r="55" ht="11.25" customHeight="1" s="26">
      <c r="A55" s="622" t="n"/>
      <c r="B55" s="231" t="inlineStr">
        <is>
          <t>Farm 18</t>
        </is>
      </c>
      <c r="C55" s="459" t="n"/>
      <c r="F55" s="367" t="n"/>
      <c r="G55" s="405" t="n"/>
      <c r="I55" s="445" t="n"/>
      <c r="J55" s="446" t="n"/>
      <c r="K55" s="293" t="n"/>
      <c r="L55" s="29" t="n"/>
      <c r="M55" s="830" t="inlineStr">
        <is>
          <t>1st dropped contract</t>
        </is>
      </c>
      <c r="N55" s="321" t="n"/>
      <c r="O55" s="695" t="inlineStr">
        <is>
          <t>Cristian Javier</t>
        </is>
      </c>
      <c r="P55" s="622" t="n"/>
      <c r="Q55" s="471" t="n">
        <v>0</v>
      </c>
      <c r="R55" s="67" t="n"/>
      <c r="S55" s="458" t="n">
        <v>2022</v>
      </c>
      <c r="T55" s="215" t="n"/>
      <c r="U55" s="820" t="n">
        <v>4</v>
      </c>
      <c r="V55" s="139" t="n"/>
      <c r="W55" s="821">
        <f>Y55-$B$1</f>
        <v/>
      </c>
      <c r="X55" s="622" t="n"/>
      <c r="Y55" s="86">
        <f>S55+U55</f>
        <v/>
      </c>
      <c r="Z55" s="622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  <c r="AV55" s="336" t="n"/>
      <c r="AW55" s="48" t="n"/>
      <c r="AX55" s="48" t="n"/>
      <c r="AY55" s="604" t="n"/>
    </row>
    <row r="56" ht="11.25" customHeight="1" s="26">
      <c r="A56" s="622" t="n"/>
      <c r="B56" s="231" t="inlineStr">
        <is>
          <t>Farm 19</t>
        </is>
      </c>
      <c r="C56" s="459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622" t="n"/>
      <c r="R56" s="67" t="n"/>
      <c r="T56" s="215" t="n"/>
      <c r="U56" s="823" t="n"/>
      <c r="V56" s="139" t="n"/>
      <c r="W56" s="823" t="n"/>
      <c r="X56" s="622" t="n"/>
      <c r="Z56" s="622" t="n"/>
      <c r="AA56" s="619" t="n"/>
      <c r="AB56" s="62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  <c r="AV56" s="336" t="n"/>
      <c r="AW56" s="48" t="n"/>
      <c r="AX56" s="48" t="n"/>
      <c r="AY56" s="604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468" t="n"/>
      <c r="J57" s="469" t="n"/>
      <c r="K57" s="407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  <c r="AV57" s="336" t="n"/>
      <c r="AW57" s="48" t="n"/>
      <c r="AX57" s="48" t="n"/>
      <c r="AY57" s="604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479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  <c r="AV58" s="336" t="n"/>
      <c r="AW58" s="48" t="n"/>
      <c r="AX58" s="48" t="n"/>
      <c r="AY58" s="604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  <c r="AV59" s="50" t="n"/>
      <c r="AW59" s="49" t="n"/>
      <c r="AX59" s="48" t="n"/>
      <c r="AY59" s="604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  <c r="AV60" s="50" t="n"/>
      <c r="AW60" s="49" t="n"/>
      <c r="AX60" s="48" t="n"/>
      <c r="AY60" s="604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436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  <c r="AV61" s="50" t="n"/>
      <c r="AW61" s="49" t="n"/>
      <c r="AX61" s="48" t="n"/>
      <c r="AY61" s="604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831" t="inlineStr">
        <is>
          <t>Ian Happ</t>
        </is>
      </c>
      <c r="P62" s="323" t="n"/>
      <c r="Q62" s="832" t="n">
        <v>16</v>
      </c>
      <c r="R62" s="325" t="n"/>
      <c r="S62" s="833" t="n">
        <v>2024</v>
      </c>
      <c r="T62" s="327" t="n"/>
      <c r="U62" s="834" t="n">
        <v>2</v>
      </c>
      <c r="V62" s="323" t="n"/>
      <c r="W62" s="835">
        <f>Y62-$B$1</f>
        <v/>
      </c>
      <c r="X62" s="323" t="n"/>
      <c r="Y62" s="836">
        <f>S62+U62</f>
        <v/>
      </c>
      <c r="Z62" s="335" t="n"/>
      <c r="AA62" s="492">
        <f>IF(U62=1,Q62,IF(U62=2,Q62+5,IF(U62=3,Q62+10,IF(U62&gt;3,Q62+U62*3))))</f>
        <v/>
      </c>
      <c r="AB62" s="8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  <c r="AV62" s="50" t="n"/>
      <c r="AW62" s="49" t="n"/>
      <c r="AX62" s="48" t="n"/>
      <c r="AY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O63" s="779" t="n"/>
      <c r="P63" s="339" t="n"/>
      <c r="Q63" s="779" t="n"/>
      <c r="R63" s="340" t="n"/>
      <c r="S63" s="779" t="n"/>
      <c r="T63" s="341" t="n"/>
      <c r="U63" s="779" t="n"/>
      <c r="V63" s="339" t="n"/>
      <c r="W63" s="779" t="n"/>
      <c r="X63" s="339" t="n"/>
      <c r="Y63" s="779" t="n"/>
      <c r="Z63" s="342" t="n"/>
      <c r="AA63" s="494" t="n"/>
      <c r="AB63" s="82" t="n"/>
      <c r="AC63" s="49" t="n"/>
      <c r="AD63" s="48" t="n"/>
      <c r="AE63" s="604" t="n"/>
      <c r="AF63" s="50" t="n"/>
      <c r="AG63" s="49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  <c r="AV63" s="50" t="n"/>
      <c r="AW63" s="49" t="n"/>
      <c r="AX63" s="48" t="n"/>
      <c r="AY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>
        <v>2025</v>
      </c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  <c r="AV64" s="50" t="n"/>
      <c r="AW64" s="49" t="n"/>
      <c r="AX64" s="48" t="n"/>
      <c r="AY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  <c r="AV65" s="50" t="n"/>
      <c r="AW65" s="49" t="n"/>
      <c r="AX65" s="48" t="n"/>
      <c r="AY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H66" s="48" t="n"/>
      <c r="AI66" s="604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  <c r="AV66" s="50" t="n"/>
      <c r="AW66" s="49" t="n"/>
      <c r="AX66" s="48" t="n"/>
      <c r="AY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  <c r="AV67" s="50" t="n"/>
      <c r="AW67" s="49" t="n"/>
      <c r="AX67" s="48" t="n"/>
      <c r="AY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436" t="n"/>
      <c r="AB68" s="622" t="n"/>
      <c r="AF68" s="30" t="n"/>
      <c r="AJ68" s="30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  <c r="AV68" s="50" t="n"/>
      <c r="AW68" s="49" t="n"/>
      <c r="AX68" s="48" t="n"/>
      <c r="AY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31" t="n"/>
      <c r="P69" s="323" t="n"/>
      <c r="Q69" s="832" t="n"/>
      <c r="R69" s="325" t="n"/>
      <c r="S69" s="833" t="n"/>
      <c r="T69" s="327" t="n"/>
      <c r="U69" s="834" t="n"/>
      <c r="V69" s="323" t="n"/>
      <c r="W69" s="835">
        <f>Y69-$B$1</f>
        <v/>
      </c>
      <c r="X69" s="323" t="n"/>
      <c r="Y69" s="836">
        <f>S69+U69</f>
        <v/>
      </c>
      <c r="Z69" s="335" t="n"/>
      <c r="AA69" s="492">
        <f>IF(U69=1,Q69,IF(U69=2,Q69+5,IF(U69=3,Q69+10,IF(U69&gt;3,Q69+U69*3))))</f>
        <v/>
      </c>
      <c r="AB69" s="82" t="n"/>
      <c r="AF69" s="30" t="n"/>
      <c r="AJ69" s="30" t="n"/>
      <c r="AL69" s="48" t="n"/>
      <c r="AM69" s="604" t="n"/>
      <c r="AN69" s="50" t="n"/>
      <c r="AO69" s="49" t="n"/>
      <c r="AR69" s="50" t="n"/>
      <c r="AS69" s="49" t="n"/>
      <c r="AT69" s="48" t="n"/>
      <c r="AU69" s="604" t="n"/>
      <c r="AV69" s="50" t="n"/>
      <c r="AW69" s="49" t="n"/>
      <c r="AX69" s="48" t="n"/>
      <c r="AY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A70" s="494" t="n"/>
      <c r="AB70" s="8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  <c r="AV70" s="50" t="n"/>
      <c r="AW70" s="49" t="n"/>
      <c r="AX70" s="48" t="n"/>
      <c r="AY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R71" s="30" t="n"/>
      <c r="AV71" s="30" t="n"/>
      <c r="AX71" s="48" t="n"/>
      <c r="AY71" s="604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481" t="n"/>
      <c r="AN72" s="30" t="n"/>
      <c r="AR72" s="30" t="n"/>
      <c r="AV72" s="30" t="n"/>
      <c r="AX72" s="48" t="n"/>
      <c r="AY72" s="604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R73" s="30" t="n"/>
      <c r="AV73" s="30" t="n"/>
      <c r="AX73" s="48" t="n"/>
      <c r="AY73" s="604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50" t="n"/>
      <c r="AO74" s="49" t="n"/>
      <c r="AP74" s="48" t="n"/>
      <c r="AQ74" s="604" t="n"/>
      <c r="AR74" s="30" t="n"/>
      <c r="AV74" s="30" t="n"/>
      <c r="AX74" s="48" t="n"/>
      <c r="AY74" s="604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436" t="n"/>
      <c r="AB75" s="622" t="n"/>
      <c r="AF75" s="30" t="n"/>
      <c r="AJ75" s="30" t="n"/>
      <c r="AL75" s="48" t="n"/>
      <c r="AM75" s="604" t="n"/>
      <c r="AN75" s="50" t="n"/>
      <c r="AO75" s="49" t="n"/>
      <c r="AP75" s="48" t="n"/>
      <c r="AQ75" s="604" t="n"/>
      <c r="AR75" s="50" t="n"/>
      <c r="AS75" s="49" t="n"/>
      <c r="AT75" s="48" t="n"/>
      <c r="AU75" s="604" t="n"/>
      <c r="AV75" s="50" t="n"/>
      <c r="AW75" s="49" t="n"/>
      <c r="AX75" s="48" t="n"/>
      <c r="AY75" s="604" t="n"/>
    </row>
    <row r="76" ht="11.25" customHeight="1" s="26"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492">
        <f>IF(U76=1,Q76,IF(U76=2,Q76+5,IF(U76=3,Q76+10,IF(U76&gt;3,Q76+U76*3))))</f>
        <v/>
      </c>
      <c r="AB76" s="82" t="n"/>
      <c r="AF76" s="30" t="n"/>
      <c r="AJ76" s="30" t="n"/>
      <c r="AL76" s="48" t="n"/>
      <c r="AM76" s="604" t="n"/>
      <c r="AN76" s="50" t="n"/>
      <c r="AO76" s="49" t="n"/>
      <c r="AP76" s="48" t="n"/>
      <c r="AQ76" s="604" t="n"/>
      <c r="AR76" s="50" t="n"/>
      <c r="AS76" s="49" t="n"/>
      <c r="AT76" s="48" t="n"/>
      <c r="AU76" s="604" t="n"/>
      <c r="AV76" s="50" t="n"/>
      <c r="AW76" s="49" t="n"/>
      <c r="AX76" s="48" t="n"/>
      <c r="AY76" s="604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A77" s="494" t="n"/>
      <c r="AB77" s="8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  <c r="AV77" s="50" t="n"/>
      <c r="AW77" s="49" t="n"/>
      <c r="AX77" s="48" t="n"/>
      <c r="AY77" s="604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  <c r="AV78" s="50" t="n"/>
      <c r="AW78" s="49" t="n"/>
      <c r="AX78" s="48" t="n"/>
      <c r="AY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  <c r="AV79" s="50" t="n"/>
      <c r="AW79" s="49" t="n"/>
      <c r="AX79" s="48" t="n"/>
      <c r="AY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  <c r="AV80" s="50" t="n"/>
      <c r="AW80" s="49" t="n"/>
      <c r="AX80" s="48" t="n"/>
      <c r="AY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  <c r="AV81" s="50" t="n"/>
      <c r="AW81" s="49" t="n"/>
      <c r="AX81" s="48" t="n"/>
      <c r="AY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  <c r="AV82" s="50" t="n"/>
      <c r="AW82" s="49" t="n"/>
      <c r="AX82" s="48" t="n"/>
      <c r="AY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  <c r="AV83" s="50" t="n"/>
      <c r="AW83" s="49" t="n"/>
      <c r="AX83" s="48" t="n"/>
      <c r="AY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  <c r="AV84" s="50" t="n"/>
      <c r="AW84" s="49" t="n"/>
      <c r="AX84" s="48" t="n"/>
      <c r="AY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  <c r="AV85" s="50" t="n"/>
      <c r="AW85" s="49" t="n"/>
      <c r="AX85" s="48" t="n"/>
      <c r="AY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  <c r="AV86" s="50" t="n"/>
      <c r="AW86" s="49" t="n"/>
      <c r="AX86" s="48" t="n"/>
      <c r="AY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  <c r="AV87" s="50" t="n"/>
      <c r="AW87" s="49" t="n"/>
      <c r="AX87" s="48" t="n"/>
      <c r="AY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  <c r="AV88" s="50" t="n"/>
      <c r="AW88" s="49" t="n"/>
      <c r="AX88" s="48" t="n"/>
      <c r="AY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  <c r="AV89" s="50" t="n"/>
      <c r="AW89" s="49" t="n"/>
      <c r="AX89" s="48" t="n"/>
      <c r="AY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  <c r="AV90" s="50" t="n"/>
      <c r="AW90" s="49" t="n"/>
      <c r="AX90" s="48" t="n"/>
      <c r="AY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  <c r="AV91" s="30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R92" s="30" t="n"/>
      <c r="AV92" s="30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481" t="n"/>
      <c r="AN93" s="30" t="n"/>
      <c r="AR93" s="30" t="n"/>
      <c r="AV93" s="30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  <c r="AV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  <c r="AV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604" t="n"/>
      <c r="AN96" s="30" t="n"/>
      <c r="AR96" s="30" t="n"/>
      <c r="AV96" s="30" t="n"/>
    </row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08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M9:M10"/>
    <mergeCell ref="U69:U7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S76:S77"/>
    <mergeCell ref="B70:C71"/>
    <mergeCell ref="D70:E71"/>
    <mergeCell ref="U9:U10"/>
    <mergeCell ref="M66:N66"/>
    <mergeCell ref="Q73:S73"/>
    <mergeCell ref="Q42:Q43"/>
    <mergeCell ref="W66:Y66"/>
    <mergeCell ref="S42:S43"/>
    <mergeCell ref="Y39:Y40"/>
    <mergeCell ref="M15:M16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U78:U79"/>
    <mergeCell ref="Y42:Y43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Q69:Q70"/>
    <mergeCell ref="S9:S10"/>
    <mergeCell ref="K12:K13"/>
    <mergeCell ref="S69:S70"/>
    <mergeCell ref="G53:H53"/>
    <mergeCell ref="Y6:Y7"/>
    <mergeCell ref="K14:K15"/>
    <mergeCell ref="Q66:S66"/>
    <mergeCell ref="M42:M43"/>
    <mergeCell ref="AA64:AA65"/>
    <mergeCell ref="O42:O43"/>
    <mergeCell ref="U39:U40"/>
    <mergeCell ref="W39:W40"/>
    <mergeCell ref="O6:O7"/>
    <mergeCell ref="Q62:Q63"/>
    <mergeCell ref="W24:W25"/>
    <mergeCell ref="S62:S63"/>
    <mergeCell ref="Y24:Y25"/>
    <mergeCell ref="V78:Z79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Q33:Q34"/>
    <mergeCell ref="M69:M70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U3:U4"/>
    <mergeCell ref="M6:M7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W42:W43 W45:W46 W48:W49">
    <cfRule type="cellIs" priority="1" operator="equal" dxfId="0">
      <formula>0</formula>
    </cfRule>
    <cfRule type="cellIs" priority="2" operator="equal" dxfId="0">
      <formula>"'0'"</formula>
    </cfRule>
  </conditionalFormatting>
  <conditionalFormatting sqref="W39:W40">
    <cfRule type="cellIs" priority="3" operator="equal" dxfId="0">
      <formula>0</formula>
    </cfRule>
    <cfRule type="cellIs" priority="4" operator="equal" dxfId="0">
      <formula>"'0'"</formula>
    </cfRule>
  </conditionalFormatting>
  <conditionalFormatting sqref="J39 J42 J45 J57">
    <cfRule type="expression" priority="5" dxfId="1">
      <formula>ISNUMBER($F21)</formula>
    </cfRule>
  </conditionalFormatting>
  <conditionalFormatting sqref="J57">
    <cfRule type="expression" priority="6" dxfId="1">
      <formula>ISNUMBER($F57)</formula>
    </cfRule>
    <cfRule type="expression" priority="7" dxfId="1">
      <formula>ISNUMBER($F57)</formula>
    </cfRule>
    <cfRule type="expression" priority="8" dxfId="1">
      <formula>ISNUMBER($F57)</formula>
    </cfRule>
    <cfRule type="expression" priority="9" dxfId="1">
      <formula>ISNUMBER($F57)</formula>
    </cfRule>
  </conditionalFormatting>
  <conditionalFormatting sqref="J52">
    <cfRule type="expression" priority="10" dxfId="1">
      <formula>ISNUMBER($F52)</formula>
    </cfRule>
    <cfRule type="expression" priority="11" dxfId="1">
      <formula>ISNUMBER($F52)</formula>
    </cfRule>
    <cfRule type="expression" priority="12" dxfId="1">
      <formula>ISNUMBER($F52)</formula>
    </cfRule>
    <cfRule type="expression" priority="13" dxfId="1">
      <formula>ISNUMBER($F52)</formula>
    </cfRule>
    <cfRule type="expression" priority="14" dxfId="1">
      <formula>ISNUMBER($F52)</formula>
    </cfRule>
  </conditionalFormatting>
  <conditionalFormatting sqref="J45 J51">
    <cfRule type="expression" priority="15" dxfId="1">
      <formula>ISNUMBER($F45)</formula>
    </cfRule>
    <cfRule type="expression" priority="16" dxfId="1">
      <formula>ISNUMBER($F45)</formula>
    </cfRule>
    <cfRule type="expression" priority="17" dxfId="1">
      <formula>ISNUMBER($F45)</formula>
    </cfRule>
    <cfRule type="expression" priority="18" dxfId="1">
      <formula>ISNUMBER($F45)</formula>
    </cfRule>
    <cfRule type="expression" priority="19" dxfId="1">
      <formula>ISNUMBER($F45)</formula>
    </cfRule>
  </conditionalFormatting>
  <conditionalFormatting sqref="J46">
    <cfRule type="expression" priority="20" dxfId="1">
      <formula>ISNUMBER($F46)</formula>
    </cfRule>
  </conditionalFormatting>
  <conditionalFormatting sqref="J41:J47">
    <cfRule type="expression" priority="21" dxfId="1">
      <formula>ISNUMBER($F41)</formula>
    </cfRule>
    <cfRule type="expression" priority="80" dxfId="1">
      <formula>ISNUMBER($F41)</formula>
    </cfRule>
    <cfRule type="expression" priority="81" dxfId="1">
      <formula>ISNUMBER($F41)</formula>
    </cfRule>
    <cfRule type="expression" priority="82" dxfId="1">
      <formula>ISNUMBER($F41)</formula>
    </cfRule>
    <cfRule type="expression" priority="83" dxfId="1">
      <formula>ISNUMBER($F41)</formula>
    </cfRule>
    <cfRule type="expression" priority="84" dxfId="1">
      <formula>ISNUMBER($F41)</formula>
    </cfRule>
  </conditionalFormatting>
  <conditionalFormatting sqref="J42 J45:J46 J48">
    <cfRule type="expression" priority="22" dxfId="1">
      <formula>ISNUMBER($F42)</formula>
    </cfRule>
  </conditionalFormatting>
  <conditionalFormatting sqref="J42:J44 J50">
    <cfRule type="expression" priority="23" dxfId="1">
      <formula>ISNUMBER($F42)</formula>
    </cfRule>
    <cfRule type="expression" priority="24" dxfId="1">
      <formula>ISNUMBER($F42)</formula>
    </cfRule>
    <cfRule type="expression" priority="25" dxfId="1">
      <formula>ISNUMBER($F42)</formula>
    </cfRule>
    <cfRule type="expression" priority="26" dxfId="1">
      <formula>ISNUMBER($F42)</formula>
    </cfRule>
    <cfRule type="expression" priority="27" dxfId="1">
      <formula>ISNUMBER($F42)</formula>
    </cfRule>
  </conditionalFormatting>
  <conditionalFormatting sqref="W6:W7">
    <cfRule type="cellIs" priority="28" operator="equal" dxfId="0">
      <formula>0</formula>
    </cfRule>
    <cfRule type="cellIs" priority="29" operator="equal" dxfId="0">
      <formula>"'0'"</formula>
    </cfRule>
    <cfRule type="cellIs" priority="30" operator="equal" dxfId="0">
      <formula>0</formula>
    </cfRule>
  </conditionalFormatting>
  <conditionalFormatting sqref="W18:W19">
    <cfRule type="cellIs" priority="31" operator="equal" dxfId="0">
      <formula>0</formula>
    </cfRule>
    <cfRule type="cellIs" priority="32" operator="equal" dxfId="0">
      <formula>"'0'"</formula>
    </cfRule>
    <cfRule type="cellIs" priority="33" operator="equal" dxfId="0">
      <formula>0</formula>
    </cfRule>
  </conditionalFormatting>
  <conditionalFormatting sqref="W12:W13">
    <cfRule type="cellIs" priority="34" operator="equal" dxfId="0">
      <formula>0</formula>
    </cfRule>
    <cfRule type="cellIs" priority="35" operator="equal" dxfId="0">
      <formula>"'0'"</formula>
    </cfRule>
    <cfRule type="cellIs" priority="36" operator="equal" dxfId="0">
      <formula>0</formula>
    </cfRule>
  </conditionalFormatting>
  <conditionalFormatting sqref="W15:W16">
    <cfRule type="cellIs" priority="37" operator="equal" dxfId="0">
      <formula>0</formula>
    </cfRule>
    <cfRule type="cellIs" priority="38" operator="equal" dxfId="0">
      <formula>"'0'"</formula>
    </cfRule>
    <cfRule type="cellIs" priority="39" operator="equal" dxfId="0">
      <formula>0</formula>
    </cfRule>
  </conditionalFormatting>
  <conditionalFormatting sqref="J43 J49">
    <cfRule type="expression" priority="40" dxfId="1">
      <formula>ISNUMBER($F43)</formula>
    </cfRule>
  </conditionalFormatting>
  <conditionalFormatting sqref="J53">
    <cfRule type="expression" priority="41" dxfId="1">
      <formula>ISNUMBER($F53)</formula>
    </cfRule>
    <cfRule type="expression" priority="42" dxfId="1">
      <formula>ISNUMBER($F53)</formula>
    </cfRule>
    <cfRule type="expression" priority="43" dxfId="1">
      <formula>ISNUMBER($F53)</formula>
    </cfRule>
    <cfRule type="expression" priority="44" dxfId="1">
      <formula>ISNUMBER($F53)</formula>
    </cfRule>
    <cfRule type="expression" priority="45" dxfId="1">
      <formula>ISNUMBER($F53)</formula>
    </cfRule>
  </conditionalFormatting>
  <conditionalFormatting sqref="J54">
    <cfRule type="expression" priority="46" dxfId="1">
      <formula>ISNUMBER($F54)</formula>
    </cfRule>
  </conditionalFormatting>
  <conditionalFormatting sqref="J55">
    <cfRule type="expression" priority="47" dxfId="1">
      <formula>ISNUMBER($F55)</formula>
    </cfRule>
  </conditionalFormatting>
  <conditionalFormatting sqref="J56">
    <cfRule type="expression" priority="48" dxfId="1">
      <formula>ISNUMBER($F56)</formula>
    </cfRule>
  </conditionalFormatting>
  <conditionalFormatting sqref="W36:W37">
    <cfRule type="cellIs" priority="49" operator="equal" dxfId="0">
      <formula>0</formula>
    </cfRule>
    <cfRule type="cellIs" priority="50" operator="equal" dxfId="0">
      <formula>"'0'"</formula>
    </cfRule>
  </conditionalFormatting>
  <conditionalFormatting sqref="J38:J47">
    <cfRule type="expression" priority="51" dxfId="1">
      <formula>ISNUMBER($F38)</formula>
    </cfRule>
    <cfRule type="expression" priority="52" dxfId="1">
      <formula>ISNUMBER($F38)</formula>
    </cfRule>
    <cfRule type="expression" priority="53" dxfId="1">
      <formula>ISNUMBER($F38)</formula>
    </cfRule>
    <cfRule type="expression" priority="54" dxfId="1">
      <formula>ISNUMBER($F38)</formula>
    </cfRule>
    <cfRule type="expression" priority="55" dxfId="1">
      <formula>ISNUMBER($F38)</formula>
    </cfRule>
  </conditionalFormatting>
  <conditionalFormatting sqref="J44">
    <cfRule type="expression" priority="56" dxfId="1">
      <formula>ISNUMBER($F44)</formula>
    </cfRule>
    <cfRule type="expression" priority="57" dxfId="1">
      <formula>ISNUMBER($F44)</formula>
    </cfRule>
    <cfRule type="expression" priority="58" dxfId="1">
      <formula>ISNUMBER($F44)</formula>
    </cfRule>
    <cfRule type="expression" priority="59" dxfId="1">
      <formula>ISNUMBER($F44)</formula>
    </cfRule>
    <cfRule type="expression" priority="60" dxfId="1">
      <formula>ISNUMBER($F44)</formula>
    </cfRule>
  </conditionalFormatting>
  <conditionalFormatting sqref="J45">
    <cfRule type="expression" priority="61" dxfId="1">
      <formula>ISNUMBER($F45)</formula>
    </cfRule>
    <cfRule type="expression" priority="62" dxfId="1">
      <formula>ISNUMBER($F45)</formula>
    </cfRule>
    <cfRule type="expression" priority="63" dxfId="1">
      <formula>ISNUMBER($F45)</formula>
    </cfRule>
    <cfRule type="expression" priority="64" dxfId="1">
      <formula>ISNUMBER($F45)</formula>
    </cfRule>
    <cfRule type="expression" priority="65" dxfId="1">
      <formula>ISNUMBER($F45)</formula>
    </cfRule>
  </conditionalFormatting>
  <conditionalFormatting sqref="W9:W10">
    <cfRule type="cellIs" priority="66" operator="equal" dxfId="0">
      <formula>0</formula>
    </cfRule>
    <cfRule type="cellIs" priority="67" operator="equal" dxfId="0">
      <formula>"'0'"</formula>
    </cfRule>
    <cfRule type="cellIs" priority="68" operator="equal" dxfId="0">
      <formula>0</formula>
    </cfRule>
  </conditionalFormatting>
  <conditionalFormatting sqref="W27:W28 W30:W31 W33:W34">
    <cfRule type="cellIs" priority="69" operator="equal" dxfId="0">
      <formula>0</formula>
    </cfRule>
    <cfRule type="cellIs" priority="70" operator="equal" dxfId="0">
      <formula>"'0'"</formula>
    </cfRule>
  </conditionalFormatting>
  <conditionalFormatting sqref="W24:W25">
    <cfRule type="cellIs" priority="71" operator="equal" dxfId="0">
      <formula>0</formula>
    </cfRule>
    <cfRule type="cellIs" priority="72" operator="equal" dxfId="0">
      <formula>"'0'"</formula>
    </cfRule>
  </conditionalFormatting>
  <conditionalFormatting sqref="W21:W22">
    <cfRule type="cellIs" priority="73" operator="equal" dxfId="0">
      <formula>0</formula>
    </cfRule>
    <cfRule type="cellIs" priority="74" operator="equal" dxfId="0">
      <formula>"'0'"</formula>
    </cfRule>
  </conditionalFormatting>
  <conditionalFormatting sqref="J39:J40 J42:J43 J45:J46">
    <cfRule type="expression" priority="75" dxfId="1">
      <formula>ISNUMBER($F39)</formula>
    </cfRule>
    <cfRule type="expression" priority="76" dxfId="1">
      <formula>ISNUMBER($F39)</formula>
    </cfRule>
    <cfRule type="expression" priority="77" dxfId="1">
      <formula>ISNUMBER($F39)</formula>
    </cfRule>
    <cfRule type="expression" priority="78" dxfId="1">
      <formula>ISNUMBER($F39)</formula>
    </cfRule>
    <cfRule type="expression" priority="79" dxfId="1">
      <formula>ISNUMBER($F39)</formula>
    </cfRule>
  </conditionalFormatting>
  <conditionalFormatting sqref="W55:W56">
    <cfRule type="cellIs" priority="85" operator="equal" dxfId="0">
      <formula>0</formula>
    </cfRule>
    <cfRule type="cellIs" priority="86" operator="equal" dxfId="0">
      <formula>"'0'"</formula>
    </cfRule>
    <cfRule type="cellIs" priority="87" operator="equal" dxfId="0">
      <formula>0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8.140000000000001" customWidth="1" style="26" min="2" max="2"/>
    <col width="10.86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CONCATENATE("Chris Nygaard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1B,3B,CI</t>
        </is>
      </c>
      <c r="C3" s="38" t="n"/>
      <c r="D3" s="38" t="n"/>
      <c r="E3" s="38" t="n"/>
      <c r="G3" s="54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1B,3B,CI</t>
        </is>
      </c>
      <c r="C4" s="110" t="n"/>
      <c r="D4" s="38" t="n"/>
      <c r="E4" s="38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</t>
        </is>
      </c>
      <c r="C5" s="38" t="n"/>
      <c r="D5" s="38" t="n"/>
      <c r="E5" s="38" t="n"/>
      <c r="G5" s="54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1B,CI</t>
        </is>
      </c>
      <c r="C6" s="38" t="n"/>
      <c r="D6" s="38" t="n"/>
      <c r="E6" s="38" t="n"/>
      <c r="G6" s="67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Junior Caminero</t>
        </is>
      </c>
      <c r="P6" s="523" t="n"/>
      <c r="Q6" s="186" t="n">
        <v>0</v>
      </c>
      <c r="R6" s="75" t="n"/>
      <c r="S6" s="188" t="n">
        <v>2023</v>
      </c>
      <c r="T6" s="77" t="n"/>
      <c r="U6" s="803" t="n">
        <v>7</v>
      </c>
      <c r="V6" s="79" t="n"/>
      <c r="W6" s="804">
        <f>Y6-$B$1</f>
        <v/>
      </c>
      <c r="X6" s="127" t="n"/>
      <c r="Y6" s="86">
        <f>S6+U6</f>
        <v/>
      </c>
      <c r="Z6" s="71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1B,CI,OF</t>
        </is>
      </c>
      <c r="C7" s="38" t="n"/>
      <c r="D7" s="38" t="n"/>
      <c r="E7" s="38" t="n"/>
      <c r="G7" s="67" t="n"/>
      <c r="H7" s="99" t="n"/>
      <c r="I7" s="100" t="n"/>
      <c r="J7" s="100" t="n"/>
      <c r="K7" s="102" t="n"/>
      <c r="L7" s="29" t="n"/>
      <c r="M7" s="702" t="n"/>
      <c r="N7" s="71" t="n"/>
      <c r="P7" s="523" t="n"/>
      <c r="R7" s="75" t="n"/>
      <c r="T7" s="77" t="n"/>
      <c r="U7" s="771" t="n"/>
      <c r="V7" s="79" t="n"/>
      <c r="W7" s="771" t="n"/>
      <c r="X7" s="127" t="n"/>
      <c r="Z7" s="71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2B,MI</t>
        </is>
      </c>
      <c r="C8" s="38" t="n"/>
      <c r="D8" s="38" t="n"/>
      <c r="E8" s="38" t="n"/>
      <c r="G8" s="67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124" t="n"/>
      <c r="V8" s="616" t="n"/>
      <c r="W8" s="124" t="n"/>
      <c r="X8" s="139" t="n"/>
      <c r="Y8" s="522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2B,MI,OF</t>
        </is>
      </c>
      <c r="C9" s="38" t="n"/>
      <c r="D9" s="38" t="n"/>
      <c r="E9" s="38" t="n"/>
      <c r="G9" s="67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Shohei Ohtani</t>
        </is>
      </c>
      <c r="P9" s="523" t="n"/>
      <c r="Q9" s="186" t="n">
        <v>111</v>
      </c>
      <c r="R9" s="75" t="n"/>
      <c r="S9" s="188" t="n">
        <v>2024</v>
      </c>
      <c r="T9" s="77" t="n"/>
      <c r="U9" s="803" t="n">
        <v>2</v>
      </c>
      <c r="V9" s="79" t="n"/>
      <c r="W9" s="807">
        <f>Y9-$B$1</f>
        <v/>
      </c>
      <c r="X9" s="127" t="n"/>
      <c r="Y9" s="86">
        <f>S9+U9</f>
        <v/>
      </c>
      <c r="Z9" s="71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3B,CI</t>
        </is>
      </c>
      <c r="C10" s="38" t="n"/>
      <c r="D10" s="38" t="n"/>
      <c r="E10" s="38" t="n"/>
      <c r="G10" s="67" t="n"/>
      <c r="H10" s="755" t="n"/>
      <c r="I10" s="759" t="n"/>
      <c r="J10" s="759" t="n"/>
      <c r="K10" s="793" t="n"/>
      <c r="L10" s="29" t="n"/>
      <c r="M10" s="702" t="n"/>
      <c r="N10" s="71" t="n"/>
      <c r="P10" s="523" t="n"/>
      <c r="R10" s="75" t="n"/>
      <c r="T10" s="77" t="n"/>
      <c r="U10" s="771" t="n"/>
      <c r="V10" s="79" t="n"/>
      <c r="W10" s="771" t="n"/>
      <c r="X10" s="127" t="n"/>
      <c r="Z10" s="71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3B,SS,CI,MI</t>
        </is>
      </c>
      <c r="C11" s="38" t="n"/>
      <c r="D11" s="38" t="n"/>
      <c r="E11" s="38" t="n"/>
      <c r="G11" s="67" t="n"/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124" t="n"/>
      <c r="V11" s="616" t="n"/>
      <c r="W11" s="124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3B,SS,CI,MI</t>
        </is>
      </c>
      <c r="C12" s="38" t="n"/>
      <c r="D12" s="38" t="n"/>
      <c r="E12" s="38" t="n"/>
      <c r="G12" s="67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Yainer Diaz</t>
        </is>
      </c>
      <c r="P12" s="616" t="n"/>
      <c r="Q12" s="228" t="n">
        <v>0</v>
      </c>
      <c r="R12" s="146" t="n"/>
      <c r="S12" s="188" t="n">
        <v>2023</v>
      </c>
      <c r="T12" s="79" t="n"/>
      <c r="U12" s="803" t="n">
        <v>3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C</t>
        </is>
      </c>
      <c r="C13" s="38" t="n"/>
      <c r="D13" s="38" t="n"/>
      <c r="E13" s="38" t="n"/>
      <c r="G13" s="67" t="n"/>
      <c r="H13" s="702" t="n"/>
      <c r="K13" s="619" t="n"/>
      <c r="L13" s="29" t="n"/>
      <c r="M13" s="702" t="n"/>
      <c r="N13" s="71" t="n"/>
      <c r="P13" s="616" t="n"/>
      <c r="R13" s="146" t="n"/>
      <c r="T13" s="79" t="n"/>
      <c r="U13" s="771" t="n"/>
      <c r="V13" s="79" t="n"/>
      <c r="W13" s="771" t="n"/>
      <c r="X13" s="8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C</t>
        </is>
      </c>
      <c r="C14" s="38" t="n"/>
      <c r="D14" s="38" t="n"/>
      <c r="E14" s="38" t="n"/>
      <c r="G14" s="67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124" t="n"/>
      <c r="V14" s="616" t="n"/>
      <c r="W14" s="124" t="n"/>
      <c r="X14" s="139" t="n"/>
      <c r="Y14" s="522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G15" s="67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Xavier Edwards</t>
        </is>
      </c>
      <c r="P15" s="523" t="n"/>
      <c r="Q15" s="186" t="n">
        <v>1</v>
      </c>
      <c r="R15" s="75" t="n"/>
      <c r="S15" s="188" t="n">
        <v>2024</v>
      </c>
      <c r="T15" s="77" t="n"/>
      <c r="U15" s="803" t="n">
        <v>2</v>
      </c>
      <c r="V15" s="79" t="n"/>
      <c r="W15" s="807">
        <f>Y15-$B$1</f>
        <v/>
      </c>
      <c r="X15" s="127" t="n"/>
      <c r="Y15" s="86">
        <f>S15+U15</f>
        <v/>
      </c>
      <c r="Z15" s="71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G16" s="67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523" t="n"/>
      <c r="R16" s="75" t="n"/>
      <c r="T16" s="77" t="n"/>
      <c r="U16" s="771" t="n"/>
      <c r="V16" s="79" t="n"/>
      <c r="W16" s="771" t="n"/>
      <c r="X16" s="127" t="n"/>
      <c r="Z16" s="71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G17" s="67" t="n"/>
      <c r="H17" s="702" t="n"/>
      <c r="K17" s="619" t="n"/>
      <c r="L17" s="29" t="n"/>
      <c r="M17" s="119" t="n"/>
      <c r="N17" s="622" t="n"/>
      <c r="O17" s="523" t="n"/>
      <c r="P17" s="523" t="n"/>
      <c r="Q17" s="75" t="n"/>
      <c r="R17" s="75" t="n"/>
      <c r="S17" s="523" t="n"/>
      <c r="T17" s="523" t="n"/>
      <c r="U17" s="121" t="n"/>
      <c r="V17" s="616" t="n"/>
      <c r="W17" s="124" t="n"/>
      <c r="X17" s="139" t="n"/>
      <c r="Y17" s="141" t="n"/>
      <c r="Z17" s="71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38" t="n"/>
      <c r="D18" s="38" t="n"/>
      <c r="E18" s="38" t="n"/>
      <c r="G18" s="67" t="n"/>
      <c r="H18" s="162">
        <f>CONCATENATE($B$1+1," Auction Budget acquired by trade (Offseason Only)")</f>
        <v/>
      </c>
      <c r="K18" s="809">
        <f>'Draft budget calc'!E5</f>
        <v/>
      </c>
      <c r="L18" s="29" t="n"/>
      <c r="M18" s="802" t="inlineStr">
        <is>
          <t>5th player contract --&gt;&gt;</t>
        </is>
      </c>
      <c r="N18" s="622" t="n"/>
      <c r="O18" s="184" t="inlineStr">
        <is>
          <t>Wyatt Langford</t>
        </is>
      </c>
      <c r="P18" s="523" t="n"/>
      <c r="Q18" s="186" t="n">
        <v>2</v>
      </c>
      <c r="R18" s="75" t="n"/>
      <c r="S18" s="188" t="n">
        <v>2024</v>
      </c>
      <c r="T18" s="77" t="n"/>
      <c r="U18" s="803" t="n">
        <v>8</v>
      </c>
      <c r="V18" s="79" t="n"/>
      <c r="W18" s="807">
        <f>Y18-$B$1</f>
        <v/>
      </c>
      <c r="X18" s="8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OF</t>
        </is>
      </c>
      <c r="C19" s="38" t="n"/>
      <c r="D19" s="38" t="n"/>
      <c r="E19" s="38" t="n"/>
      <c r="G19" s="67" t="n"/>
      <c r="H19" s="702" t="n"/>
      <c r="K19" s="619" t="n"/>
      <c r="L19" s="29" t="n"/>
      <c r="M19" s="702" t="n"/>
      <c r="N19" s="622" t="n"/>
      <c r="P19" s="523" t="n"/>
      <c r="R19" s="75" t="n"/>
      <c r="T19" s="77" t="n"/>
      <c r="U19" s="771" t="n"/>
      <c r="V19" s="79" t="n"/>
      <c r="W19" s="771" t="n"/>
      <c r="X19" s="8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OF</t>
        </is>
      </c>
      <c r="C20" s="110" t="n"/>
      <c r="D20" s="38" t="n"/>
      <c r="E20" s="38" t="n"/>
      <c r="G20" s="67" t="n"/>
      <c r="H20" s="702" t="n"/>
      <c r="K20" s="619" t="n"/>
      <c r="L20" s="29" t="n"/>
      <c r="M20" s="119" t="n"/>
      <c r="N20" s="71" t="n"/>
      <c r="O20" s="616" t="n"/>
      <c r="P20" s="616" t="n"/>
      <c r="Q20" s="616" t="n"/>
      <c r="R20" s="616" t="n"/>
      <c r="S20" s="616" t="n"/>
      <c r="T20" s="616" t="n"/>
      <c r="U20" s="124" t="n"/>
      <c r="V20" s="616" t="n"/>
      <c r="W20" s="124" t="n"/>
      <c r="X20" s="622" t="n"/>
      <c r="Y20" s="622" t="n"/>
      <c r="Z20" s="622" t="n"/>
      <c r="AA20" s="52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G21" s="67" t="n"/>
      <c r="H21" s="171" t="inlineStr">
        <is>
          <t>Min. IP Penalties</t>
        </is>
      </c>
      <c r="K21" s="810">
        <f>SUM(D66:E71)</f>
        <v/>
      </c>
      <c r="L21" s="29" t="n"/>
      <c r="M21" s="802" t="inlineStr">
        <is>
          <t>6th player contract --&gt;&gt;</t>
        </is>
      </c>
      <c r="N21" s="71" t="n"/>
      <c r="O21" s="527" t="n"/>
      <c r="P21" s="616" t="n"/>
      <c r="Q21" s="186" t="n"/>
      <c r="R21" s="146" t="n"/>
      <c r="S21" s="188" t="n"/>
      <c r="T21" s="79" t="n"/>
      <c r="U21" s="803" t="n"/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G22" s="67" t="n"/>
      <c r="H22" s="702" t="n"/>
      <c r="K22" s="619" t="n"/>
      <c r="L22" s="29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G23" s="67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616" t="n"/>
      <c r="P23" s="616" t="n"/>
      <c r="Q23" s="146" t="n"/>
      <c r="R23" s="146" t="n"/>
      <c r="S23" s="616" t="n"/>
      <c r="T23" s="616" t="n"/>
      <c r="U23" s="124" t="n"/>
      <c r="V23" s="616" t="n"/>
      <c r="W23" s="124" t="n"/>
      <c r="X23" s="139" t="n"/>
      <c r="Y23" s="141" t="n"/>
      <c r="Z23" s="71" t="n"/>
      <c r="AA23" s="525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G24" s="67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527" t="n"/>
      <c r="P24" s="616" t="n"/>
      <c r="Q24" s="228" t="n"/>
      <c r="R24" s="146" t="n"/>
      <c r="S24" s="188" t="n"/>
      <c r="T24" s="79" t="n"/>
      <c r="U24" s="803" t="n"/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G25" s="67" t="n"/>
      <c r="H25" s="755" t="n"/>
      <c r="I25" s="759" t="n"/>
      <c r="J25" s="759" t="n"/>
      <c r="K25" s="793" t="n"/>
      <c r="L25" s="29" t="n"/>
      <c r="M25" s="702" t="n"/>
      <c r="N25" s="71" t="n"/>
      <c r="P25" s="616" t="n"/>
      <c r="R25" s="146" t="n"/>
      <c r="T25" s="79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G26" s="67" t="n"/>
      <c r="H26" s="622" t="n"/>
      <c r="I26" s="622" t="n"/>
      <c r="J26" s="622" t="n"/>
      <c r="K26" s="622" t="n"/>
      <c r="L26" s="29" t="n"/>
      <c r="M26" s="172" t="n"/>
      <c r="N26" s="622" t="n"/>
      <c r="O26" s="616" t="n"/>
      <c r="P26" s="616" t="n"/>
      <c r="Q26" s="616" t="n"/>
      <c r="R26" s="616" t="n"/>
      <c r="S26" s="616" t="n"/>
      <c r="T26" s="616" t="n"/>
      <c r="U26" s="124" t="n"/>
      <c r="V26" s="616" t="n"/>
      <c r="W26" s="124" t="n"/>
      <c r="X26" s="622" t="n"/>
      <c r="Y26" s="622" t="n"/>
      <c r="Z26" s="622" t="n"/>
      <c r="AA26" s="524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G27" s="67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527" t="n"/>
      <c r="P27" s="523" t="n"/>
      <c r="Q27" s="186" t="n"/>
      <c r="R27" s="75" t="n"/>
      <c r="S27" s="188" t="n"/>
      <c r="T27" s="77" t="n"/>
      <c r="U27" s="803" t="n"/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G28" s="67" t="n"/>
      <c r="H28" s="702" t="n"/>
      <c r="K28" s="619" t="n"/>
      <c r="L28" s="29" t="n"/>
      <c r="M28" s="702" t="n"/>
      <c r="N28" s="622" t="n"/>
      <c r="P28" s="523" t="n"/>
      <c r="R28" s="75" t="n"/>
      <c r="T28" s="77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G29" s="67" t="n"/>
      <c r="H29" s="702" t="n"/>
      <c r="K29" s="619" t="n"/>
      <c r="L29" s="29" t="n"/>
      <c r="M29" s="172" t="n"/>
      <c r="N29" s="622" t="n"/>
      <c r="O29" s="523" t="n"/>
      <c r="P29" s="523" t="n"/>
      <c r="Q29" s="75" t="n"/>
      <c r="R29" s="75" t="n"/>
      <c r="S29" s="523" t="n"/>
      <c r="T29" s="523" t="n"/>
      <c r="U29" s="121" t="n"/>
      <c r="V29" s="616" t="n"/>
      <c r="W29" s="124" t="n"/>
      <c r="X29" s="139" t="n"/>
      <c r="Y29" s="141" t="n"/>
      <c r="Z29" s="71" t="n"/>
      <c r="AA29" s="525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G30" s="67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527" t="n"/>
      <c r="P30" s="523" t="n"/>
      <c r="Q30" s="186" t="n"/>
      <c r="R30" s="75" t="n"/>
      <c r="S30" s="188" t="n"/>
      <c r="T30" s="77" t="n"/>
      <c r="U30" s="803" t="n"/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G31" s="218" t="n"/>
      <c r="H31" s="54" t="inlineStr">
        <is>
          <t>Roster Key</t>
        </is>
      </c>
      <c r="L31" s="29" t="n"/>
      <c r="M31" s="702" t="n"/>
      <c r="N31" s="71" t="n"/>
      <c r="P31" s="523" t="n"/>
      <c r="R31" s="75" t="n"/>
      <c r="T31" s="77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218" t="n"/>
      <c r="L32" s="29" t="n"/>
      <c r="M32" s="172" t="n"/>
      <c r="N32" s="622" t="n"/>
      <c r="O32" s="523" t="n"/>
      <c r="P32" s="523" t="n"/>
      <c r="Q32" s="75" t="n"/>
      <c r="R32" s="75" t="n"/>
      <c r="S32" s="523" t="n"/>
      <c r="T32" s="523" t="n"/>
      <c r="U32" s="121" t="n"/>
      <c r="V32" s="616" t="n"/>
      <c r="W32" s="124" t="n"/>
      <c r="X32" s="622" t="n"/>
      <c r="Y32" s="622" t="n"/>
      <c r="Z32" s="622" t="n"/>
      <c r="AA32" s="52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P</t>
        </is>
      </c>
      <c r="C33" s="110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523" t="n"/>
      <c r="Q33" s="228" t="n"/>
      <c r="R33" s="75" t="n"/>
      <c r="S33" s="188" t="n"/>
      <c r="T33" s="77" t="n"/>
      <c r="U33" s="803" t="n"/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P</t>
        </is>
      </c>
      <c r="C34" s="38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523" t="n"/>
      <c r="R34" s="75" t="n"/>
      <c r="T34" s="77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38" t="inlineStr">
        <is>
          <t>P</t>
        </is>
      </c>
      <c r="C35" s="38" t="n"/>
      <c r="D35" s="38" t="n"/>
      <c r="E35" s="38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526" t="n"/>
      <c r="V35" s="622" t="n"/>
      <c r="W35" s="255" t="n"/>
      <c r="X35" s="622" t="n"/>
      <c r="Y35" s="141" t="n"/>
      <c r="Z35" s="622" t="n"/>
      <c r="AA35" s="143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1.25" customHeight="1" s="26">
      <c r="A36" s="622" t="n"/>
      <c r="B36" s="199" t="inlineStr">
        <is>
          <t>DL 4</t>
        </is>
      </c>
      <c r="C36" s="443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527" t="n"/>
      <c r="P36" s="616" t="n"/>
      <c r="Q36" s="186" t="n"/>
      <c r="R36" s="146" t="n"/>
      <c r="S36" s="188" t="n"/>
      <c r="T36" s="79" t="n"/>
      <c r="U36" s="857" t="n"/>
      <c r="V36" s="127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</row>
    <row r="37" ht="11.25" customHeight="1" s="26">
      <c r="A37" s="622" t="n"/>
      <c r="B37" s="199" t="inlineStr">
        <is>
          <t>DL 5</t>
        </is>
      </c>
      <c r="C37" s="559" t="n"/>
      <c r="D37" s="759" t="n"/>
      <c r="E37" s="759" t="n"/>
      <c r="F37" s="379" t="n"/>
      <c r="G37" s="873" t="inlineStr">
        <is>
          <t>Drafted</t>
        </is>
      </c>
      <c r="H37" s="759" t="n"/>
      <c r="I37" s="383" t="inlineStr">
        <is>
          <t>MLB</t>
        </is>
      </c>
      <c r="J37" s="759" t="n"/>
      <c r="K37" s="220" t="n"/>
      <c r="L37" s="29" t="n"/>
      <c r="M37" s="702" t="n"/>
      <c r="N37" s="71" t="n"/>
      <c r="P37" s="616" t="n"/>
      <c r="R37" s="146" t="n"/>
      <c r="T37" s="79" t="n"/>
      <c r="U37" s="771" t="n"/>
      <c r="V37" s="127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</row>
    <row r="38" ht="11.25" customHeight="1" s="26">
      <c r="A38" s="622" t="n"/>
      <c r="B38" s="222" t="inlineStr">
        <is>
          <t>Farm 1</t>
        </is>
      </c>
      <c r="C38" s="528" t="inlineStr">
        <is>
          <t>Nick Gonzales</t>
        </is>
      </c>
      <c r="F38" s="692" t="n">
        <v>9</v>
      </c>
      <c r="G38" s="332" t="n">
        <v>2021</v>
      </c>
      <c r="I38" s="288" t="inlineStr">
        <is>
          <t>Yes</t>
        </is>
      </c>
      <c r="J38" s="529" t="n"/>
      <c r="K38" s="172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07" t="n"/>
      <c r="V38" s="622" t="n"/>
      <c r="W38" s="251" t="n"/>
      <c r="X38" s="622" t="n"/>
      <c r="Y38" s="622" t="n"/>
      <c r="Z38" s="622" t="n"/>
      <c r="AA38" s="524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</row>
    <row r="39" ht="11.25" customHeight="1" s="26">
      <c r="A39" s="622" t="n"/>
      <c r="B39" s="231" t="inlineStr">
        <is>
          <t>Farm 2</t>
        </is>
      </c>
      <c r="C39" s="530" t="inlineStr">
        <is>
          <t>Termarr Johnson</t>
        </is>
      </c>
      <c r="F39" s="426" t="n">
        <v>5</v>
      </c>
      <c r="G39" s="531" t="n">
        <v>2022</v>
      </c>
      <c r="I39" s="532" t="inlineStr">
        <is>
          <t>No</t>
        </is>
      </c>
      <c r="J39" s="533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862" t="inlineStr">
        <is>
          <t>Brady House</t>
        </is>
      </c>
      <c r="E40" s="619" t="n"/>
      <c r="F40" s="388" t="n">
        <v>6</v>
      </c>
      <c r="G40" s="417" t="n">
        <v>2022</v>
      </c>
      <c r="I40" s="419" t="inlineStr">
        <is>
          <t>Yes</t>
        </is>
      </c>
      <c r="J40" s="533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139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231" t="inlineStr">
        <is>
          <t>Farm 4</t>
        </is>
      </c>
      <c r="C41" s="862" t="inlineStr">
        <is>
          <t>Jordan Lawlar</t>
        </is>
      </c>
      <c r="E41" s="619" t="n"/>
      <c r="F41" s="388" t="n">
        <v>8</v>
      </c>
      <c r="G41" s="332" t="n">
        <v>2022</v>
      </c>
      <c r="I41" s="288" t="inlineStr">
        <is>
          <t>Yes</t>
        </is>
      </c>
      <c r="J41" s="533" t="n"/>
      <c r="K41" s="172" t="n"/>
      <c r="L41" s="29" t="n"/>
      <c r="M41" s="172" t="n"/>
      <c r="N41" s="622" t="n"/>
      <c r="O41" s="685" t="n"/>
      <c r="P41" s="139" t="n"/>
      <c r="Q41" s="247" t="n"/>
      <c r="R41" s="67" t="n"/>
      <c r="S41" s="248" t="n"/>
      <c r="T41" s="215" t="n"/>
      <c r="U41" s="250" t="n"/>
      <c r="V41" s="139" t="n"/>
      <c r="W41" s="251" t="n"/>
      <c r="X41" s="139" t="n"/>
      <c r="Y41" s="141" t="n"/>
      <c r="Z41" s="71" t="n"/>
      <c r="AA41" s="525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231" t="inlineStr">
        <is>
          <t>Farm 5</t>
        </is>
      </c>
      <c r="C42" s="530" t="n"/>
      <c r="F42" s="244" t="n"/>
      <c r="G42" s="405" t="n"/>
      <c r="I42" s="534" t="n"/>
      <c r="J42" s="535" t="n"/>
      <c r="K42" s="172" t="n"/>
      <c r="L42" s="29" t="n"/>
      <c r="M42" s="824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443" t="n"/>
      <c r="F43" s="309" t="n"/>
      <c r="G43" s="405" t="n"/>
      <c r="I43" s="445" t="n"/>
      <c r="J43" s="533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443" t="n"/>
      <c r="F44" s="309" t="n"/>
      <c r="G44" s="405" t="n"/>
      <c r="I44" s="445" t="n"/>
      <c r="J44" s="533" t="n"/>
      <c r="K44" s="17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52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</row>
    <row r="45" ht="11.25" customHeight="1" s="26">
      <c r="A45" s="622" t="n"/>
      <c r="B45" s="231" t="inlineStr">
        <is>
          <t>Farm 8</t>
        </is>
      </c>
      <c r="C45" s="443" t="n"/>
      <c r="F45" s="309" t="n"/>
      <c r="G45" s="405" t="n"/>
      <c r="I45" s="445" t="n"/>
      <c r="J45" s="536" t="n"/>
      <c r="K45" s="172" t="n"/>
      <c r="L45" s="29" t="n"/>
      <c r="M45" s="824" t="inlineStr">
        <is>
          <t>14th player contract --&gt;&gt;</t>
        </is>
      </c>
      <c r="N45" s="71" t="n"/>
      <c r="O45" s="695" t="n"/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443" t="n"/>
      <c r="F46" s="309" t="n"/>
      <c r="G46" s="405" t="n"/>
      <c r="I46" s="445" t="n"/>
      <c r="J46" s="536" t="n"/>
      <c r="K46" s="17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443" t="n"/>
      <c r="F47" s="309" t="n"/>
      <c r="G47" s="405" t="n"/>
      <c r="I47" s="445" t="n"/>
      <c r="J47" s="536" t="n"/>
      <c r="K47" s="17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459" t="n"/>
      <c r="F48" s="367" t="n"/>
      <c r="G48" s="405" t="n"/>
      <c r="I48" s="445" t="n"/>
      <c r="J48" s="536" t="n"/>
      <c r="K48" s="172" t="n"/>
      <c r="L48" s="29" t="n"/>
      <c r="M48" s="824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</row>
    <row r="49" ht="11.25" customHeight="1" s="26">
      <c r="A49" s="622" t="n"/>
      <c r="B49" s="231" t="inlineStr">
        <is>
          <t>Farm 12</t>
        </is>
      </c>
      <c r="C49" s="443" t="n"/>
      <c r="F49" s="367" t="n"/>
      <c r="G49" s="405" t="n"/>
      <c r="I49" s="445" t="n"/>
      <c r="J49" s="536" t="n"/>
      <c r="K49" s="407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</row>
    <row r="50" ht="11.25" customHeight="1" s="26">
      <c r="A50" s="622" t="n"/>
      <c r="B50" s="231" t="inlineStr">
        <is>
          <t>Farm 13</t>
        </is>
      </c>
      <c r="C50" s="443" t="n"/>
      <c r="F50" s="367" t="n"/>
      <c r="G50" s="405" t="n"/>
      <c r="I50" s="445" t="n"/>
      <c r="J50" s="537" t="n"/>
      <c r="K50" s="407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</row>
    <row r="51" ht="11.25" customHeight="1" s="26">
      <c r="A51" s="622" t="n"/>
      <c r="B51" s="231" t="inlineStr">
        <is>
          <t>Farm 14</t>
        </is>
      </c>
      <c r="C51" s="459" t="n"/>
      <c r="F51" s="367" t="n"/>
      <c r="G51" s="405" t="n"/>
      <c r="I51" s="445" t="n"/>
      <c r="J51" s="537" t="n"/>
      <c r="K51" s="407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443" t="n"/>
      <c r="F52" s="367" t="n"/>
      <c r="G52" s="405" t="n"/>
      <c r="I52" s="445" t="n"/>
      <c r="J52" s="446" t="n"/>
      <c r="K52" s="17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53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54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8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05" t="n"/>
      <c r="I55" s="445" t="n"/>
      <c r="J55" s="446" t="n"/>
      <c r="K55" s="293" t="n"/>
      <c r="L55" s="29" t="n"/>
      <c r="M55" s="830" t="inlineStr">
        <is>
          <t>1st dropped contract</t>
        </is>
      </c>
      <c r="N55" s="321" t="n"/>
      <c r="O55" s="695" t="inlineStr">
        <is>
          <t>Vaughn Grissom</t>
        </is>
      </c>
      <c r="P55" s="139" t="n"/>
      <c r="Q55" s="471" t="n">
        <v>0</v>
      </c>
      <c r="R55" s="67" t="n"/>
      <c r="S55" s="458" t="n">
        <v>2023</v>
      </c>
      <c r="T55" s="215" t="n"/>
      <c r="U55" s="820" t="n">
        <v>3</v>
      </c>
      <c r="V55" s="139" t="n"/>
      <c r="W55" s="821">
        <f>Y55-$B$1</f>
        <v/>
      </c>
      <c r="X55" s="139" t="n"/>
      <c r="Y55" s="86">
        <f>S55+U55</f>
        <v/>
      </c>
      <c r="Z55" s="71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139" t="n"/>
      <c r="R56" s="67" t="n"/>
      <c r="T56" s="215" t="n"/>
      <c r="U56" s="823" t="n"/>
      <c r="V56" s="139" t="n"/>
      <c r="W56" s="823" t="n"/>
      <c r="X56" s="139" t="n"/>
      <c r="Z56" s="71" t="n"/>
      <c r="AA56" s="619" t="n"/>
      <c r="AB56" s="62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876" t="n"/>
      <c r="P62" s="323" t="n"/>
      <c r="Q62" s="832" t="n"/>
      <c r="R62" s="325" t="n"/>
      <c r="S62" s="833" t="n"/>
      <c r="T62" s="327" t="n"/>
      <c r="U62" s="834" t="n"/>
      <c r="V62" s="323" t="n"/>
      <c r="W62" s="835">
        <f>Y62-$B$1</f>
        <v/>
      </c>
      <c r="X62" s="323" t="n"/>
      <c r="Y62" s="836">
        <f>S62+U62</f>
        <v/>
      </c>
      <c r="Z62" s="335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O63" s="779" t="n"/>
      <c r="P63" s="339" t="n"/>
      <c r="Q63" s="779" t="n"/>
      <c r="R63" s="340" t="n"/>
      <c r="S63" s="779" t="n"/>
      <c r="T63" s="341" t="n"/>
      <c r="U63" s="779" t="n"/>
      <c r="V63" s="339" t="n"/>
      <c r="W63" s="779" t="n"/>
      <c r="X63" s="339" t="n"/>
      <c r="Y63" s="779" t="n"/>
      <c r="Z63" s="342" t="n"/>
      <c r="AA63" s="619" t="n"/>
      <c r="AB63" s="622" t="n"/>
      <c r="AC63" s="49" t="n"/>
      <c r="AD63" s="48" t="n"/>
      <c r="AE63" s="604" t="n"/>
      <c r="AF63" s="50" t="n"/>
      <c r="AG63" s="49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/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H66" s="48" t="n"/>
      <c r="AI66" s="604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31" t="n"/>
      <c r="P69" s="323" t="n"/>
      <c r="Q69" s="832" t="n"/>
      <c r="R69" s="325" t="n"/>
      <c r="S69" s="833" t="n"/>
      <c r="T69" s="327" t="n"/>
      <c r="U69" s="834" t="n"/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F69" s="30" t="n"/>
      <c r="AJ69" s="30" t="n"/>
      <c r="AL69" s="48" t="n"/>
      <c r="AM69" s="604" t="n"/>
      <c r="AN69" s="50" t="n"/>
      <c r="AO69" s="49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R71" s="30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481" t="n"/>
      <c r="AN72" s="30" t="n"/>
      <c r="AR72" s="30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R73" s="30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50" t="n"/>
      <c r="AO74" s="49" t="n"/>
      <c r="AP74" s="48" t="n"/>
      <c r="AQ74" s="604" t="n"/>
      <c r="AR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604" t="n"/>
      <c r="AN75" s="50" t="n"/>
      <c r="AO75" s="49" t="n"/>
      <c r="AP75" s="48" t="n"/>
      <c r="AQ75" s="604" t="n"/>
      <c r="AR75" s="50" t="n"/>
      <c r="AS75" s="49" t="n"/>
      <c r="AT75" s="48" t="n"/>
      <c r="AU75" s="604" t="n"/>
    </row>
    <row r="76" ht="11.25" customHeight="1" s="26">
      <c r="B76" t="inlineStr">
        <is>
          <t>2021 Farm Picks: none</t>
        </is>
      </c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622" t="n"/>
      <c r="AF76" s="30" t="n"/>
      <c r="AJ76" s="30" t="n"/>
      <c r="AL76" s="48" t="n"/>
      <c r="AM76" s="604" t="n"/>
      <c r="AN76" s="50" t="n"/>
      <c r="AO76" s="49" t="n"/>
      <c r="AP76" s="48" t="n"/>
      <c r="AQ76" s="604" t="n"/>
      <c r="AR76" s="50" t="n"/>
      <c r="AS76" s="49" t="n"/>
      <c r="AT76" s="48" t="n"/>
      <c r="AU76" s="604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A77" s="619" t="n"/>
      <c r="AB77" s="62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R92" s="30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481" t="n"/>
      <c r="AN93" s="30" t="n"/>
      <c r="AR93" s="30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604" t="n"/>
      <c r="AN96" s="30" t="n"/>
      <c r="AR96" s="30" t="n"/>
    </row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2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U69:U70"/>
    <mergeCell ref="M9:M1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W66:Y66"/>
    <mergeCell ref="Q42:Q43"/>
    <mergeCell ref="S42:S43"/>
    <mergeCell ref="C36:E36"/>
    <mergeCell ref="M15:M16"/>
    <mergeCell ref="Y39:Y40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K12:K13"/>
    <mergeCell ref="Q69:Q70"/>
    <mergeCell ref="S69:S70"/>
    <mergeCell ref="G53:H53"/>
    <mergeCell ref="S9:S10"/>
    <mergeCell ref="Y6:Y7"/>
    <mergeCell ref="K14:K15"/>
    <mergeCell ref="Q66:S66"/>
    <mergeCell ref="AA64:AA65"/>
    <mergeCell ref="M42:M43"/>
    <mergeCell ref="O42:O43"/>
    <mergeCell ref="U39:U40"/>
    <mergeCell ref="W39:W40"/>
    <mergeCell ref="O6:O7"/>
    <mergeCell ref="Q62:Q63"/>
    <mergeCell ref="W24:W25"/>
    <mergeCell ref="V78:Z79"/>
    <mergeCell ref="Y24:Y25"/>
    <mergeCell ref="S62:S63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M69:M70"/>
    <mergeCell ref="Q33:Q34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W42:W43 W45:W46 W48:W49">
    <cfRule type="cellIs" priority="1" operator="equal" dxfId="0">
      <formula>0</formula>
    </cfRule>
  </conditionalFormatting>
  <conditionalFormatting sqref="J57">
    <cfRule type="expression" priority="2" dxfId="1">
      <formula>ISNUMBER($F57)</formula>
    </cfRule>
  </conditionalFormatting>
  <conditionalFormatting sqref="W39:W40">
    <cfRule type="cellIs" priority="3" operator="equal" dxfId="0">
      <formula>0</formula>
    </cfRule>
  </conditionalFormatting>
  <conditionalFormatting sqref="J55">
    <cfRule type="expression" priority="4" dxfId="1">
      <formula>ISNUMBER($F55)</formula>
    </cfRule>
    <cfRule type="expression" priority="5" dxfId="1">
      <formula>ISNUMBER($F55)</formula>
    </cfRule>
    <cfRule type="expression" priority="6" dxfId="1">
      <formula>ISNUMBER($F55)</formula>
    </cfRule>
    <cfRule type="expression" priority="7" dxfId="1">
      <formula>ISNUMBER($F55)</formula>
    </cfRule>
    <cfRule type="expression" priority="8" dxfId="1">
      <formula>ISNUMBER($F55)</formula>
    </cfRule>
  </conditionalFormatting>
  <conditionalFormatting sqref="J56">
    <cfRule type="expression" priority="9" dxfId="1">
      <formula>ISNUMBER($F56)</formula>
    </cfRule>
    <cfRule type="expression" priority="10" dxfId="1">
      <formula>ISNUMBER($F56)</formula>
    </cfRule>
    <cfRule type="expression" priority="11" dxfId="1">
      <formula>ISNUMBER($F56)</formula>
    </cfRule>
    <cfRule type="expression" priority="12" dxfId="1">
      <formula>ISNUMBER($F56)</formula>
    </cfRule>
    <cfRule type="expression" priority="13" dxfId="1">
      <formula>ISNUMBER($F56)</formula>
    </cfRule>
  </conditionalFormatting>
  <conditionalFormatting sqref="J53">
    <cfRule type="expression" priority="14" dxfId="1">
      <formula>ISNUMBER($F53)</formula>
    </cfRule>
    <cfRule type="expression" priority="15" dxfId="1">
      <formula>ISNUMBER($F53)</formula>
    </cfRule>
    <cfRule type="expression" priority="16" dxfId="1">
      <formula>ISNUMBER($F53)</formula>
    </cfRule>
    <cfRule type="expression" priority="17" dxfId="1">
      <formula>ISNUMBER($F53)</formula>
    </cfRule>
    <cfRule type="expression" priority="18" dxfId="1">
      <formula>ISNUMBER($F53)</formula>
    </cfRule>
  </conditionalFormatting>
  <conditionalFormatting sqref="J38:J49">
    <cfRule type="expression" priority="19" dxfId="1">
      <formula>ISNUMBER($F38)</formula>
    </cfRule>
    <cfRule type="expression" priority="20" dxfId="1">
      <formula>ISNUMBER($F38)</formula>
    </cfRule>
    <cfRule type="expression" priority="21" dxfId="1">
      <formula>ISNUMBER($F38)</formula>
    </cfRule>
    <cfRule type="expression" priority="22" dxfId="1">
      <formula>ISNUMBER($F38)</formula>
    </cfRule>
    <cfRule type="expression" priority="23" dxfId="1">
      <formula>ISNUMBER($F38)</formula>
    </cfRule>
  </conditionalFormatting>
  <conditionalFormatting sqref="J52">
    <cfRule type="expression" priority="24" dxfId="1">
      <formula>ISNUMBER($F52)</formula>
    </cfRule>
  </conditionalFormatting>
  <conditionalFormatting sqref="W9 W15:W16">
    <cfRule type="cellIs" priority="25" operator="equal" dxfId="0">
      <formula>0</formula>
    </cfRule>
  </conditionalFormatting>
  <conditionalFormatting sqref="W9:W10">
    <cfRule type="cellIs" priority="26" operator="equal" dxfId="0">
      <formula>0</formula>
    </cfRule>
  </conditionalFormatting>
  <conditionalFormatting sqref="W12:W13">
    <cfRule type="cellIs" priority="27" operator="equal" dxfId="0">
      <formula>0</formula>
    </cfRule>
  </conditionalFormatting>
  <conditionalFormatting sqref="W18:W19">
    <cfRule type="cellIs" priority="28" operator="equal" dxfId="0">
      <formula>"'0'"</formula>
    </cfRule>
    <cfRule type="cellIs" priority="29" operator="equal" dxfId="0">
      <formula>0</formula>
    </cfRule>
    <cfRule type="cellIs" priority="30" operator="equal" dxfId="0">
      <formula>"'0'"</formula>
    </cfRule>
    <cfRule type="cellIs" priority="31" operator="equal" dxfId="0">
      <formula>0</formula>
    </cfRule>
  </conditionalFormatting>
  <conditionalFormatting sqref="W24:W25">
    <cfRule type="cellIs" priority="32" operator="equal" dxfId="0">
      <formula>0</formula>
    </cfRule>
  </conditionalFormatting>
  <conditionalFormatting sqref="W6:W7">
    <cfRule type="cellIs" priority="33" operator="equal" dxfId="0">
      <formula>0</formula>
    </cfRule>
  </conditionalFormatting>
  <conditionalFormatting sqref="J41">
    <cfRule type="expression" priority="34" dxfId="1">
      <formula>ISNUMBER($F41)</formula>
    </cfRule>
  </conditionalFormatting>
  <conditionalFormatting sqref="W21:W22">
    <cfRule type="cellIs" priority="35" operator="equal" dxfId="0">
      <formula>0</formula>
    </cfRule>
  </conditionalFormatting>
  <conditionalFormatting sqref="W30:W31 W33:W34 W36:W37">
    <cfRule type="cellIs" priority="36" operator="equal" dxfId="0">
      <formula>0</formula>
    </cfRule>
  </conditionalFormatting>
  <conditionalFormatting sqref="W27:W28">
    <cfRule type="cellIs" priority="37" operator="equal" dxfId="0">
      <formula>0</formula>
    </cfRule>
  </conditionalFormatting>
  <conditionalFormatting sqref="J39:J41 J43:J44">
    <cfRule type="expression" priority="38" dxfId="1">
      <formula>ISNUMBER($F39)</formula>
    </cfRule>
  </conditionalFormatting>
  <conditionalFormatting sqref="J42">
    <cfRule type="expression" priority="39" dxfId="1">
      <formula>ISNUMBER($F42)</formula>
    </cfRule>
  </conditionalFormatting>
  <conditionalFormatting sqref="J38:J44">
    <cfRule type="expression" priority="40" dxfId="1">
      <formula>ISNUMBER($F38)</formula>
    </cfRule>
  </conditionalFormatting>
  <conditionalFormatting sqref="W55:W56">
    <cfRule type="cellIs" priority="41" operator="equal" dxfId="0">
      <formula>0</formula>
    </cfRule>
  </conditionalFormatting>
  <conditionalFormatting sqref="J44">
    <cfRule type="expression" priority="42" dxfId="1">
      <formula>ISNUMBER($F44)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11.14" customWidth="1" style="26" min="2" max="2"/>
    <col width="11.29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9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CONCATENATE("Chris Santamassino - Year",$B$1-2006," CONTRACT SHEET")</f>
        <v/>
      </c>
      <c r="AB1" s="29" t="n"/>
      <c r="AC1" t="inlineStr">
        <is>
          <t>Shag Dogs</t>
        </is>
      </c>
      <c r="AF1" s="30" t="n"/>
      <c r="AJ1" s="30" t="n"/>
      <c r="AN1" s="30" t="n"/>
      <c r="AR1" s="30" t="n"/>
      <c r="AV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  <c r="AV2" s="30" t="n"/>
    </row>
    <row r="3" ht="10.5" customHeight="1" s="26">
      <c r="A3" s="622" t="n"/>
      <c r="B3" s="38" t="inlineStr">
        <is>
          <t>1B,2B,3B,CI,MI,OF</t>
        </is>
      </c>
      <c r="C3" s="38" t="n"/>
      <c r="D3" s="38" t="n"/>
      <c r="E3" s="38" t="n"/>
      <c r="G3" s="54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  <c r="AV3" s="50" t="n"/>
      <c r="AW3" s="49" t="n"/>
    </row>
    <row r="4" ht="10.5" customHeight="1" s="26">
      <c r="A4" s="622" t="n"/>
      <c r="B4" s="38" t="inlineStr">
        <is>
          <t>1B,CI</t>
        </is>
      </c>
      <c r="C4" s="38" t="n"/>
      <c r="D4" s="38" t="n"/>
      <c r="E4" s="38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  <c r="AV4" s="50" t="n"/>
      <c r="AW4" s="49" t="n"/>
    </row>
    <row r="5" ht="10.5" customHeight="1" s="26">
      <c r="A5" s="622" t="n"/>
      <c r="B5" s="38" t="inlineStr">
        <is>
          <t>1B,CI,OF</t>
        </is>
      </c>
      <c r="C5" s="38" t="n"/>
      <c r="D5" s="38" t="n"/>
      <c r="E5" s="38" t="n"/>
      <c r="G5" s="54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1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  <c r="AV5" s="50" t="n"/>
      <c r="AW5" s="49" t="n"/>
    </row>
    <row r="6" ht="10.5" customHeight="1" s="26">
      <c r="A6" s="622" t="n"/>
      <c r="B6" s="38" t="inlineStr">
        <is>
          <t>1B,CI,OF</t>
        </is>
      </c>
      <c r="C6" s="38" t="n"/>
      <c r="D6" s="38" t="n"/>
      <c r="E6" s="38" t="n"/>
      <c r="G6" s="67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Jazz Chisholm Jr.</t>
        </is>
      </c>
      <c r="P6" s="616" t="n"/>
      <c r="Q6" s="186" t="n">
        <v>8</v>
      </c>
      <c r="R6" s="146" t="n"/>
      <c r="S6" s="188" t="n">
        <v>2023</v>
      </c>
      <c r="T6" s="79" t="n"/>
      <c r="U6" s="803" t="n">
        <v>4</v>
      </c>
      <c r="V6" s="82" t="n"/>
      <c r="W6" s="821">
        <f>Y6-$B$1</f>
        <v/>
      </c>
      <c r="X6" s="62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  <c r="AV6" s="50" t="n"/>
      <c r="AW6" s="49" t="n"/>
    </row>
    <row r="7" ht="10.5" customHeight="1" s="26">
      <c r="A7" s="622" t="n"/>
      <c r="B7" s="38" t="inlineStr">
        <is>
          <t>2B,3B,CI,MI</t>
        </is>
      </c>
      <c r="C7" s="38" t="n"/>
      <c r="D7" s="38" t="n"/>
      <c r="E7" s="38" t="n"/>
      <c r="G7" s="67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82" t="n"/>
      <c r="W7" s="823" t="n"/>
      <c r="X7" s="62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  <c r="AV7" s="50" t="n"/>
      <c r="AW7" s="49" t="n"/>
    </row>
    <row r="8" ht="10.5" customHeight="1" s="26">
      <c r="A8" s="622" t="n"/>
      <c r="B8" s="38" t="inlineStr">
        <is>
          <t>2B,3B,SS,CI,MI</t>
        </is>
      </c>
      <c r="C8" s="38" t="n"/>
      <c r="D8" s="38" t="n"/>
      <c r="E8" s="38" t="n"/>
      <c r="G8" s="67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538" t="n"/>
      <c r="V8" s="139" t="n"/>
      <c r="W8" s="251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  <c r="AV8" s="50" t="n"/>
      <c r="AW8" s="49" t="n"/>
    </row>
    <row r="9" ht="10.5" customHeight="1" s="26">
      <c r="A9" s="622" t="n"/>
      <c r="B9" s="38" t="inlineStr">
        <is>
          <t>2B,MI</t>
        </is>
      </c>
      <c r="C9" s="38" t="n"/>
      <c r="D9" s="38" t="n"/>
      <c r="E9" s="38" t="n"/>
      <c r="G9" s="67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Joe Ryan</t>
        </is>
      </c>
      <c r="P9" s="616" t="n"/>
      <c r="Q9" s="186" t="n">
        <v>1</v>
      </c>
      <c r="R9" s="146" t="n"/>
      <c r="S9" s="188" t="n">
        <v>2023</v>
      </c>
      <c r="T9" s="79" t="n"/>
      <c r="U9" s="803" t="n">
        <v>3</v>
      </c>
      <c r="V9" s="82" t="n"/>
      <c r="W9" s="821">
        <f>Y9-$B$1</f>
        <v/>
      </c>
      <c r="X9" s="62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  <c r="AV9" s="50" t="n"/>
      <c r="AW9" s="49" t="n"/>
    </row>
    <row r="10" ht="10.5" customHeight="1" s="26">
      <c r="A10" s="622" t="n"/>
      <c r="B10" s="38" t="inlineStr">
        <is>
          <t>C</t>
        </is>
      </c>
      <c r="C10" s="38" t="n"/>
      <c r="D10" s="38" t="n"/>
      <c r="E10" s="38" t="n"/>
      <c r="G10" s="67" t="n"/>
      <c r="H10" s="755" t="n"/>
      <c r="I10" s="759" t="n"/>
      <c r="J10" s="759" t="n"/>
      <c r="K10" s="793" t="n"/>
      <c r="L10" s="29" t="n"/>
      <c r="M10" s="702" t="n"/>
      <c r="N10" s="71" t="n"/>
      <c r="P10" s="616" t="n"/>
      <c r="R10" s="146" t="n"/>
      <c r="T10" s="79" t="n"/>
      <c r="U10" s="771" t="n"/>
      <c r="V10" s="82" t="n"/>
      <c r="W10" s="823" t="n"/>
      <c r="X10" s="62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  <c r="AV10" s="50" t="n"/>
      <c r="AW10" s="49" t="n"/>
    </row>
    <row r="11" ht="10.5" customHeight="1" s="26">
      <c r="A11" s="622" t="n"/>
      <c r="B11" s="38" t="inlineStr">
        <is>
          <t>C,1B,CI</t>
        </is>
      </c>
      <c r="C11" s="38" t="n"/>
      <c r="D11" s="38" t="n"/>
      <c r="E11" s="38" t="n"/>
      <c r="G11" s="67" t="n"/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538" t="n"/>
      <c r="V11" s="139" t="n"/>
      <c r="W11" s="251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  <c r="AV11" s="50" t="n"/>
      <c r="AW11" s="49" t="n"/>
    </row>
    <row r="12" ht="10.5" customHeight="1" s="26">
      <c r="A12" s="622" t="n"/>
      <c r="B12" s="38" t="inlineStr">
        <is>
          <t>OF</t>
        </is>
      </c>
      <c r="C12" s="38" t="n"/>
      <c r="D12" s="38" t="n"/>
      <c r="E12" s="38" t="n"/>
      <c r="G12" s="67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Brenton Doyle</t>
        </is>
      </c>
      <c r="P12" s="523" t="n"/>
      <c r="Q12" s="186" t="n">
        <v>1</v>
      </c>
      <c r="R12" s="75" t="n"/>
      <c r="S12" s="188" t="n">
        <v>2024</v>
      </c>
      <c r="T12" s="77" t="n"/>
      <c r="U12" s="803" t="n">
        <v>3</v>
      </c>
      <c r="V12" s="82" t="n"/>
      <c r="W12" s="821">
        <f>Y12-$B$1</f>
        <v/>
      </c>
      <c r="X12" s="62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  <c r="AV12" s="50" t="n"/>
      <c r="AW12" s="49" t="n"/>
    </row>
    <row r="13" ht="10.5" customHeight="1" s="26">
      <c r="A13" s="622" t="n"/>
      <c r="B13" s="38" t="inlineStr">
        <is>
          <t>OF</t>
        </is>
      </c>
      <c r="C13" s="38" t="n"/>
      <c r="D13" s="38" t="n"/>
      <c r="E13" s="38" t="n"/>
      <c r="G13" s="67" t="n"/>
      <c r="H13" s="702" t="n"/>
      <c r="K13" s="619" t="n"/>
      <c r="L13" s="29" t="n"/>
      <c r="M13" s="702" t="n"/>
      <c r="N13" s="71" t="n"/>
      <c r="P13" s="523" t="n"/>
      <c r="R13" s="75" t="n"/>
      <c r="T13" s="77" t="n"/>
      <c r="U13" s="771" t="n"/>
      <c r="V13" s="82" t="n"/>
      <c r="W13" s="823" t="n"/>
      <c r="X13" s="62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  <c r="AV13" s="50" t="n"/>
      <c r="AW13" s="49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G14" s="67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523" t="n"/>
      <c r="P14" s="523" t="n"/>
      <c r="Q14" s="75" t="n"/>
      <c r="R14" s="75" t="n"/>
      <c r="S14" s="523" t="n"/>
      <c r="T14" s="523" t="n"/>
      <c r="U14" s="121" t="n"/>
      <c r="V14" s="139" t="n"/>
      <c r="W14" s="251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  <c r="AV14" s="50" t="n"/>
      <c r="AW14" s="49" t="n"/>
    </row>
    <row r="15" ht="10.5" customHeight="1" s="26">
      <c r="A15" s="622" t="n"/>
      <c r="B15" s="38" t="inlineStr">
        <is>
          <t>OF</t>
        </is>
      </c>
      <c r="C15" s="110" t="n"/>
      <c r="D15" s="38" t="n"/>
      <c r="E15" s="38" t="n"/>
      <c r="G15" s="67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Garrett Crochet</t>
        </is>
      </c>
      <c r="P15" s="523" t="n"/>
      <c r="Q15" s="186" t="n">
        <v>0</v>
      </c>
      <c r="R15" s="75" t="n"/>
      <c r="S15" s="188" t="n">
        <v>2024</v>
      </c>
      <c r="T15" s="77" t="n"/>
      <c r="U15" s="803" t="n">
        <v>4</v>
      </c>
      <c r="V15" s="127" t="n"/>
      <c r="W15" s="821">
        <f>Y15-$B$1</f>
        <v/>
      </c>
      <c r="X15" s="622" t="n"/>
      <c r="Y15" s="86">
        <f>S15+U15</f>
        <v/>
      </c>
      <c r="Z15" s="622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  <c r="AV15" s="50" t="n"/>
      <c r="AW15" s="49" t="n"/>
    </row>
    <row r="16" ht="10.5" customHeight="1" s="26">
      <c r="A16" s="622" t="n"/>
      <c r="B16" s="38" t="inlineStr">
        <is>
          <t>P</t>
        </is>
      </c>
      <c r="C16" s="38" t="n"/>
      <c r="D16" s="38" t="n"/>
      <c r="E16" s="38" t="n"/>
      <c r="G16" s="67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523" t="n"/>
      <c r="R16" s="75" t="n"/>
      <c r="T16" s="77" t="n"/>
      <c r="U16" s="771" t="n"/>
      <c r="V16" s="127" t="n"/>
      <c r="W16" s="823" t="n"/>
      <c r="X16" s="622" t="n"/>
      <c r="Z16" s="622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  <c r="AV16" s="50" t="n"/>
      <c r="AW16" s="49" t="n"/>
    </row>
    <row r="17" ht="10.5" customHeight="1" s="26">
      <c r="A17" s="622" t="n"/>
      <c r="B17" s="38" t="inlineStr">
        <is>
          <t>P</t>
        </is>
      </c>
      <c r="C17" s="38" t="n"/>
      <c r="D17" s="38" t="n"/>
      <c r="E17" s="38" t="n"/>
      <c r="G17" s="67" t="n"/>
      <c r="H17" s="702" t="n"/>
      <c r="K17" s="619" t="n"/>
      <c r="L17" s="29" t="n"/>
      <c r="M17" s="119" t="n"/>
      <c r="N17" s="71" t="n"/>
      <c r="O17" s="616" t="n"/>
      <c r="P17" s="616" t="n"/>
      <c r="Q17" s="146" t="n"/>
      <c r="R17" s="146" t="n"/>
      <c r="S17" s="616" t="n"/>
      <c r="T17" s="616" t="n"/>
      <c r="U17" s="538" t="n"/>
      <c r="V17" s="622" t="n"/>
      <c r="W17" s="436" t="n"/>
      <c r="X17" s="622" t="n"/>
      <c r="Y17" s="622" t="n"/>
      <c r="Z17" s="622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  <c r="AV17" s="50" t="n"/>
      <c r="AW17" s="49" t="n"/>
    </row>
    <row r="18" ht="10.5" customHeight="1" s="26">
      <c r="A18" s="622" t="n"/>
      <c r="B18" s="38" t="inlineStr">
        <is>
          <t>P</t>
        </is>
      </c>
      <c r="C18" s="38" t="n"/>
      <c r="D18" s="38" t="n"/>
      <c r="E18" s="38" t="n"/>
      <c r="G18" s="67" t="n"/>
      <c r="H18" s="162">
        <f>CONCATENATE($B$1+1," Auction Budget acquired by trade (Offseason Only)")</f>
        <v/>
      </c>
      <c r="K18" s="809">
        <f>'Draft budget calc'!E6</f>
        <v/>
      </c>
      <c r="L18" s="29" t="n"/>
      <c r="M18" s="802" t="inlineStr">
        <is>
          <t>5th player contract --&gt;&gt;</t>
        </is>
      </c>
      <c r="N18" s="71" t="n"/>
      <c r="O18" s="527" t="n"/>
      <c r="P18" s="616" t="n"/>
      <c r="Q18" s="186" t="n"/>
      <c r="R18" s="146" t="n"/>
      <c r="S18" s="188" t="n"/>
      <c r="T18" s="79" t="n"/>
      <c r="U18" s="857" t="n"/>
      <c r="V18" s="79" t="n"/>
      <c r="W18" s="804">
        <f>Y18-$B$1</f>
        <v/>
      </c>
      <c r="X18" s="8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  <c r="AV18" s="50" t="n"/>
      <c r="AW18" s="49" t="n"/>
    </row>
    <row r="19" ht="10.5" customHeight="1" s="26">
      <c r="A19" s="622" t="n"/>
      <c r="B19" s="38" t="inlineStr">
        <is>
          <t>P</t>
        </is>
      </c>
      <c r="C19" s="38" t="n"/>
      <c r="D19" s="38" t="n"/>
      <c r="E19" s="38" t="n"/>
      <c r="G19" s="67" t="n"/>
      <c r="H19" s="702" t="n"/>
      <c r="K19" s="619" t="n"/>
      <c r="L19" s="29" t="n"/>
      <c r="M19" s="702" t="n"/>
      <c r="N19" s="71" t="n"/>
      <c r="P19" s="616" t="n"/>
      <c r="R19" s="146" t="n"/>
      <c r="T19" s="79" t="n"/>
      <c r="U19" s="771" t="n"/>
      <c r="V19" s="79" t="n"/>
      <c r="W19" s="771" t="n"/>
      <c r="X19" s="8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  <c r="AV19" s="50" t="n"/>
      <c r="AW19" s="49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G20" s="67" t="n"/>
      <c r="H20" s="702" t="n"/>
      <c r="K20" s="619" t="n"/>
      <c r="L20" s="29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124" t="n"/>
      <c r="V20" s="616" t="n"/>
      <c r="W20" s="124" t="n"/>
      <c r="X20" s="622" t="n"/>
      <c r="Y20" s="141" t="n"/>
      <c r="Z20" s="622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  <c r="AV20" s="50" t="n"/>
      <c r="AW20" s="49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G21" s="67" t="n"/>
      <c r="H21" s="171" t="inlineStr">
        <is>
          <t>Min. IP Penalties</t>
        </is>
      </c>
      <c r="K21" s="810">
        <f>SUM(D66:E71)</f>
        <v/>
      </c>
      <c r="L21" s="29" t="n"/>
      <c r="M21" s="802" t="inlineStr">
        <is>
          <t>6th player contract --&gt;&gt;</t>
        </is>
      </c>
      <c r="N21" s="71" t="n"/>
      <c r="O21" s="527" t="n"/>
      <c r="P21" s="541" t="n"/>
      <c r="Q21" s="186" t="n"/>
      <c r="R21" s="542" t="n"/>
      <c r="S21" s="188" t="n"/>
      <c r="T21" s="543" t="n"/>
      <c r="U21" s="803" t="n"/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195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  <c r="AV21" s="50" t="n"/>
      <c r="AW21" s="49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G22" s="67" t="n"/>
      <c r="H22" s="702" t="n"/>
      <c r="K22" s="619" t="n"/>
      <c r="L22" s="29" t="n"/>
      <c r="M22" s="702" t="n"/>
      <c r="N22" s="71" t="n"/>
      <c r="P22" s="541" t="n"/>
      <c r="R22" s="542" t="n"/>
      <c r="T22" s="543" t="n"/>
      <c r="U22" s="771" t="n"/>
      <c r="V22" s="79" t="n"/>
      <c r="W22" s="771" t="n"/>
      <c r="X22" s="82" t="n"/>
      <c r="Z22" s="622" t="n"/>
      <c r="AA22" s="619" t="n"/>
      <c r="AB22" s="195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  <c r="AV22" s="50" t="n"/>
      <c r="AW22" s="49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G23" s="67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616" t="n"/>
      <c r="P23" s="616" t="n"/>
      <c r="Q23" s="146" t="n"/>
      <c r="R23" s="146" t="n"/>
      <c r="S23" s="616" t="n"/>
      <c r="T23" s="616" t="n"/>
      <c r="U23" s="124" t="n"/>
      <c r="V23" s="616" t="n"/>
      <c r="W23" s="124" t="n"/>
      <c r="X23" s="139" t="n"/>
      <c r="Y23" s="141" t="n"/>
      <c r="Z23" s="71" t="n"/>
      <c r="AA23" s="125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  <c r="AV23" s="50" t="n"/>
      <c r="AW23" s="49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G24" s="67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527" t="n"/>
      <c r="P24" s="523" t="n"/>
      <c r="Q24" s="186" t="n"/>
      <c r="R24" s="75" t="n"/>
      <c r="S24" s="188" t="n"/>
      <c r="T24" s="77" t="n"/>
      <c r="U24" s="803" t="n"/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  <c r="AV24" s="50" t="n"/>
      <c r="AW24" s="49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G25" s="67" t="n"/>
      <c r="H25" s="755" t="n"/>
      <c r="I25" s="759" t="n"/>
      <c r="J25" s="759" t="n"/>
      <c r="K25" s="793" t="n"/>
      <c r="L25" s="29" t="n"/>
      <c r="M25" s="702" t="n"/>
      <c r="N25" s="71" t="n"/>
      <c r="P25" s="523" t="n"/>
      <c r="R25" s="75" t="n"/>
      <c r="T25" s="77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  <c r="AV25" s="50" t="n"/>
      <c r="AW25" s="49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G26" s="67" t="n"/>
      <c r="H26" s="622" t="n"/>
      <c r="I26" s="622" t="n"/>
      <c r="J26" s="622" t="n"/>
      <c r="K26" s="622" t="n"/>
      <c r="L26" s="29" t="n"/>
      <c r="M26" s="172" t="n"/>
      <c r="N26" s="622" t="n"/>
      <c r="O26" s="523" t="n"/>
      <c r="P26" s="523" t="n"/>
      <c r="Q26" s="75" t="n"/>
      <c r="R26" s="75" t="n"/>
      <c r="S26" s="523" t="n"/>
      <c r="T26" s="523" t="n"/>
      <c r="U26" s="121" t="n"/>
      <c r="V26" s="616" t="n"/>
      <c r="W26" s="124" t="n"/>
      <c r="X26" s="622" t="n"/>
      <c r="Y26" s="622" t="n"/>
      <c r="Z26" s="622" t="n"/>
      <c r="AA26" s="546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  <c r="AV26" s="50" t="n"/>
      <c r="AW26" s="49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G27" s="67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527" t="n"/>
      <c r="P27" s="523" t="n"/>
      <c r="Q27" s="186" t="n"/>
      <c r="R27" s="75" t="n"/>
      <c r="S27" s="188" t="n"/>
      <c r="T27" s="77" t="n"/>
      <c r="U27" s="803" t="n"/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  <c r="AV27" s="50" t="n"/>
      <c r="AW27" s="49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G28" s="67" t="n"/>
      <c r="H28" s="702" t="n"/>
      <c r="K28" s="619" t="n"/>
      <c r="L28" s="29" t="n"/>
      <c r="M28" s="702" t="n"/>
      <c r="N28" s="622" t="n"/>
      <c r="P28" s="523" t="n"/>
      <c r="R28" s="75" t="n"/>
      <c r="T28" s="77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  <c r="AV28" s="50" t="n"/>
      <c r="AW28" s="49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G29" s="67" t="n"/>
      <c r="H29" s="702" t="n"/>
      <c r="K29" s="619" t="n"/>
      <c r="L29" s="29" t="n"/>
      <c r="M29" s="172" t="n"/>
      <c r="N29" s="622" t="n"/>
      <c r="O29" s="523" t="n"/>
      <c r="P29" s="523" t="n"/>
      <c r="Q29" s="75" t="n"/>
      <c r="R29" s="75" t="n"/>
      <c r="S29" s="523" t="n"/>
      <c r="T29" s="523" t="n"/>
      <c r="U29" s="121" t="n"/>
      <c r="V29" s="616" t="n"/>
      <c r="W29" s="124" t="n"/>
      <c r="X29" s="622" t="n"/>
      <c r="Y29" s="141" t="n"/>
      <c r="Z29" s="622" t="n"/>
      <c r="AA29" s="14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  <c r="AV29" s="50" t="n"/>
      <c r="AW29" s="49" t="n"/>
    </row>
    <row r="30" ht="10.5" customHeight="1" s="26">
      <c r="A30" s="622" t="n"/>
      <c r="B30" s="38" t="inlineStr">
        <is>
          <t>SS,MI</t>
        </is>
      </c>
      <c r="C30" s="38" t="n"/>
      <c r="D30" s="38" t="n"/>
      <c r="E30" s="38" t="n"/>
      <c r="G30" s="67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527" t="n"/>
      <c r="P30" s="523" t="n"/>
      <c r="Q30" s="186" t="n"/>
      <c r="R30" s="75" t="n"/>
      <c r="S30" s="188" t="n"/>
      <c r="T30" s="77" t="n"/>
      <c r="U30" s="803" t="n"/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  <c r="AV30" s="50" t="n"/>
      <c r="AW30" s="49" t="n"/>
    </row>
    <row r="31" ht="10.5" customHeight="1" s="26">
      <c r="A31" s="622" t="n"/>
      <c r="B31" s="38" t="inlineStr">
        <is>
          <t>SS,MI</t>
        </is>
      </c>
      <c r="C31" s="110" t="n"/>
      <c r="D31" s="38" t="n"/>
      <c r="E31" s="38" t="n"/>
      <c r="G31" s="218" t="n"/>
      <c r="H31" s="54" t="inlineStr">
        <is>
          <t>Roster Key</t>
        </is>
      </c>
      <c r="L31" s="29" t="n"/>
      <c r="M31" s="702" t="n"/>
      <c r="N31" s="71" t="n"/>
      <c r="P31" s="523" t="n"/>
      <c r="R31" s="75" t="n"/>
      <c r="T31" s="77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  <c r="AV31" s="50" t="n"/>
      <c r="AW31" s="49" t="n"/>
    </row>
    <row r="32" ht="10.5" customHeight="1" s="26">
      <c r="A32" s="622" t="n"/>
      <c r="B32" s="38" t="inlineStr">
        <is>
          <t>SS,MI</t>
        </is>
      </c>
      <c r="C32" s="38" t="n"/>
      <c r="D32" s="38" t="n"/>
      <c r="E32" s="38" t="n"/>
      <c r="G32" s="218" t="n"/>
      <c r="L32" s="29" t="n"/>
      <c r="M32" s="172" t="n"/>
      <c r="N32" s="622" t="n"/>
      <c r="O32" s="523" t="n"/>
      <c r="P32" s="523" t="n"/>
      <c r="Q32" s="75" t="n"/>
      <c r="R32" s="75" t="n"/>
      <c r="S32" s="523" t="n"/>
      <c r="T32" s="523" t="n"/>
      <c r="U32" s="121" t="n"/>
      <c r="V32" s="616" t="n"/>
      <c r="W32" s="124" t="n"/>
      <c r="X32" s="622" t="n"/>
      <c r="Y32" s="622" t="n"/>
      <c r="Z32" s="622" t="n"/>
      <c r="AA32" s="16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  <c r="AV32" s="50" t="n"/>
      <c r="AW32" s="49" t="n"/>
    </row>
    <row r="33" ht="10.5" customHeight="1" s="26">
      <c r="A33" s="622" t="n"/>
      <c r="B33" s="199" t="inlineStr">
        <is>
          <t>DL 1</t>
        </is>
      </c>
      <c r="C33" s="443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523" t="n"/>
      <c r="Q33" s="186" t="n"/>
      <c r="R33" s="75" t="n"/>
      <c r="S33" s="188" t="n"/>
      <c r="T33" s="77" t="n"/>
      <c r="U33" s="803" t="n"/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  <c r="AV33" s="50" t="n"/>
      <c r="AW33" s="49" t="n"/>
    </row>
    <row r="34" ht="10.5" customHeight="1" s="26">
      <c r="A34" s="622" t="n"/>
      <c r="B34" s="199" t="inlineStr">
        <is>
          <t>DL 2</t>
        </is>
      </c>
      <c r="C34" s="443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523" t="n"/>
      <c r="R34" s="75" t="n"/>
      <c r="T34" s="77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  <c r="AV34" s="50" t="n"/>
      <c r="AW34" s="49" t="n"/>
    </row>
    <row r="35" ht="10.5" customHeight="1" s="26">
      <c r="A35" s="622" t="n"/>
      <c r="B35" s="199" t="inlineStr">
        <is>
          <t>DL 3</t>
        </is>
      </c>
      <c r="C35" s="443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207" t="n"/>
      <c r="V35" s="622" t="n"/>
      <c r="W35" s="208" t="n"/>
      <c r="X35" s="622" t="n"/>
      <c r="Y35" s="622" t="n"/>
      <c r="Z35" s="622" t="n"/>
      <c r="AA35" s="125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  <c r="AV35" s="50" t="n"/>
      <c r="AW35" s="49" t="n"/>
    </row>
    <row r="36" ht="11.25" customHeight="1" s="26">
      <c r="A36" s="622" t="n"/>
      <c r="B36" s="199" t="inlineStr">
        <is>
          <t>DL 4</t>
        </is>
      </c>
      <c r="C36" s="443" t="n"/>
      <c r="F36" s="367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695" t="n"/>
      <c r="P36" s="622" t="n"/>
      <c r="Q36" s="471" t="n"/>
      <c r="R36" s="67" t="n"/>
      <c r="S36" s="458" t="n"/>
      <c r="T36" s="215" t="n"/>
      <c r="U36" s="820" t="n"/>
      <c r="V36" s="139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  <c r="AV36" s="50" t="n"/>
      <c r="AW36" s="49" t="n"/>
    </row>
    <row r="37" ht="11.25" customHeight="1" s="26">
      <c r="A37" s="622" t="n"/>
      <c r="B37" s="199" t="inlineStr">
        <is>
          <t>DL 5</t>
        </is>
      </c>
      <c r="C37" s="559" t="n"/>
      <c r="D37" s="759" t="n"/>
      <c r="E37" s="759" t="n"/>
      <c r="F37" s="560" t="n"/>
      <c r="G37" s="873" t="inlineStr">
        <is>
          <t>Drafted</t>
        </is>
      </c>
      <c r="H37" s="759" t="n"/>
      <c r="I37" s="383" t="inlineStr">
        <is>
          <t>MLB</t>
        </is>
      </c>
      <c r="J37" s="759" t="n"/>
      <c r="K37" s="220" t="n"/>
      <c r="L37" s="29" t="n"/>
      <c r="M37" s="702" t="n"/>
      <c r="N37" s="71" t="n"/>
      <c r="P37" s="622" t="n"/>
      <c r="R37" s="67" t="n"/>
      <c r="T37" s="215" t="n"/>
      <c r="U37" s="823" t="n"/>
      <c r="V37" s="139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  <c r="AV37" s="50" t="n"/>
      <c r="AW37" s="49" t="n"/>
    </row>
    <row r="38" ht="11.25" customHeight="1" s="26">
      <c r="A38" s="622" t="n"/>
      <c r="B38" s="222" t="inlineStr">
        <is>
          <t>Farm 1</t>
        </is>
      </c>
      <c r="C38" s="443" t="inlineStr">
        <is>
          <t>Jack Leiter</t>
        </is>
      </c>
      <c r="F38" s="367" t="n">
        <v>7</v>
      </c>
      <c r="G38" s="385" t="n">
        <v>2022</v>
      </c>
      <c r="I38" s="386" t="inlineStr">
        <is>
          <t>Yes</t>
        </is>
      </c>
      <c r="J38" s="446" t="n"/>
      <c r="K38" s="172" t="n"/>
      <c r="L38" s="29" t="n"/>
      <c r="M38" s="172" t="n"/>
      <c r="N38" s="622" t="n"/>
      <c r="O38" s="622" t="n"/>
      <c r="P38" s="622" t="n"/>
      <c r="Q38" s="266" t="n"/>
      <c r="R38" s="266" t="n"/>
      <c r="S38" s="622" t="n"/>
      <c r="T38" s="622" t="n"/>
      <c r="U38" s="230" t="n"/>
      <c r="V38" s="622" t="n"/>
      <c r="W38" s="622" t="n"/>
      <c r="X38" s="622" t="n"/>
      <c r="Y38" s="622" t="n"/>
      <c r="Z38" s="622" t="n"/>
      <c r="AA38" s="546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  <c r="AV38" s="50" t="n"/>
      <c r="AW38" s="49" t="n"/>
    </row>
    <row r="39" ht="11.25" customHeight="1" s="26">
      <c r="A39" s="622" t="n"/>
      <c r="B39" s="231" t="inlineStr">
        <is>
          <t>Farm 2</t>
        </is>
      </c>
      <c r="C39" s="550" t="n"/>
      <c r="F39" s="367" t="n"/>
      <c r="G39" s="385" t="n"/>
      <c r="I39" s="386" t="n"/>
      <c r="J39" s="446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  <c r="AV39" s="50" t="n"/>
      <c r="AW39" s="49" t="n"/>
    </row>
    <row r="40" ht="11.25" customHeight="1" s="26">
      <c r="A40" s="622" t="n"/>
      <c r="B40" s="231" t="inlineStr">
        <is>
          <t>Farm 3</t>
        </is>
      </c>
      <c r="C40" s="550" t="n"/>
      <c r="F40" s="367" t="n"/>
      <c r="G40" s="385" t="n"/>
      <c r="I40" s="386" t="n"/>
      <c r="J40" s="446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139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  <c r="AV40" s="50" t="n"/>
      <c r="AW40" s="49" t="n"/>
    </row>
    <row r="41" ht="11.25" customHeight="1" s="26">
      <c r="A41" s="622" t="n"/>
      <c r="B41" s="231" t="inlineStr">
        <is>
          <t>Farm 4</t>
        </is>
      </c>
      <c r="C41" s="550" t="n"/>
      <c r="F41" s="367" t="n"/>
      <c r="G41" s="405" t="n"/>
      <c r="I41" s="386" t="n"/>
      <c r="J41" s="446" t="n"/>
      <c r="K41" s="172" t="n"/>
      <c r="L41" s="29" t="n"/>
      <c r="M41" s="172" t="n"/>
      <c r="N41" s="622" t="n"/>
      <c r="O41" s="685" t="n"/>
      <c r="P41" s="622" t="n"/>
      <c r="Q41" s="247" t="n"/>
      <c r="R41" s="67" t="n"/>
      <c r="S41" s="248" t="n"/>
      <c r="T41" s="215" t="n"/>
      <c r="U41" s="250" t="n"/>
      <c r="V41" s="622" t="n"/>
      <c r="W41" s="251" t="n"/>
      <c r="X41" s="622" t="n"/>
      <c r="Y41" s="141" t="n"/>
      <c r="Z41" s="622" t="n"/>
      <c r="AA41" s="143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  <c r="AV41" s="50" t="n"/>
      <c r="AW41" s="49" t="n"/>
    </row>
    <row r="42" ht="11.25" customHeight="1" s="26">
      <c r="A42" s="622" t="n"/>
      <c r="B42" s="231" t="inlineStr">
        <is>
          <t>Farm 5</t>
        </is>
      </c>
      <c r="C42" s="550" t="n"/>
      <c r="F42" s="367" t="n"/>
      <c r="G42" s="385" t="n"/>
      <c r="I42" s="386" t="n"/>
      <c r="J42" s="446" t="n"/>
      <c r="K42" s="172" t="n"/>
      <c r="L42" s="29" t="n"/>
      <c r="M42" s="824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  <c r="AV42" s="50" t="n"/>
      <c r="AW42" s="49" t="n"/>
    </row>
    <row r="43" ht="11.25" customHeight="1" s="26">
      <c r="A43" s="622" t="n"/>
      <c r="B43" s="231" t="inlineStr">
        <is>
          <t>Farm 6</t>
        </is>
      </c>
      <c r="C43" s="550" t="n"/>
      <c r="F43" s="367" t="n"/>
      <c r="G43" s="385" t="n"/>
      <c r="I43" s="386" t="n"/>
      <c r="J43" s="446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  <c r="AV43" s="50" t="n"/>
      <c r="AW43" s="49" t="n"/>
    </row>
    <row r="44" ht="11.25" customHeight="1" s="26">
      <c r="A44" s="622" t="n"/>
      <c r="B44" s="231" t="inlineStr">
        <is>
          <t>Farm 7</t>
        </is>
      </c>
      <c r="C44" s="550" t="n"/>
      <c r="F44" s="367" t="n"/>
      <c r="G44" s="385" t="n"/>
      <c r="I44" s="386" t="n"/>
      <c r="J44" s="444" t="n"/>
      <c r="K44" s="17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6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  <c r="AV44" s="30" t="n"/>
    </row>
    <row r="45" ht="11.25" customHeight="1" s="26">
      <c r="A45" s="622" t="n"/>
      <c r="B45" s="231" t="inlineStr">
        <is>
          <t>Farm 8</t>
        </is>
      </c>
      <c r="C45" s="459" t="n"/>
      <c r="F45" s="367" t="n"/>
      <c r="G45" s="405" t="n"/>
      <c r="I45" s="445" t="n"/>
      <c r="K45" s="172" t="n"/>
      <c r="L45" s="29" t="n"/>
      <c r="M45" s="824" t="inlineStr">
        <is>
          <t>14th player contract --&gt;&gt;</t>
        </is>
      </c>
      <c r="N45" s="71" t="n"/>
      <c r="O45" s="695" t="n"/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  <c r="AV45" s="30" t="n"/>
    </row>
    <row r="46" ht="11.25" customHeight="1" s="26">
      <c r="A46" s="622" t="n"/>
      <c r="B46" s="231" t="inlineStr">
        <is>
          <t>Farm 9</t>
        </is>
      </c>
      <c r="C46" s="443" t="n"/>
      <c r="F46" s="367" t="n"/>
      <c r="G46" s="405" t="n"/>
      <c r="I46" s="445" t="n"/>
      <c r="J46" s="446" t="n"/>
      <c r="K46" s="62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  <c r="AV46" s="30" t="n"/>
    </row>
    <row r="47" ht="11.25" customHeight="1" s="26">
      <c r="A47" s="622" t="n"/>
      <c r="B47" s="231" t="inlineStr">
        <is>
          <t>Farm 10</t>
        </is>
      </c>
      <c r="C47" s="443" t="n"/>
      <c r="F47" s="367" t="n"/>
      <c r="G47" s="405" t="n"/>
      <c r="I47" s="445" t="n"/>
      <c r="J47" s="446" t="n"/>
      <c r="K47" s="622" t="n"/>
      <c r="L47" s="29" t="n"/>
      <c r="M47" s="172" t="n"/>
      <c r="N47" s="622" t="n"/>
      <c r="O47" s="685" t="n"/>
      <c r="P47" s="622" t="n"/>
      <c r="Q47" s="424" t="n"/>
      <c r="R47" s="425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53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  <c r="AV47" s="30" t="n"/>
    </row>
    <row r="48" ht="11.25" customHeight="1" s="26">
      <c r="A48" s="622" t="n"/>
      <c r="B48" s="231" t="inlineStr">
        <is>
          <t>Farm 11</t>
        </is>
      </c>
      <c r="C48" s="443" t="n"/>
      <c r="F48" s="367" t="n"/>
      <c r="G48" s="405" t="n"/>
      <c r="I48" s="445" t="n"/>
      <c r="J48" s="446" t="n"/>
      <c r="K48" s="622" t="n"/>
      <c r="L48" s="29" t="n"/>
      <c r="M48" s="824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  <c r="AV48" s="30" t="n"/>
    </row>
    <row r="49" ht="11.25" customHeight="1" s="26">
      <c r="A49" s="622" t="n"/>
      <c r="B49" s="231" t="inlineStr">
        <is>
          <t>Farm 12</t>
        </is>
      </c>
      <c r="C49" s="443" t="n"/>
      <c r="F49" s="367" t="n"/>
      <c r="G49" s="405" t="n"/>
      <c r="I49" s="445" t="n"/>
      <c r="J49" s="446" t="n"/>
      <c r="K49" s="293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  <c r="AV49" s="30" t="n"/>
    </row>
    <row r="50" ht="11.25" customHeight="1" s="26">
      <c r="A50" s="622" t="n"/>
      <c r="B50" s="231" t="inlineStr">
        <is>
          <t>Farm 13</t>
        </is>
      </c>
      <c r="C50" s="443" t="n"/>
      <c r="F50" s="367" t="n"/>
      <c r="G50" s="405" t="n"/>
      <c r="I50" s="445" t="n"/>
      <c r="J50" s="446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  <c r="AV50" s="30" t="n"/>
    </row>
    <row r="51" ht="11.25" customHeight="1" s="26">
      <c r="A51" s="622" t="n"/>
      <c r="B51" s="231" t="inlineStr">
        <is>
          <t>Farm 14</t>
        </is>
      </c>
      <c r="C51" s="443" t="n"/>
      <c r="F51" s="367" t="n"/>
      <c r="G51" s="405" t="n"/>
      <c r="I51" s="445" t="n"/>
      <c r="J51" s="446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  <c r="AV51" s="30" t="n"/>
    </row>
    <row r="52" ht="11.25" customHeight="1" s="26">
      <c r="B52" s="231" t="inlineStr">
        <is>
          <t>Farm 15</t>
        </is>
      </c>
      <c r="C52" s="443" t="n"/>
      <c r="F52" s="367" t="n"/>
      <c r="G52" s="405" t="n"/>
      <c r="I52" s="445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  <c r="AV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  <c r="AV53" s="312" t="n"/>
      <c r="AW53" s="48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  <c r="AV54" s="312" t="n"/>
      <c r="AW54" s="48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527" t="inlineStr">
        <is>
          <t>Ryan Walker</t>
        </is>
      </c>
      <c r="P55" s="616" t="n"/>
      <c r="Q55" s="186" t="n">
        <v>0</v>
      </c>
      <c r="R55" s="146" t="n"/>
      <c r="S55" s="188" t="n">
        <v>2024</v>
      </c>
      <c r="T55" s="79" t="n"/>
      <c r="U55" s="803" t="n">
        <v>2</v>
      </c>
      <c r="V55" s="127" t="n"/>
      <c r="W55" s="821">
        <f>Y55-$B$1</f>
        <v/>
      </c>
      <c r="X55" s="622" t="n"/>
      <c r="Y55" s="86">
        <f>S55+U55</f>
        <v/>
      </c>
      <c r="Z55" s="622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  <c r="AV55" s="336" t="n"/>
      <c r="AW55" s="48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616" t="n"/>
      <c r="R56" s="146" t="n"/>
      <c r="T56" s="79" t="n"/>
      <c r="U56" s="771" t="n"/>
      <c r="V56" s="127" t="n"/>
      <c r="W56" s="823" t="n"/>
      <c r="X56" s="622" t="n"/>
      <c r="Z56" s="622" t="n"/>
      <c r="AA56" s="619" t="n"/>
      <c r="AB56" s="62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  <c r="AV56" s="336" t="n"/>
      <c r="AW56" s="48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468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2025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  <c r="AV57" s="336" t="n"/>
      <c r="AW57" s="48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  <c r="AV58" s="336" t="n"/>
      <c r="AW58" s="48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  <c r="AV59" s="50" t="n"/>
      <c r="AW59" s="49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  <c r="AV60" s="50" t="n"/>
      <c r="AW60" s="49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  <c r="AV61" s="50" t="n"/>
      <c r="AW61" s="49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831" t="n"/>
      <c r="P62" s="323" t="n"/>
      <c r="Q62" s="832" t="n"/>
      <c r="R62" s="325" t="n"/>
      <c r="S62" s="833" t="n"/>
      <c r="T62" s="327" t="n"/>
      <c r="U62" s="834" t="n"/>
      <c r="V62" s="323" t="n"/>
      <c r="W62" s="835">
        <f>Y62-$B$1</f>
        <v/>
      </c>
      <c r="X62" s="323" t="n"/>
      <c r="Y62" s="836">
        <f>S62+U62</f>
        <v/>
      </c>
      <c r="Z62" s="335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  <c r="AV62" s="50" t="n"/>
      <c r="AW62" s="49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O63" s="779" t="n"/>
      <c r="P63" s="339" t="n"/>
      <c r="Q63" s="779" t="n"/>
      <c r="R63" s="340" t="n"/>
      <c r="S63" s="779" t="n"/>
      <c r="T63" s="341" t="n"/>
      <c r="U63" s="779" t="n"/>
      <c r="V63" s="339" t="n"/>
      <c r="W63" s="779" t="n"/>
      <c r="X63" s="339" t="n"/>
      <c r="Y63" s="779" t="n"/>
      <c r="Z63" s="342" t="n"/>
      <c r="AA63" s="619" t="n"/>
      <c r="AB63" s="622" t="n"/>
      <c r="AC63" s="49" t="n"/>
      <c r="AD63" s="48" t="n"/>
      <c r="AE63" s="604" t="n"/>
      <c r="AF63" s="50" t="n"/>
      <c r="AG63" s="49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  <c r="AV63" s="50" t="n"/>
      <c r="AW63" s="49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/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  <c r="AV64" s="50" t="n"/>
      <c r="AW64" s="49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  <c r="AV65" s="50" t="n"/>
      <c r="AW65" s="49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H66" s="48" t="n"/>
      <c r="AI66" s="604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  <c r="AV66" s="50" t="n"/>
      <c r="AW66" s="49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  <c r="AV67" s="50" t="n"/>
      <c r="AW67" s="49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  <c r="AV68" s="50" t="n"/>
      <c r="AW68" s="49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31" t="n"/>
      <c r="P69" s="323" t="n"/>
      <c r="Q69" s="832" t="n"/>
      <c r="R69" s="325" t="n"/>
      <c r="S69" s="833" t="n"/>
      <c r="T69" s="327" t="n"/>
      <c r="U69" s="834" t="n"/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F69" s="30" t="n"/>
      <c r="AJ69" s="30" t="n"/>
      <c r="AL69" s="48" t="n"/>
      <c r="AM69" s="604" t="n"/>
      <c r="AN69" s="50" t="n"/>
      <c r="AO69" s="49" t="n"/>
      <c r="AR69" s="50" t="n"/>
      <c r="AS69" s="49" t="n"/>
      <c r="AT69" s="48" t="n"/>
      <c r="AU69" s="604" t="n"/>
      <c r="AV69" s="50" t="n"/>
      <c r="AW69" s="49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  <c r="AV70" s="50" t="n"/>
      <c r="AW70" s="49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R71" s="30" t="n"/>
      <c r="AV71" s="30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481" t="n"/>
      <c r="AN72" s="30" t="n"/>
      <c r="AR72" s="30" t="n"/>
      <c r="AV72" s="30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R73" s="30" t="n"/>
      <c r="AV73" s="30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50" t="n"/>
      <c r="AO74" s="49" t="n"/>
      <c r="AP74" s="48" t="n"/>
      <c r="AQ74" s="604" t="n"/>
      <c r="AR74" s="30" t="n"/>
      <c r="AV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604" t="n"/>
      <c r="AN75" s="50" t="n"/>
      <c r="AO75" s="49" t="n"/>
      <c r="AP75" s="48" t="n"/>
      <c r="AQ75" s="604" t="n"/>
      <c r="AR75" s="50" t="n"/>
      <c r="AS75" s="49" t="n"/>
      <c r="AT75" s="48" t="n"/>
      <c r="AU75" s="604" t="n"/>
      <c r="AV75" s="50" t="n"/>
      <c r="AW75" s="49" t="n"/>
    </row>
    <row r="76" ht="11.25" customHeight="1" s="26"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622" t="n"/>
      <c r="AF76" s="30" t="n"/>
      <c r="AJ76" s="30" t="n"/>
      <c r="AL76" s="48" t="n"/>
      <c r="AM76" s="604" t="n"/>
      <c r="AN76" s="50" t="n"/>
      <c r="AO76" s="49" t="n"/>
      <c r="AP76" s="48" t="n"/>
      <c r="AQ76" s="604" t="n"/>
      <c r="AR76" s="50" t="n"/>
      <c r="AS76" s="49" t="n"/>
      <c r="AT76" s="48" t="n"/>
      <c r="AU76" s="604" t="n"/>
      <c r="AV76" s="50" t="n"/>
      <c r="AW76" s="49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A77" s="619" t="n"/>
      <c r="AB77" s="62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  <c r="AV77" s="50" t="n"/>
      <c r="AW77" s="49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  <c r="AV78" s="50" t="n"/>
      <c r="AW78" s="49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  <c r="AV79" s="50" t="n"/>
      <c r="AW79" s="49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  <c r="AV80" s="50" t="n"/>
      <c r="AW80" s="49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  <c r="AV81" s="50" t="n"/>
      <c r="AW81" s="49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  <c r="AV82" s="50" t="n"/>
      <c r="AW82" s="49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  <c r="AV83" s="50" t="n"/>
      <c r="AW83" s="49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  <c r="AV84" s="50" t="n"/>
      <c r="AW84" s="49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  <c r="AV85" s="50" t="n"/>
      <c r="AW85" s="49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  <c r="AV86" s="50" t="n"/>
      <c r="AW86" s="49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  <c r="AV87" s="50" t="n"/>
      <c r="AW87" s="49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  <c r="AV88" s="50" t="n"/>
      <c r="AW88" s="49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  <c r="AV89" s="50" t="n"/>
      <c r="AW89" s="49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  <c r="AV90" s="50" t="n"/>
      <c r="AW90" s="49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  <c r="AV91" s="30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R92" s="30" t="n"/>
      <c r="AV92" s="30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481" t="n"/>
      <c r="AN93" s="30" t="n"/>
      <c r="AR93" s="30" t="n"/>
      <c r="AV93" s="30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  <c r="AV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  <c r="AV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604" t="n"/>
      <c r="AN96" s="30" t="n"/>
      <c r="AR96" s="30" t="n"/>
      <c r="AV96" s="30" t="n"/>
    </row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5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C34:E34"/>
    <mergeCell ref="Y33:Y34"/>
    <mergeCell ref="M9:M10"/>
    <mergeCell ref="U69:U7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S3:S4"/>
    <mergeCell ref="O39:O40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Q42:Q43"/>
    <mergeCell ref="W66:Y66"/>
    <mergeCell ref="S42:S43"/>
    <mergeCell ref="C36:E36"/>
    <mergeCell ref="M15:M16"/>
    <mergeCell ref="Y39:Y40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C33:E33"/>
    <mergeCell ref="M52:M53"/>
    <mergeCell ref="Y3:Y4"/>
    <mergeCell ref="G60:H60"/>
    <mergeCell ref="C35:E35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Q69:Q70"/>
    <mergeCell ref="AA69:AA70"/>
    <mergeCell ref="S9:S10"/>
    <mergeCell ref="K12:K13"/>
    <mergeCell ref="G53:H53"/>
    <mergeCell ref="S69:S70"/>
    <mergeCell ref="Y6:Y7"/>
    <mergeCell ref="K14:K15"/>
    <mergeCell ref="Q66:S66"/>
    <mergeCell ref="M42:M43"/>
    <mergeCell ref="AA64:AA65"/>
    <mergeCell ref="O42:O43"/>
    <mergeCell ref="U39:U40"/>
    <mergeCell ref="W39:W40"/>
    <mergeCell ref="O6:O7"/>
    <mergeCell ref="Q62:Q63"/>
    <mergeCell ref="W24:W25"/>
    <mergeCell ref="S62:S63"/>
    <mergeCell ref="Y24:Y25"/>
    <mergeCell ref="V78:Z79"/>
    <mergeCell ref="C44:E44"/>
    <mergeCell ref="M48:M49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Q33:Q34"/>
    <mergeCell ref="M69:M70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J41 J44">
    <cfRule type="expression" priority="1" dxfId="1">
      <formula>ISNUMBER($F37)</formula>
    </cfRule>
    <cfRule type="expression" priority="20" dxfId="1">
      <formula>ISNUMBER($F39)</formula>
    </cfRule>
  </conditionalFormatting>
  <conditionalFormatting sqref="W35:W49">
    <cfRule type="cellIs" priority="2" operator="equal" dxfId="0">
      <formula>"'0'"</formula>
    </cfRule>
  </conditionalFormatting>
  <conditionalFormatting sqref="W36:W37 W39:W40 W42:W43 W45:W46 W48:W49">
    <cfRule type="cellIs" priority="3" operator="equal" dxfId="0">
      <formula>0</formula>
    </cfRule>
  </conditionalFormatting>
  <conditionalFormatting sqref="J41 J44 J49">
    <cfRule type="expression" priority="4" dxfId="1">
      <formula>ISNUMBER($F41)</formula>
    </cfRule>
  </conditionalFormatting>
  <conditionalFormatting sqref="J47">
    <cfRule type="expression" priority="5" dxfId="1">
      <formula>ISNUMBER($F47)</formula>
    </cfRule>
  </conditionalFormatting>
  <conditionalFormatting sqref="J48">
    <cfRule type="expression" priority="6" dxfId="1">
      <formula>ISNUMBER($F48)</formula>
    </cfRule>
  </conditionalFormatting>
  <conditionalFormatting sqref="J50">
    <cfRule type="expression" priority="7" dxfId="1">
      <formula>ISNUMBER($F50)</formula>
    </cfRule>
  </conditionalFormatting>
  <conditionalFormatting sqref="J57">
    <cfRule type="expression" priority="8" dxfId="1">
      <formula>ISNUMBER($F57)</formula>
    </cfRule>
  </conditionalFormatting>
  <conditionalFormatting sqref="J56">
    <cfRule type="expression" priority="9" dxfId="1">
      <formula>ISNUMBER($F56)</formula>
    </cfRule>
  </conditionalFormatting>
  <conditionalFormatting sqref="J52">
    <cfRule type="expression" priority="10" dxfId="1">
      <formula>ISNUMBER($F52)</formula>
    </cfRule>
  </conditionalFormatting>
  <conditionalFormatting sqref="J51">
    <cfRule type="expression" priority="11" dxfId="1">
      <formula>ISNUMBER($F51)</formula>
    </cfRule>
  </conditionalFormatting>
  <conditionalFormatting sqref="J53">
    <cfRule type="expression" priority="12" dxfId="1">
      <formula>ISNUMBER($F53)</formula>
    </cfRule>
  </conditionalFormatting>
  <conditionalFormatting sqref="J54">
    <cfRule type="expression" priority="13" dxfId="1">
      <formula>ISNUMBER($F54)</formula>
    </cfRule>
  </conditionalFormatting>
  <conditionalFormatting sqref="J38:J41">
    <cfRule type="expression" priority="14" dxfId="1">
      <formula>ISNUMBER($F38)</formula>
    </cfRule>
  </conditionalFormatting>
  <conditionalFormatting sqref="J40 J43">
    <cfRule type="expression" priority="15" dxfId="1">
      <formula>ISNUMBER($F40)</formula>
    </cfRule>
  </conditionalFormatting>
  <conditionalFormatting sqref="J39">
    <cfRule type="expression" priority="16" dxfId="1">
      <formula>ISNUMBER($F39)</formula>
    </cfRule>
  </conditionalFormatting>
  <conditionalFormatting sqref="W6 W8:W14 W23">
    <cfRule type="cellIs" priority="17" operator="equal" dxfId="0">
      <formula>"'0'"</formula>
    </cfRule>
  </conditionalFormatting>
  <conditionalFormatting sqref="W6 W9:W10 W12:W13">
    <cfRule type="cellIs" priority="18" operator="equal" dxfId="0">
      <formula>0</formula>
    </cfRule>
  </conditionalFormatting>
  <conditionalFormatting sqref="J40">
    <cfRule type="expression" priority="19" dxfId="1">
      <formula>ISNUMBER($F40)</formula>
    </cfRule>
  </conditionalFormatting>
  <conditionalFormatting sqref="J46">
    <cfRule type="expression" priority="21" dxfId="1">
      <formula>ISNUMBER($F46)</formula>
    </cfRule>
  </conditionalFormatting>
  <conditionalFormatting sqref="J38:J43">
    <cfRule type="expression" priority="22" dxfId="1">
      <formula>ISNUMBER($F38)</formula>
    </cfRule>
  </conditionalFormatting>
  <conditionalFormatting sqref="J39 J42">
    <cfRule type="expression" priority="23" dxfId="1">
      <formula>ISNUMBER($F39)</formula>
    </cfRule>
  </conditionalFormatting>
  <conditionalFormatting sqref="W17:W22">
    <cfRule type="cellIs" priority="24" operator="equal" dxfId="0">
      <formula>"'0'"</formula>
    </cfRule>
  </conditionalFormatting>
  <conditionalFormatting sqref="W18:W19 W21:W22">
    <cfRule type="cellIs" priority="25" operator="equal" dxfId="0">
      <formula>0</formula>
    </cfRule>
  </conditionalFormatting>
  <conditionalFormatting sqref="W15:W16">
    <cfRule type="cellIs" priority="26" operator="equal" dxfId="0">
      <formula>"'0'"</formula>
    </cfRule>
    <cfRule type="cellIs" priority="27" operator="equal" dxfId="0">
      <formula>0</formula>
    </cfRule>
  </conditionalFormatting>
  <conditionalFormatting sqref="W24:W34">
    <cfRule type="cellIs" priority="28" operator="equal" dxfId="0">
      <formula>"'0'"</formula>
    </cfRule>
  </conditionalFormatting>
  <conditionalFormatting sqref="W24:W25 W27:W28 W30:W31 W33:W34">
    <cfRule type="cellIs" priority="29" operator="equal" dxfId="0">
      <formula>0</formula>
    </cfRule>
  </conditionalFormatting>
  <conditionalFormatting sqref="W55:W56">
    <cfRule type="cellIs" priority="30" operator="equal" dxfId="0">
      <formula>"'0'"</formula>
    </cfRule>
    <cfRule type="cellIs" priority="31" operator="equal" dxfId="0">
      <formula>0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9.289999999999999" customWidth="1" style="26" min="2" max="2"/>
    <col width="13.14" customWidth="1" style="26" min="3" max="3"/>
    <col width="4" customWidth="1" style="26" min="4" max="4"/>
    <col width="3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CONCATENATE("Devin Cohen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1B,2B,3B,CI,MI</t>
        </is>
      </c>
      <c r="C3" s="38" t="n"/>
      <c r="D3" s="38" t="n"/>
      <c r="E3" s="38" t="n"/>
      <c r="G3" s="54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45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1B,CI,OF</t>
        </is>
      </c>
      <c r="C4" s="38" t="n"/>
      <c r="D4" s="38" t="n"/>
      <c r="E4" s="38" t="n"/>
      <c r="H4" s="702" t="n"/>
      <c r="K4" s="619" t="n"/>
      <c r="L4" s="29" t="n"/>
      <c r="M4" s="759" t="n"/>
      <c r="N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1B,CI,OF</t>
        </is>
      </c>
      <c r="C5" s="38" t="n"/>
      <c r="D5" s="38" t="n"/>
      <c r="E5" s="38" t="n"/>
      <c r="G5" s="54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1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1B,CI,OF</t>
        </is>
      </c>
      <c r="C6" s="38" t="n"/>
      <c r="D6" s="38" t="n"/>
      <c r="E6" s="38" t="n"/>
      <c r="G6" s="67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Triston Casas</t>
        </is>
      </c>
      <c r="P6" s="616" t="n"/>
      <c r="Q6" s="186" t="n">
        <v>4</v>
      </c>
      <c r="R6" s="146" t="n"/>
      <c r="S6" s="188" t="n">
        <v>2023</v>
      </c>
      <c r="T6" s="79" t="n"/>
      <c r="U6" s="803" t="n">
        <v>3</v>
      </c>
      <c r="V6" s="82" t="n"/>
      <c r="W6" s="821">
        <f>Y6-$B$1</f>
        <v/>
      </c>
      <c r="X6" s="62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2B,MI</t>
        </is>
      </c>
      <c r="C7" s="38" t="n"/>
      <c r="D7" s="38" t="n"/>
      <c r="E7" s="38" t="n"/>
      <c r="G7" s="67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82" t="n"/>
      <c r="W7" s="823" t="n"/>
      <c r="X7" s="62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2B,SS,MI</t>
        </is>
      </c>
      <c r="C8" s="38" t="n"/>
      <c r="D8" s="38" t="n"/>
      <c r="E8" s="38" t="n"/>
      <c r="G8" s="67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538" t="n"/>
      <c r="V8" s="139" t="n"/>
      <c r="W8" s="251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3B,CI,OF</t>
        </is>
      </c>
      <c r="C9" s="38" t="n"/>
      <c r="D9" s="38" t="n"/>
      <c r="E9" s="38" t="n"/>
      <c r="G9" s="67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Francisco Alvarez</t>
        </is>
      </c>
      <c r="P9" s="523" t="n"/>
      <c r="Q9" s="186" t="n">
        <v>6</v>
      </c>
      <c r="R9" s="75" t="n"/>
      <c r="S9" s="188" t="n">
        <v>2024</v>
      </c>
      <c r="T9" s="544" t="n">
        <v>3</v>
      </c>
      <c r="U9" s="803" t="n">
        <v>2</v>
      </c>
      <c r="V9" s="82" t="n"/>
      <c r="W9" s="821">
        <f>Y9-$B$1</f>
        <v/>
      </c>
      <c r="X9" s="62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C</t>
        </is>
      </c>
      <c r="C10" s="38" t="n"/>
      <c r="D10" s="38" t="n"/>
      <c r="E10" s="38" t="n"/>
      <c r="G10" s="67" t="n"/>
      <c r="H10" s="755" t="n"/>
      <c r="I10" s="759" t="n"/>
      <c r="J10" s="759" t="n"/>
      <c r="K10" s="793" t="n"/>
      <c r="L10" s="29" t="n"/>
      <c r="M10" s="702" t="n"/>
      <c r="N10" s="71" t="n"/>
      <c r="P10" s="523" t="n"/>
      <c r="R10" s="75" t="n"/>
      <c r="T10" s="77" t="n"/>
      <c r="U10" s="771" t="n"/>
      <c r="V10" s="82" t="n"/>
      <c r="W10" s="823" t="n"/>
      <c r="X10" s="62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C</t>
        </is>
      </c>
      <c r="C11" s="38" t="n"/>
      <c r="D11" s="38" t="n"/>
      <c r="E11" s="38" t="n"/>
      <c r="G11" s="67" t="n"/>
      <c r="H11" s="136" t="n"/>
      <c r="I11" s="136" t="n"/>
      <c r="J11" s="136" t="n"/>
      <c r="K11" s="137" t="n"/>
      <c r="L11" s="29" t="n"/>
      <c r="M11" s="119" t="n"/>
      <c r="N11" s="71" t="n"/>
      <c r="O11" s="523" t="n"/>
      <c r="P11" s="523" t="n"/>
      <c r="Q11" s="75" t="n"/>
      <c r="R11" s="75" t="n"/>
      <c r="S11" s="523" t="n"/>
      <c r="T11" s="523" t="n"/>
      <c r="U11" s="121" t="n"/>
      <c r="V11" s="622" t="n"/>
      <c r="W11" s="251" t="n"/>
      <c r="X11" s="622" t="n"/>
      <c r="Y11" s="141" t="n"/>
      <c r="Z11" s="622" t="n"/>
      <c r="AA11" s="164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OF</t>
        </is>
      </c>
      <c r="C12" s="38" t="n"/>
      <c r="D12" s="38" t="n"/>
      <c r="E12" s="38" t="n"/>
      <c r="G12" s="67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CJ Abrams</t>
        </is>
      </c>
      <c r="P12" s="523" t="n"/>
      <c r="Q12" s="186" t="n">
        <v>7</v>
      </c>
      <c r="R12" s="75" t="n"/>
      <c r="S12" s="188" t="n">
        <v>2024</v>
      </c>
      <c r="T12" s="77" t="n"/>
      <c r="U12" s="803" t="n">
        <v>4</v>
      </c>
      <c r="V12" s="82" t="n"/>
      <c r="W12" s="821">
        <f>Y12-$B$1</f>
        <v/>
      </c>
      <c r="X12" s="62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OF</t>
        </is>
      </c>
      <c r="C13" s="38" t="n"/>
      <c r="D13" s="38" t="n"/>
      <c r="E13" s="38" t="n"/>
      <c r="G13" s="67" t="n"/>
      <c r="H13" s="702" t="n"/>
      <c r="K13" s="619" t="n"/>
      <c r="L13" s="29" t="n"/>
      <c r="M13" s="702" t="n"/>
      <c r="N13" s="71" t="n"/>
      <c r="P13" s="523" t="n"/>
      <c r="R13" s="75" t="n"/>
      <c r="T13" s="77" t="n"/>
      <c r="U13" s="771" t="n"/>
      <c r="V13" s="82" t="n"/>
      <c r="W13" s="823" t="n"/>
      <c r="X13" s="62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G14" s="67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538" t="n"/>
      <c r="V14" s="139" t="n"/>
      <c r="W14" s="251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G15" s="67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Shota Imanaga</t>
        </is>
      </c>
      <c r="P15" s="523" t="n"/>
      <c r="Q15" s="186" t="n">
        <v>1</v>
      </c>
      <c r="R15" s="75" t="n"/>
      <c r="S15" s="188" t="n">
        <v>2024</v>
      </c>
      <c r="T15" s="77" t="n"/>
      <c r="U15" s="803" t="n">
        <v>2</v>
      </c>
      <c r="V15" s="82" t="n"/>
      <c r="W15" s="821">
        <f>Y15-$B$1</f>
        <v/>
      </c>
      <c r="X15" s="622" t="n"/>
      <c r="Y15" s="86">
        <f>S15+U15</f>
        <v/>
      </c>
      <c r="Z15" s="622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G16" s="67" t="n"/>
      <c r="H16" s="161" t="inlineStr">
        <is>
          <t>Farm Contracts</t>
        </is>
      </c>
      <c r="K16" s="809">
        <f>SUM(F39:F57)</f>
        <v/>
      </c>
      <c r="L16" s="29" t="n"/>
      <c r="M16" s="702" t="n"/>
      <c r="N16" s="71" t="n"/>
      <c r="P16" s="523" t="n"/>
      <c r="R16" s="75" t="n"/>
      <c r="T16" s="77" t="n"/>
      <c r="U16" s="771" t="n"/>
      <c r="V16" s="82" t="n"/>
      <c r="W16" s="823" t="n"/>
      <c r="X16" s="622" t="n"/>
      <c r="Z16" s="622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G17" s="67" t="n"/>
      <c r="H17" s="702" t="n"/>
      <c r="K17" s="619" t="n"/>
      <c r="L17" s="29" t="n"/>
      <c r="M17" s="119" t="n"/>
      <c r="N17" s="71" t="n"/>
      <c r="O17" s="523" t="n"/>
      <c r="P17" s="523" t="n"/>
      <c r="Q17" s="75" t="n"/>
      <c r="R17" s="75" t="n"/>
      <c r="S17" s="523" t="n"/>
      <c r="T17" s="523" t="n"/>
      <c r="U17" s="121" t="n"/>
      <c r="V17" s="139" t="n"/>
      <c r="W17" s="251" t="n"/>
      <c r="X17" s="139" t="n"/>
      <c r="Y17" s="141" t="n"/>
      <c r="Z17" s="71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P</t>
        </is>
      </c>
      <c r="C18" s="548" t="n"/>
      <c r="D18" s="548" t="n"/>
      <c r="E18" s="38" t="n"/>
      <c r="G18" s="67" t="n"/>
      <c r="H18" s="162">
        <f>CONCATENATE($B$1+1," Auction Budget acquired by trade (Offseason Only)")</f>
        <v/>
      </c>
      <c r="K18" s="809">
        <f>'Draft budget calc'!E7</f>
        <v/>
      </c>
      <c r="L18" s="29" t="n"/>
      <c r="M18" s="802" t="inlineStr">
        <is>
          <t>5th player contract --&gt;&gt;</t>
        </is>
      </c>
      <c r="N18" s="71" t="n"/>
      <c r="O18" s="527" t="n"/>
      <c r="P18" s="523" t="n"/>
      <c r="Q18" s="186" t="n"/>
      <c r="R18" s="75" t="n"/>
      <c r="S18" s="188" t="n"/>
      <c r="T18" s="77" t="n"/>
      <c r="U18" s="803" t="n"/>
      <c r="V18" s="127" t="n"/>
      <c r="W18" s="821">
        <f>Y18-$B$1</f>
        <v/>
      </c>
      <c r="X18" s="62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P</t>
        </is>
      </c>
      <c r="C19" s="548" t="n"/>
      <c r="D19" s="548" t="n"/>
      <c r="E19" s="38" t="n"/>
      <c r="G19" s="209" t="n">
        <v>0</v>
      </c>
      <c r="H19" s="702" t="n"/>
      <c r="K19" s="619" t="n"/>
      <c r="L19" s="29" t="n"/>
      <c r="M19" s="702" t="n"/>
      <c r="N19" s="71" t="n"/>
      <c r="P19" s="523" t="n"/>
      <c r="R19" s="75" t="n"/>
      <c r="T19" s="77" t="n"/>
      <c r="U19" s="771" t="n"/>
      <c r="V19" s="127" t="n"/>
      <c r="W19" s="823" t="n"/>
      <c r="X19" s="62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P</t>
        </is>
      </c>
      <c r="C20" s="548" t="n"/>
      <c r="D20" s="548" t="n"/>
      <c r="E20" s="38" t="n"/>
      <c r="G20" s="67" t="n"/>
      <c r="H20" s="702" t="n"/>
      <c r="K20" s="619" t="n"/>
      <c r="L20" s="29" t="n"/>
      <c r="M20" s="119" t="n"/>
      <c r="N20" s="71" t="n"/>
      <c r="O20" s="523" t="n"/>
      <c r="P20" s="523" t="n"/>
      <c r="Q20" s="75" t="n"/>
      <c r="R20" s="75" t="n"/>
      <c r="S20" s="523" t="n"/>
      <c r="T20" s="523" t="n"/>
      <c r="U20" s="121" t="n"/>
      <c r="V20" s="139" t="n"/>
      <c r="W20" s="251" t="n"/>
      <c r="X20" s="139" t="n"/>
      <c r="Y20" s="141" t="n"/>
      <c r="Z20" s="71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548" t="n"/>
      <c r="D21" s="548" t="n"/>
      <c r="E21" s="38" t="n"/>
      <c r="G21" s="67" t="n"/>
      <c r="H21" s="171" t="inlineStr">
        <is>
          <t>Min. IP Penalties</t>
        </is>
      </c>
      <c r="K21" s="810">
        <f>SUM(D66:E71)</f>
        <v/>
      </c>
      <c r="L21" s="29" t="n"/>
      <c r="M21" s="802" t="inlineStr">
        <is>
          <t>6th player contract --&gt;&gt;</t>
        </is>
      </c>
      <c r="N21" s="71" t="n"/>
      <c r="O21" s="527" t="n"/>
      <c r="P21" s="523" t="n"/>
      <c r="Q21" s="186" t="n"/>
      <c r="R21" s="75" t="n"/>
      <c r="S21" s="188" t="n"/>
      <c r="T21" s="544" t="n"/>
      <c r="U21" s="803" t="n"/>
      <c r="V21" s="82" t="n"/>
      <c r="W21" s="821">
        <f>Y21-$B$1</f>
        <v/>
      </c>
      <c r="X21" s="62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548" t="n"/>
      <c r="D22" s="548" t="n"/>
      <c r="E22" s="38" t="n"/>
      <c r="G22" s="67" t="n"/>
      <c r="H22" s="702" t="n"/>
      <c r="K22" s="619" t="n"/>
      <c r="L22" s="29" t="n"/>
      <c r="M22" s="702" t="n"/>
      <c r="N22" s="71" t="n"/>
      <c r="P22" s="523" t="n"/>
      <c r="R22" s="75" t="n"/>
      <c r="T22" s="77" t="n"/>
      <c r="U22" s="771" t="n"/>
      <c r="V22" s="82" t="n"/>
      <c r="W22" s="823" t="n"/>
      <c r="X22" s="62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548" t="n"/>
      <c r="D23" s="548" t="n"/>
      <c r="E23" s="38" t="n"/>
      <c r="G23" s="67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523" t="n"/>
      <c r="P23" s="523" t="n"/>
      <c r="Q23" s="523" t="n"/>
      <c r="R23" s="523" t="n"/>
      <c r="S23" s="523" t="n"/>
      <c r="T23" s="523" t="n"/>
      <c r="U23" s="121" t="n"/>
      <c r="V23" s="139" t="n"/>
      <c r="W23" s="622" t="n"/>
      <c r="X23" s="139" t="n"/>
      <c r="Y23" s="141" t="n"/>
      <c r="Z23" s="71" t="n"/>
      <c r="AA23" s="125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G24" s="67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527" t="n"/>
      <c r="P24" s="523" t="n"/>
      <c r="Q24" s="186" t="n"/>
      <c r="R24" s="75" t="n"/>
      <c r="S24" s="188" t="n"/>
      <c r="T24" s="77" t="n"/>
      <c r="U24" s="803" t="n"/>
      <c r="V24" s="82" t="n"/>
      <c r="W24" s="821">
        <f>Y24-$B$1</f>
        <v/>
      </c>
      <c r="X24" s="62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G25" s="67" t="n"/>
      <c r="H25" s="755" t="n"/>
      <c r="I25" s="759" t="n"/>
      <c r="J25" s="759" t="n"/>
      <c r="K25" s="793" t="n"/>
      <c r="L25" s="29" t="n"/>
      <c r="M25" s="702" t="n"/>
      <c r="N25" s="71" t="n"/>
      <c r="P25" s="523" t="n"/>
      <c r="R25" s="75" t="n"/>
      <c r="T25" s="77" t="n"/>
      <c r="U25" s="771" t="n"/>
      <c r="V25" s="82" t="n"/>
      <c r="W25" s="823" t="n"/>
      <c r="X25" s="62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inlineStr">
        <is>
          <t> </t>
        </is>
      </c>
      <c r="B26" s="38" t="inlineStr">
        <is>
          <t>P</t>
        </is>
      </c>
      <c r="C26" s="38" t="n"/>
      <c r="D26" s="38" t="n"/>
      <c r="E26" s="38" t="n"/>
      <c r="G26" s="67" t="n"/>
      <c r="H26" s="622" t="n"/>
      <c r="I26" s="622" t="n"/>
      <c r="J26" s="622" t="n"/>
      <c r="K26" s="622" t="n"/>
      <c r="L26" s="29" t="n"/>
      <c r="M26" s="172" t="n"/>
      <c r="N26" s="622" t="n"/>
      <c r="O26" s="523" t="n"/>
      <c r="P26" s="523" t="n"/>
      <c r="Q26" s="523" t="n"/>
      <c r="R26" s="523" t="n"/>
      <c r="S26" s="523" t="n"/>
      <c r="T26" s="523" t="n"/>
      <c r="U26" s="121" t="n"/>
      <c r="V26" s="622" t="n"/>
      <c r="W26" s="622" t="n"/>
      <c r="X26" s="622" t="n"/>
      <c r="Y26" s="622" t="n"/>
      <c r="Z26" s="622" t="n"/>
      <c r="AA26" s="125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G27" s="67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527" t="n"/>
      <c r="P27" s="523" t="n"/>
      <c r="Q27" s="186" t="n"/>
      <c r="R27" s="75" t="n"/>
      <c r="S27" s="188" t="n"/>
      <c r="T27" s="77" t="n"/>
      <c r="U27" s="803" t="n"/>
      <c r="V27" s="127" t="n"/>
      <c r="W27" s="821">
        <f>Y27-$B$1</f>
        <v/>
      </c>
      <c r="X27" s="62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G28" s="67" t="n"/>
      <c r="H28" s="702" t="n"/>
      <c r="K28" s="619" t="n"/>
      <c r="L28" s="29" t="n"/>
      <c r="M28" s="702" t="n"/>
      <c r="N28" s="622" t="n"/>
      <c r="P28" s="523" t="n"/>
      <c r="R28" s="75" t="n"/>
      <c r="T28" s="77" t="n"/>
      <c r="U28" s="771" t="n"/>
      <c r="V28" s="127" t="n"/>
      <c r="W28" s="823" t="n"/>
      <c r="X28" s="62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G29" s="67" t="n"/>
      <c r="H29" s="702" t="n"/>
      <c r="K29" s="619" t="n"/>
      <c r="L29" s="29" t="n"/>
      <c r="M29" s="172" t="n"/>
      <c r="N29" s="622" t="n"/>
      <c r="O29" s="523" t="n"/>
      <c r="P29" s="523" t="n"/>
      <c r="Q29" s="523" t="n"/>
      <c r="R29" s="523" t="n"/>
      <c r="S29" s="523" t="n"/>
      <c r="T29" s="523" t="n"/>
      <c r="U29" s="121" t="n"/>
      <c r="V29" s="622" t="n"/>
      <c r="W29" s="251" t="n"/>
      <c r="X29" s="622" t="n"/>
      <c r="Y29" s="141" t="n"/>
      <c r="Z29" s="622" t="n"/>
      <c r="AA29" s="15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G30" s="67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527" t="n"/>
      <c r="P30" s="523" t="n"/>
      <c r="Q30" s="186" t="n"/>
      <c r="R30" s="75" t="n"/>
      <c r="S30" s="188" t="n"/>
      <c r="T30" s="77" t="n"/>
      <c r="U30" s="803" t="n"/>
      <c r="V30" s="82" t="n"/>
      <c r="W30" s="821">
        <f>Y30-$B$1</f>
        <v/>
      </c>
      <c r="X30" s="62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G31" s="218" t="n"/>
      <c r="H31" s="54" t="inlineStr">
        <is>
          <t>Roster Key</t>
        </is>
      </c>
      <c r="L31" s="29" t="n"/>
      <c r="M31" s="702" t="n"/>
      <c r="N31" s="71" t="n"/>
      <c r="P31" s="523" t="n"/>
      <c r="R31" s="75" t="n"/>
      <c r="T31" s="77" t="n"/>
      <c r="U31" s="771" t="n"/>
      <c r="V31" s="82" t="n"/>
      <c r="W31" s="823" t="n"/>
      <c r="X31" s="62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218" t="n"/>
      <c r="L32" s="29" t="n"/>
      <c r="M32" s="172" t="n"/>
      <c r="N32" s="622" t="n"/>
      <c r="O32" s="523" t="n"/>
      <c r="P32" s="523" t="n"/>
      <c r="Q32" s="75" t="n"/>
      <c r="R32" s="75" t="n"/>
      <c r="S32" s="523" t="n"/>
      <c r="T32" s="523" t="n"/>
      <c r="U32" s="121" t="n"/>
      <c r="V32" s="622" t="n"/>
      <c r="W32" s="251" t="n"/>
      <c r="X32" s="622" t="n"/>
      <c r="Y32" s="622" t="n"/>
      <c r="Z32" s="622" t="n"/>
      <c r="AA32" s="170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P</t>
        </is>
      </c>
      <c r="C33" s="38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523" t="n"/>
      <c r="Q33" s="186" t="n"/>
      <c r="R33" s="75" t="n"/>
      <c r="S33" s="188" t="n"/>
      <c r="T33" s="77" t="n"/>
      <c r="U33" s="803" t="n"/>
      <c r="V33" s="82" t="n"/>
      <c r="W33" s="821">
        <f>Y33-$B$1</f>
        <v/>
      </c>
      <c r="X33" s="62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P</t>
        </is>
      </c>
      <c r="C34" s="110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523" t="n"/>
      <c r="R34" s="75" t="n"/>
      <c r="T34" s="77" t="n"/>
      <c r="U34" s="771" t="n"/>
      <c r="V34" s="82" t="n"/>
      <c r="W34" s="823" t="n"/>
      <c r="X34" s="62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38" t="inlineStr">
        <is>
          <t>P</t>
        </is>
      </c>
      <c r="C35" s="38" t="n"/>
      <c r="D35" s="38" t="n"/>
      <c r="E35" s="38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207" t="n"/>
      <c r="V35" s="622" t="n"/>
      <c r="W35" s="622" t="n"/>
      <c r="X35" s="622" t="n"/>
      <c r="Y35" s="622" t="n"/>
      <c r="Z35" s="622" t="n"/>
      <c r="AA35" s="125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1.25" customHeight="1" s="26">
      <c r="A36" s="622" t="n"/>
      <c r="B36" s="38" t="inlineStr">
        <is>
          <t>P</t>
        </is>
      </c>
      <c r="C36" s="38" t="n"/>
      <c r="D36" s="38" t="n"/>
      <c r="E36" s="38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695" t="n"/>
      <c r="P36" s="139" t="n"/>
      <c r="Q36" s="471" t="n"/>
      <c r="R36" s="67" t="n"/>
      <c r="S36" s="458" t="n"/>
      <c r="T36" s="215" t="n"/>
      <c r="U36" s="820" t="n"/>
      <c r="V36" s="139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</row>
    <row r="37" ht="11.25" customHeight="1" s="26">
      <c r="A37" s="622" t="n"/>
      <c r="B37" s="276" t="inlineStr">
        <is>
          <t>P</t>
        </is>
      </c>
      <c r="C37" s="276" t="n"/>
      <c r="D37" s="276" t="n"/>
      <c r="E37" s="276" t="n"/>
      <c r="F37" s="379" t="n"/>
      <c r="G37" s="873" t="inlineStr">
        <is>
          <t>Drafted</t>
        </is>
      </c>
      <c r="H37" s="759" t="n"/>
      <c r="I37" s="383" t="inlineStr">
        <is>
          <t>MLB</t>
        </is>
      </c>
      <c r="J37" s="759" t="n"/>
      <c r="K37" s="220" t="n"/>
      <c r="L37" s="29" t="n"/>
      <c r="M37" s="702" t="n"/>
      <c r="N37" s="71" t="n"/>
      <c r="P37" s="139" t="n"/>
      <c r="R37" s="67" t="n"/>
      <c r="T37" s="215" t="n"/>
      <c r="U37" s="823" t="n"/>
      <c r="V37" s="139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</row>
    <row r="38" ht="11.25" customHeight="1" s="26">
      <c r="A38" s="622" t="n"/>
      <c r="B38" s="551" t="inlineStr">
        <is>
          <t>Farm 1</t>
        </is>
      </c>
      <c r="C38" s="530" t="inlineStr">
        <is>
          <t>Ethan Salas</t>
        </is>
      </c>
      <c r="F38" s="426" t="n">
        <v>3</v>
      </c>
      <c r="G38" s="531" t="n">
        <v>2024</v>
      </c>
      <c r="I38" s="532" t="inlineStr">
        <is>
          <t>No</t>
        </is>
      </c>
      <c r="J38" s="552" t="n"/>
      <c r="K38" s="172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30" t="n"/>
      <c r="V38" s="622" t="n"/>
      <c r="W38" s="622" t="n"/>
      <c r="X38" s="622" t="n"/>
      <c r="Y38" s="622" t="n"/>
      <c r="Z38" s="622" t="n"/>
      <c r="AA38" s="125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</row>
    <row r="39" ht="11.25" customHeight="1" s="26">
      <c r="A39" s="622" t="n"/>
      <c r="B39" s="231" t="inlineStr">
        <is>
          <t>Farm 2</t>
        </is>
      </c>
      <c r="C39" s="530" t="inlineStr">
        <is>
          <t>Carson Williams</t>
        </is>
      </c>
      <c r="F39" s="426" t="n">
        <v>4</v>
      </c>
      <c r="G39" s="531" t="n">
        <v>2024</v>
      </c>
      <c r="I39" s="532" t="inlineStr">
        <is>
          <t>Yes</t>
        </is>
      </c>
      <c r="J39" s="552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443" t="inlineStr">
        <is>
          <t>Nick Kurtz</t>
        </is>
      </c>
      <c r="F40" s="367" t="n">
        <v>4</v>
      </c>
      <c r="G40" s="385" t="n">
        <v>2024</v>
      </c>
      <c r="I40" s="386" t="inlineStr">
        <is>
          <t>Yes</t>
        </is>
      </c>
      <c r="J40" s="552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139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231" t="inlineStr">
        <is>
          <t>Farm 4</t>
        </is>
      </c>
      <c r="C41" s="530" t="inlineStr">
        <is>
          <t>Coby Mayo</t>
        </is>
      </c>
      <c r="F41" s="244" t="n">
        <v>7</v>
      </c>
      <c r="G41" s="351" t="n">
        <v>2022</v>
      </c>
      <c r="I41" s="352" t="inlineStr">
        <is>
          <t>Yes</t>
        </is>
      </c>
      <c r="J41" s="552" t="n"/>
      <c r="K41" s="172" t="n"/>
      <c r="L41" s="29" t="n"/>
      <c r="M41" s="172" t="n"/>
      <c r="N41" s="622" t="n"/>
      <c r="O41" s="685" t="n"/>
      <c r="P41" s="622" t="n"/>
      <c r="Q41" s="424" t="n"/>
      <c r="R41" s="425" t="n"/>
      <c r="S41" s="248" t="n"/>
      <c r="T41" s="215" t="n"/>
      <c r="U41" s="250" t="n"/>
      <c r="V41" s="622" t="n"/>
      <c r="W41" s="251" t="n"/>
      <c r="X41" s="622" t="n"/>
      <c r="Y41" s="141" t="n"/>
      <c r="Z41" s="622" t="n"/>
      <c r="AA41" s="153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231" t="inlineStr">
        <is>
          <t>Farm 5</t>
        </is>
      </c>
      <c r="C42" s="443" t="inlineStr">
        <is>
          <t>Miguel Bleis</t>
        </is>
      </c>
      <c r="F42" s="367" t="n">
        <v>4</v>
      </c>
      <c r="G42" s="385" t="n">
        <v>2023</v>
      </c>
      <c r="I42" s="386" t="inlineStr">
        <is>
          <t>No</t>
        </is>
      </c>
      <c r="J42" s="552" t="n"/>
      <c r="K42" s="172" t="n"/>
      <c r="L42" s="29" t="n"/>
      <c r="M42" s="824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862" t="inlineStr">
        <is>
          <t>Sebastian Walcott</t>
        </is>
      </c>
      <c r="E43" s="619" t="n"/>
      <c r="F43" s="388" t="n">
        <v>2</v>
      </c>
      <c r="G43" s="417" t="n">
        <v>2025</v>
      </c>
      <c r="I43" s="419" t="inlineStr">
        <is>
          <t>No</t>
        </is>
      </c>
      <c r="J43" s="552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862" t="inlineStr">
        <is>
          <t>Colson Montgomery</t>
        </is>
      </c>
      <c r="E44" s="619" t="n"/>
      <c r="F44" s="388" t="n">
        <v>5</v>
      </c>
      <c r="G44" s="417" t="n">
        <v>2023</v>
      </c>
      <c r="I44" s="419" t="inlineStr">
        <is>
          <t>Yes</t>
        </is>
      </c>
      <c r="J44" s="552" t="n"/>
      <c r="K44" s="172" t="n"/>
      <c r="L44" s="29" t="n"/>
      <c r="M44" s="172" t="n"/>
      <c r="N44" s="622" t="n"/>
      <c r="O44" s="622" t="n"/>
      <c r="P44" s="622" t="n"/>
      <c r="Q44" s="266" t="n"/>
      <c r="R44" s="266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70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</row>
    <row r="45" ht="11.25" customHeight="1" s="26">
      <c r="A45" s="622" t="n"/>
      <c r="B45" s="329" t="inlineStr">
        <is>
          <t>Farm 8</t>
        </is>
      </c>
      <c r="C45" s="443" t="inlineStr">
        <is>
          <t>Kahlil Watson</t>
        </is>
      </c>
      <c r="F45" s="367" t="n">
        <v>5</v>
      </c>
      <c r="G45" s="385" t="n">
        <v>2022</v>
      </c>
      <c r="I45" s="553" t="inlineStr">
        <is>
          <t>No</t>
        </is>
      </c>
      <c r="J45" s="552" t="n"/>
      <c r="K45" s="172" t="n"/>
      <c r="L45" s="29" t="n"/>
      <c r="M45" s="824" t="inlineStr">
        <is>
          <t>14th player contract --&gt;&gt;</t>
        </is>
      </c>
      <c r="N45" s="71" t="n"/>
      <c r="O45" s="695" t="n"/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443" t="inlineStr">
        <is>
          <t>Orelvis Martinez</t>
        </is>
      </c>
      <c r="F46" s="367" t="n">
        <v>8</v>
      </c>
      <c r="G46" s="385" t="n">
        <v>2021</v>
      </c>
      <c r="I46" s="386" t="inlineStr">
        <is>
          <t>Yes</t>
        </is>
      </c>
      <c r="J46" s="552" t="n"/>
      <c r="K46" s="17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443" t="inlineStr">
        <is>
          <t>Jarlin Susana</t>
        </is>
      </c>
      <c r="F47" s="367" t="n">
        <v>2</v>
      </c>
      <c r="G47" s="385" t="n">
        <v>2025</v>
      </c>
      <c r="I47" s="386" t="inlineStr">
        <is>
          <t>No</t>
        </is>
      </c>
      <c r="J47" s="446" t="n"/>
      <c r="K47" s="17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528" t="inlineStr">
        <is>
          <t>Roki Sasaki</t>
        </is>
      </c>
      <c r="F48" s="388" t="n">
        <v>4</v>
      </c>
      <c r="G48" s="417" t="n">
        <v>2024</v>
      </c>
      <c r="I48" s="554" t="inlineStr">
        <is>
          <t>Yes</t>
        </is>
      </c>
      <c r="J48" s="446" t="n"/>
      <c r="K48" s="172" t="n"/>
      <c r="L48" s="29" t="n"/>
      <c r="M48" s="824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</row>
    <row r="49" ht="11.25" customHeight="1" s="26">
      <c r="A49" s="622" t="n"/>
      <c r="B49" s="231" t="inlineStr">
        <is>
          <t>Farm 12</t>
        </is>
      </c>
      <c r="C49" s="443" t="inlineStr">
        <is>
          <t>Jaison Chourio</t>
        </is>
      </c>
      <c r="F49" s="367" t="n">
        <v>2</v>
      </c>
      <c r="G49" s="385" t="n">
        <v>2025</v>
      </c>
      <c r="I49" s="386" t="inlineStr">
        <is>
          <t>No</t>
        </is>
      </c>
      <c r="J49" s="446" t="n"/>
      <c r="K49" s="407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</row>
    <row r="50" ht="11.25" customHeight="1" s="26">
      <c r="A50" s="622" t="n"/>
      <c r="B50" s="231" t="inlineStr">
        <is>
          <t>Farm 13</t>
        </is>
      </c>
      <c r="C50" s="550" t="n"/>
      <c r="F50" s="367" t="n"/>
      <c r="G50" s="385" t="n"/>
      <c r="I50" s="386" t="n"/>
      <c r="J50" s="446" t="n"/>
      <c r="K50" s="407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</row>
    <row r="51" ht="11.25" customHeight="1" s="26">
      <c r="A51" s="622" t="n"/>
      <c r="B51" s="231" t="inlineStr">
        <is>
          <t>Farm 14</t>
        </is>
      </c>
      <c r="C51" s="550" t="n"/>
      <c r="F51" s="367" t="n"/>
      <c r="G51" s="385" t="n"/>
      <c r="I51" s="386" t="n"/>
      <c r="J51" s="446" t="n"/>
      <c r="K51" s="407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877" t="n"/>
      <c r="E52" s="619" t="n"/>
      <c r="F52" s="426" t="n"/>
      <c r="G52" s="531" t="n"/>
      <c r="I52" s="683" t="n"/>
      <c r="J52" s="557" t="n"/>
      <c r="K52" s="17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550" t="n"/>
      <c r="F53" s="367" t="n"/>
      <c r="G53" s="385" t="n"/>
      <c r="I53" s="386" t="n"/>
      <c r="J53" s="558" t="n"/>
      <c r="K53" s="17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</row>
    <row r="54" ht="11.25" customHeight="1" s="26">
      <c r="A54" s="622" t="n"/>
      <c r="B54" s="231" t="inlineStr">
        <is>
          <t>Farm 17</t>
        </is>
      </c>
      <c r="C54" s="550" t="n"/>
      <c r="F54" s="367" t="n"/>
      <c r="G54" s="385" t="n"/>
      <c r="I54" s="386" t="n"/>
      <c r="J54" s="558" t="n"/>
      <c r="K54" s="17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</row>
    <row r="55" ht="11.25" customHeight="1" s="26">
      <c r="A55" s="622" t="n"/>
      <c r="B55" s="231" t="inlineStr">
        <is>
          <t>Farm 18</t>
        </is>
      </c>
      <c r="C55" s="550" t="n"/>
      <c r="F55" s="367" t="n"/>
      <c r="G55" s="385" t="n"/>
      <c r="I55" s="386" t="n"/>
      <c r="J55" s="558" t="n"/>
      <c r="K55" s="407" t="n"/>
      <c r="L55" s="29" t="n"/>
      <c r="M55" s="830" t="inlineStr">
        <is>
          <t>1st dropped contract</t>
        </is>
      </c>
      <c r="N55" s="321" t="n"/>
      <c r="O55" s="527" t="n"/>
      <c r="P55" s="523" t="n"/>
      <c r="Q55" s="186" t="n"/>
      <c r="R55" s="75" t="n"/>
      <c r="S55" s="188" t="n"/>
      <c r="T55" s="77" t="n"/>
      <c r="U55" s="803" t="n"/>
      <c r="V55" s="491" t="n"/>
      <c r="W55" s="835">
        <f>Y55-$B$1</f>
        <v/>
      </c>
      <c r="X55" s="323" t="n"/>
      <c r="Y55" s="334">
        <f>S55+U55</f>
        <v/>
      </c>
      <c r="Z55" s="335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</row>
    <row r="56" ht="11.25" customHeight="1" s="26">
      <c r="A56" s="622" t="n"/>
      <c r="B56" s="231" t="inlineStr">
        <is>
          <t>Farm 19</t>
        </is>
      </c>
      <c r="C56" s="550" t="n"/>
      <c r="F56" s="367" t="n"/>
      <c r="G56" s="385" t="n"/>
      <c r="I56" s="386" t="n"/>
      <c r="J56" s="446" t="n"/>
      <c r="K56" s="407" t="n"/>
      <c r="L56" s="29" t="n"/>
      <c r="M56" s="702" t="n"/>
      <c r="N56" s="337" t="n"/>
      <c r="P56" s="523" t="n"/>
      <c r="R56" s="75" t="n"/>
      <c r="T56" s="77" t="n"/>
      <c r="U56" s="771" t="n"/>
      <c r="V56" s="493" t="n"/>
      <c r="W56" s="779" t="n"/>
      <c r="X56" s="339" t="n"/>
      <c r="Z56" s="342" t="n"/>
      <c r="AA56" s="619" t="n"/>
      <c r="AB56" s="62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407" t="n"/>
      <c r="L57" s="622" t="n"/>
      <c r="M57" s="344" t="inlineStr">
        <is>
          <t>Year Dropped</t>
        </is>
      </c>
      <c r="N57" s="768" t="n"/>
      <c r="O57" s="363" t="n"/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479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831" t="n"/>
      <c r="P62" s="323" t="n"/>
      <c r="Q62" s="832" t="n">
        <v>0</v>
      </c>
      <c r="R62" s="325" t="n"/>
      <c r="S62" s="833" t="n"/>
      <c r="T62" s="327" t="n"/>
      <c r="U62" s="834" t="n"/>
      <c r="V62" s="323" t="n"/>
      <c r="W62" s="835">
        <f>Y62-$B$1</f>
        <v/>
      </c>
      <c r="X62" s="323" t="n"/>
      <c r="Y62" s="836">
        <f>S62+U62</f>
        <v/>
      </c>
      <c r="Z62" s="335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O63" s="779" t="n"/>
      <c r="P63" s="339" t="n"/>
      <c r="Q63" s="779" t="n"/>
      <c r="R63" s="340" t="n"/>
      <c r="S63" s="779" t="n"/>
      <c r="T63" s="341" t="n"/>
      <c r="U63" s="779" t="n"/>
      <c r="V63" s="339" t="n"/>
      <c r="W63" s="779" t="n"/>
      <c r="X63" s="339" t="n"/>
      <c r="Y63" s="779" t="n"/>
      <c r="Z63" s="342" t="n"/>
      <c r="AA63" s="619" t="n"/>
      <c r="AB63" s="622" t="n"/>
      <c r="AC63" s="49" t="n"/>
      <c r="AD63" s="48" t="n"/>
      <c r="AE63" s="604" t="n"/>
      <c r="AF63" s="50" t="n"/>
      <c r="AG63" s="49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/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H66" s="48" t="n"/>
      <c r="AI66" s="604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31" t="n"/>
      <c r="P69" s="323" t="n"/>
      <c r="Q69" s="832" t="n"/>
      <c r="R69" s="325" t="n"/>
      <c r="S69" s="833" t="n"/>
      <c r="T69" s="327" t="n"/>
      <c r="U69" s="834" t="n"/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F69" s="30" t="n"/>
      <c r="AJ69" s="30" t="n"/>
      <c r="AL69" s="48" t="n"/>
      <c r="AM69" s="604" t="n"/>
      <c r="AN69" s="50" t="n"/>
      <c r="AO69" s="49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R71" s="30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481" t="n"/>
      <c r="AN72" s="30" t="n"/>
      <c r="AR72" s="30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R73" s="30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50" t="n"/>
      <c r="AO74" s="49" t="n"/>
      <c r="AP74" s="48" t="n"/>
      <c r="AQ74" s="604" t="n"/>
      <c r="AR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604" t="n"/>
      <c r="AN75" s="50" t="n"/>
      <c r="AO75" s="49" t="n"/>
      <c r="AP75" s="48" t="n"/>
      <c r="AQ75" s="604" t="n"/>
      <c r="AR75" s="50" t="n"/>
      <c r="AS75" s="49" t="n"/>
      <c r="AT75" s="48" t="n"/>
      <c r="AU75" s="604" t="n"/>
    </row>
    <row r="76" ht="11.25" customHeight="1" s="26"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622" t="n"/>
      <c r="AF76" s="30" t="n"/>
      <c r="AJ76" s="30" t="n"/>
      <c r="AL76" s="48" t="n"/>
      <c r="AM76" s="604" t="n"/>
      <c r="AN76" s="50" t="n"/>
      <c r="AO76" s="49" t="n"/>
      <c r="AP76" s="48" t="n"/>
      <c r="AQ76" s="604" t="n"/>
      <c r="AR76" s="50" t="n"/>
      <c r="AS76" s="49" t="n"/>
      <c r="AT76" s="48" t="n"/>
      <c r="AU76" s="604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A77" s="619" t="n"/>
      <c r="AB77" s="62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R92" s="30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481" t="n"/>
      <c r="AN93" s="30" t="n"/>
      <c r="AR93" s="30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604" t="n"/>
      <c r="AN96" s="30" t="n"/>
      <c r="AR96" s="30" t="n"/>
    </row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0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M9:M10"/>
    <mergeCell ref="U69:U7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Q42:Q43"/>
    <mergeCell ref="W66:Y66"/>
    <mergeCell ref="S42:S43"/>
    <mergeCell ref="Y39:Y40"/>
    <mergeCell ref="M15:M16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F63:H63"/>
    <mergeCell ref="C62:E62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AA6:AA7"/>
    <mergeCell ref="Q55:Q56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Q69:Q70"/>
    <mergeCell ref="S9:S10"/>
    <mergeCell ref="K12:K13"/>
    <mergeCell ref="S69:S70"/>
    <mergeCell ref="G53:H53"/>
    <mergeCell ref="AA69:AA70"/>
    <mergeCell ref="Y6:Y7"/>
    <mergeCell ref="K14:K15"/>
    <mergeCell ref="Q66:S66"/>
    <mergeCell ref="M42:M43"/>
    <mergeCell ref="AA64:AA65"/>
    <mergeCell ref="O42:O43"/>
    <mergeCell ref="U39:U40"/>
    <mergeCell ref="W39:W40"/>
    <mergeCell ref="O6:O7"/>
    <mergeCell ref="Q62:Q63"/>
    <mergeCell ref="W24:W25"/>
    <mergeCell ref="S62:S63"/>
    <mergeCell ref="Y24:Y25"/>
    <mergeCell ref="V78:Z79"/>
    <mergeCell ref="C44:E44"/>
    <mergeCell ref="M48:M49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Q33:Q34"/>
    <mergeCell ref="M69:M70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O48:O49"/>
    <mergeCell ref="Y48:Y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W36:W37 W39:W40 W42:W43 W45:W46 W48:W49">
    <cfRule type="cellIs" priority="1" operator="equal" dxfId="0">
      <formula>0</formula>
    </cfRule>
  </conditionalFormatting>
  <conditionalFormatting sqref="J39 J45 J57">
    <cfRule type="expression" priority="2" dxfId="1">
      <formula>ISNUMBER($F27)</formula>
    </cfRule>
  </conditionalFormatting>
  <conditionalFormatting sqref="J42 J49:J51 J55">
    <cfRule type="expression" priority="3" dxfId="1">
      <formula>ISNUMBER($F42)</formula>
    </cfRule>
  </conditionalFormatting>
  <conditionalFormatting sqref="J40 J56">
    <cfRule type="expression" priority="4" dxfId="1">
      <formula>ISNUMBER($F40)</formula>
    </cfRule>
  </conditionalFormatting>
  <conditionalFormatting sqref="J51">
    <cfRule type="expression" priority="5" dxfId="1">
      <formula>ISNUMBER($F51)</formula>
    </cfRule>
  </conditionalFormatting>
  <conditionalFormatting sqref="J54">
    <cfRule type="expression" priority="6" dxfId="1">
      <formula>ISNUMBER($F54)</formula>
    </cfRule>
  </conditionalFormatting>
  <conditionalFormatting sqref="J53">
    <cfRule type="expression" priority="7" dxfId="1">
      <formula>ISNUMBER($F53)</formula>
    </cfRule>
  </conditionalFormatting>
  <conditionalFormatting sqref="J52">
    <cfRule type="expression" priority="8" dxfId="1">
      <formula>ISNUMBER($F52)</formula>
    </cfRule>
  </conditionalFormatting>
  <conditionalFormatting sqref="J50">
    <cfRule type="expression" priority="9" dxfId="1">
      <formula>ISNUMBER($F50)</formula>
    </cfRule>
  </conditionalFormatting>
  <conditionalFormatting sqref="J49:J51">
    <cfRule type="expression" priority="10" dxfId="1">
      <formula>ISNUMBER($F45)</formula>
    </cfRule>
  </conditionalFormatting>
  <conditionalFormatting sqref="J48">
    <cfRule type="expression" priority="11" dxfId="1">
      <formula>ISNUMBER($F48)</formula>
    </cfRule>
  </conditionalFormatting>
  <conditionalFormatting sqref="J44 J47">
    <cfRule type="expression" priority="12" dxfId="1">
      <formula>ISNUMBER($F44)</formula>
    </cfRule>
  </conditionalFormatting>
  <conditionalFormatting sqref="J44">
    <cfRule type="expression" priority="13" dxfId="1">
      <formula>ISNUMBER($F44)</formula>
    </cfRule>
  </conditionalFormatting>
  <conditionalFormatting sqref="W6:W7">
    <cfRule type="cellIs" priority="14" operator="equal" dxfId="0">
      <formula>0</formula>
    </cfRule>
    <cfRule type="cellIs" priority="15" operator="equal" dxfId="0">
      <formula>"'0'"</formula>
    </cfRule>
  </conditionalFormatting>
  <conditionalFormatting sqref="W18:W19">
    <cfRule type="cellIs" priority="16" operator="equal" dxfId="0">
      <formula>0</formula>
    </cfRule>
    <cfRule type="cellIs" priority="17" operator="equal" dxfId="0">
      <formula>"'0'"</formula>
    </cfRule>
  </conditionalFormatting>
  <conditionalFormatting sqref="W21:W22">
    <cfRule type="cellIs" priority="18" operator="equal" dxfId="0">
      <formula>0</formula>
    </cfRule>
    <cfRule type="cellIs" priority="19" operator="equal" dxfId="0">
      <formula>"'0'"</formula>
    </cfRule>
  </conditionalFormatting>
  <conditionalFormatting sqref="W12:W13">
    <cfRule type="cellIs" priority="20" operator="equal" dxfId="0">
      <formula>0</formula>
    </cfRule>
    <cfRule type="cellIs" priority="21" operator="equal" dxfId="0">
      <formula>"'0'"</formula>
    </cfRule>
  </conditionalFormatting>
  <conditionalFormatting sqref="W9:W10">
    <cfRule type="cellIs" priority="22" operator="equal" dxfId="0">
      <formula>0</formula>
    </cfRule>
    <cfRule type="cellIs" priority="23" operator="equal" dxfId="0">
      <formula>"'0'"</formula>
    </cfRule>
    <cfRule type="cellIs" priority="24" operator="equal" dxfId="0">
      <formula>0</formula>
    </cfRule>
  </conditionalFormatting>
  <conditionalFormatting sqref="W15:W16">
    <cfRule type="cellIs" priority="25" operator="equal" dxfId="0">
      <formula>0</formula>
    </cfRule>
    <cfRule type="cellIs" priority="26" operator="equal" dxfId="0">
      <formula>"'0'"</formula>
    </cfRule>
  </conditionalFormatting>
  <conditionalFormatting sqref="W24:W25 W27:W28 W30:W31 W33:W34">
    <cfRule type="cellIs" priority="27" operator="equal" dxfId="0">
      <formula>0</formula>
    </cfRule>
  </conditionalFormatting>
  <conditionalFormatting sqref="J38:J52">
    <cfRule type="expression" priority="28" dxfId="1">
      <formula>ISNUMBER($F39)</formula>
    </cfRule>
  </conditionalFormatting>
  <conditionalFormatting sqref="J39">
    <cfRule type="expression" priority="29" dxfId="1">
      <formula>ISNUMBER($F39)</formula>
    </cfRule>
  </conditionalFormatting>
  <conditionalFormatting sqref="J40">
    <cfRule type="expression" priority="30" dxfId="1">
      <formula>ISNUMBER($F40)</formula>
    </cfRule>
  </conditionalFormatting>
  <conditionalFormatting sqref="J41">
    <cfRule type="expression" priority="31" dxfId="1">
      <formula>ISNUMBER($F41)</formula>
    </cfRule>
  </conditionalFormatting>
  <conditionalFormatting sqref="J42">
    <cfRule type="expression" priority="32" dxfId="1">
      <formula>ISNUMBER($F42)</formula>
    </cfRule>
  </conditionalFormatting>
  <conditionalFormatting sqref="J43">
    <cfRule type="expression" priority="33" dxfId="1">
      <formula>ISNUMBER($F43)</formula>
    </cfRule>
  </conditionalFormatting>
  <conditionalFormatting sqref="J43 J46">
    <cfRule type="expression" priority="34" dxfId="1">
      <formula>ISNUMBER($F43)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11" customWidth="1" style="26" min="2" max="2"/>
    <col width="12.14" customWidth="1" style="26" min="3" max="3"/>
    <col width="3.86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CONCATENATE("Evan Pasha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1B,CI</t>
        </is>
      </c>
      <c r="C3" s="38" t="n"/>
      <c r="D3" s="38" t="n"/>
      <c r="E3" s="38" t="n"/>
      <c r="F3" s="682" t="n"/>
      <c r="G3" s="598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</t>
        </is>
      </c>
      <c r="C4" s="38" t="n"/>
      <c r="D4" s="38" t="n"/>
      <c r="E4" s="38" t="n"/>
      <c r="F4" s="682" t="n"/>
      <c r="G4" s="600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2B,3B,CI,MI</t>
        </is>
      </c>
      <c r="C5" s="38" t="n"/>
      <c r="D5" s="38" t="n"/>
      <c r="E5" s="38" t="n"/>
      <c r="F5" s="682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2B,3B,SS,CI,MI,OF</t>
        </is>
      </c>
      <c r="C6" s="38" t="n"/>
      <c r="D6" s="38" t="n"/>
      <c r="E6" s="38" t="n"/>
      <c r="F6" s="682" t="n"/>
      <c r="G6" s="600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Gunnar Henderson</t>
        </is>
      </c>
      <c r="P6" s="616" t="n"/>
      <c r="Q6" s="186" t="n">
        <v>2</v>
      </c>
      <c r="R6" s="146" t="n"/>
      <c r="S6" s="188" t="n">
        <v>2022</v>
      </c>
      <c r="T6" s="79" t="n"/>
      <c r="U6" s="803" t="n">
        <v>5</v>
      </c>
      <c r="V6" s="79" t="n"/>
      <c r="W6" s="804">
        <f>Y6-$B$1</f>
        <v/>
      </c>
      <c r="X6" s="8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2B,MI</t>
        </is>
      </c>
      <c r="C7" s="38" t="n"/>
      <c r="D7" s="38" t="n"/>
      <c r="E7" s="38" t="n"/>
      <c r="F7" s="682" t="n"/>
      <c r="G7" s="601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79" t="n"/>
      <c r="W7" s="771" t="n"/>
      <c r="X7" s="8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2B,SS,MI,OF</t>
        </is>
      </c>
      <c r="C8" s="38" t="n"/>
      <c r="D8" s="38" t="n"/>
      <c r="E8" s="38" t="n"/>
      <c r="F8" s="682" t="n"/>
      <c r="G8" s="601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124" t="n"/>
      <c r="V8" s="616" t="n"/>
      <c r="W8" s="124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3B,CI</t>
        </is>
      </c>
      <c r="C9" s="38" t="n"/>
      <c r="D9" s="38" t="n"/>
      <c r="E9" s="38" t="n"/>
      <c r="F9" s="682" t="n"/>
      <c r="G9" s="601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Lawrence Butler</t>
        </is>
      </c>
      <c r="P9" s="523" t="n"/>
      <c r="Q9" s="606" t="n">
        <v>2</v>
      </c>
      <c r="R9" s="603" t="n"/>
      <c r="S9" s="188" t="n">
        <v>2024</v>
      </c>
      <c r="T9" s="77" t="n"/>
      <c r="U9" s="803" t="n">
        <v>3</v>
      </c>
      <c r="V9" s="79" t="n"/>
      <c r="W9" s="807">
        <f>Y9-$B$1</f>
        <v/>
      </c>
      <c r="X9" s="8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3B,CI</t>
        </is>
      </c>
      <c r="C10" s="38" t="n"/>
      <c r="D10" s="38" t="n"/>
      <c r="E10" s="38" t="n"/>
      <c r="F10" s="682" t="n"/>
      <c r="G10" s="601" t="n"/>
      <c r="H10" s="755" t="n"/>
      <c r="I10" s="759" t="n"/>
      <c r="J10" s="759" t="n"/>
      <c r="K10" s="793" t="n"/>
      <c r="L10" s="29" t="n"/>
      <c r="M10" s="702" t="n"/>
      <c r="N10" s="71" t="n"/>
      <c r="P10" s="523" t="n"/>
      <c r="R10" s="603" t="n"/>
      <c r="T10" s="77" t="n"/>
      <c r="U10" s="771" t="n"/>
      <c r="V10" s="79" t="n"/>
      <c r="W10" s="771" t="n"/>
      <c r="X10" s="8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C</t>
        </is>
      </c>
      <c r="C11" s="38" t="n"/>
      <c r="D11" s="38" t="n"/>
      <c r="E11" s="38" t="n"/>
      <c r="F11" s="682" t="n"/>
      <c r="G11" s="601" t="n"/>
      <c r="H11" s="136" t="n"/>
      <c r="I11" s="136" t="n"/>
      <c r="J11" s="136" t="n"/>
      <c r="K11" s="137" t="n"/>
      <c r="L11" s="29" t="n"/>
      <c r="M11" s="119" t="n"/>
      <c r="N11" s="71" t="n"/>
      <c r="O11" s="523" t="n"/>
      <c r="P11" s="523" t="n"/>
      <c r="Q11" s="75" t="n"/>
      <c r="R11" s="75" t="n"/>
      <c r="S11" s="523" t="n"/>
      <c r="T11" s="523" t="n"/>
      <c r="U11" s="121" t="n"/>
      <c r="V11" s="616" t="n"/>
      <c r="W11" s="124" t="n"/>
      <c r="X11" s="622" t="n"/>
      <c r="Y11" s="141" t="n"/>
      <c r="Z11" s="622" t="n"/>
      <c r="AA11" s="164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C,1B,CI</t>
        </is>
      </c>
      <c r="C12" s="38" t="n"/>
      <c r="D12" s="38" t="n"/>
      <c r="E12" s="38" t="n"/>
      <c r="F12" s="682" t="n"/>
      <c r="G12" s="601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Mason Miller</t>
        </is>
      </c>
      <c r="P12" s="523" t="n"/>
      <c r="Q12" s="606" t="n">
        <v>5</v>
      </c>
      <c r="R12" s="603" t="n"/>
      <c r="S12" s="188" t="n">
        <v>2024</v>
      </c>
      <c r="T12" s="77" t="n"/>
      <c r="U12" s="803" t="n">
        <v>2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OF</t>
        </is>
      </c>
      <c r="C13" s="38" t="n"/>
      <c r="D13" s="38" t="n"/>
      <c r="E13" s="38" t="n"/>
      <c r="F13" s="682" t="n"/>
      <c r="G13" s="601" t="n"/>
      <c r="H13" s="702" t="n"/>
      <c r="K13" s="619" t="n"/>
      <c r="L13" s="29" t="n"/>
      <c r="M13" s="702" t="n"/>
      <c r="N13" s="71" t="n"/>
      <c r="P13" s="523" t="n"/>
      <c r="R13" s="603" t="n"/>
      <c r="T13" s="77" t="n"/>
      <c r="U13" s="771" t="n"/>
      <c r="V13" s="79" t="n"/>
      <c r="W13" s="771" t="n"/>
      <c r="X13" s="8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F14" s="682" t="n"/>
      <c r="G14" s="601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124" t="n"/>
      <c r="V14" s="616" t="n"/>
      <c r="W14" s="124" t="n"/>
      <c r="X14" s="622" t="n"/>
      <c r="Y14" s="141" t="n"/>
      <c r="Z14" s="622" t="n"/>
      <c r="AA14" s="164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F15" s="682" t="n"/>
      <c r="G15" s="601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Jordan Westburg</t>
        </is>
      </c>
      <c r="P15" s="523" t="n"/>
      <c r="Q15" s="606" t="n">
        <v>6</v>
      </c>
      <c r="R15" s="603" t="n"/>
      <c r="S15" s="188" t="n">
        <v>2024</v>
      </c>
      <c r="T15" s="77" t="n"/>
      <c r="U15" s="803" t="n">
        <v>3</v>
      </c>
      <c r="V15" s="79" t="n"/>
      <c r="W15" s="807">
        <f>Y15-$B$1</f>
        <v/>
      </c>
      <c r="X15" s="82" t="n"/>
      <c r="Y15" s="86">
        <f>S15+U15</f>
        <v/>
      </c>
      <c r="Z15" s="622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F16" s="682" t="n"/>
      <c r="G16" s="601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523" t="n"/>
      <c r="R16" s="603" t="n"/>
      <c r="T16" s="77" t="n"/>
      <c r="U16" s="771" t="n"/>
      <c r="V16" s="79" t="n"/>
      <c r="W16" s="771" t="n"/>
      <c r="X16" s="82" t="n"/>
      <c r="Z16" s="622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F17" s="682" t="n"/>
      <c r="G17" s="601" t="n"/>
      <c r="H17" s="702" t="n"/>
      <c r="K17" s="619" t="n"/>
      <c r="L17" s="29" t="n"/>
      <c r="M17" s="119" t="n"/>
      <c r="N17" s="71" t="n"/>
      <c r="O17" s="616" t="n"/>
      <c r="P17" s="616" t="n"/>
      <c r="Q17" s="146" t="n"/>
      <c r="R17" s="146" t="n"/>
      <c r="S17" s="616" t="n"/>
      <c r="T17" s="616" t="n"/>
      <c r="U17" s="124" t="n"/>
      <c r="V17" s="616" t="n"/>
      <c r="W17" s="124" t="n"/>
      <c r="X17" s="139" t="n"/>
      <c r="Y17" s="141" t="n"/>
      <c r="Z17" s="71" t="n"/>
      <c r="AA17" s="125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38" t="n"/>
      <c r="D18" s="38" t="n"/>
      <c r="E18" s="38" t="n"/>
      <c r="F18" s="682" t="n"/>
      <c r="G18" s="601" t="n"/>
      <c r="H18" s="162">
        <f>CONCATENATE($B$1+1," Auction Budget acquired by trade (Offseason Only)")</f>
        <v/>
      </c>
      <c r="K18" s="809">
        <f>'Draft budget calc'!E9</f>
        <v/>
      </c>
      <c r="L18" s="29" t="n"/>
      <c r="M18" s="802" t="inlineStr">
        <is>
          <t>5th player contract --&gt;&gt;</t>
        </is>
      </c>
      <c r="N18" s="71" t="n"/>
      <c r="O18" s="184" t="inlineStr">
        <is>
          <t>Josh Lowe</t>
        </is>
      </c>
      <c r="P18" s="616" t="n"/>
      <c r="Q18" s="186" t="n">
        <v>5</v>
      </c>
      <c r="R18" s="146" t="n"/>
      <c r="S18" s="188" t="n">
        <v>2023</v>
      </c>
      <c r="T18" s="79" t="n"/>
      <c r="U18" s="803" t="n">
        <v>3</v>
      </c>
      <c r="V18" s="79" t="n"/>
      <c r="W18" s="807">
        <f>Y18-$B$1</f>
        <v/>
      </c>
      <c r="X18" s="8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P</t>
        </is>
      </c>
      <c r="C19" s="38" t="n"/>
      <c r="D19" s="38" t="n"/>
      <c r="E19" s="38" t="n"/>
      <c r="F19" s="682" t="n"/>
      <c r="G19" s="601" t="n"/>
      <c r="H19" s="702" t="n"/>
      <c r="K19" s="619" t="n"/>
      <c r="L19" s="29" t="n"/>
      <c r="M19" s="702" t="n"/>
      <c r="N19" s="71" t="n"/>
      <c r="P19" s="616" t="n"/>
      <c r="R19" s="146" t="n"/>
      <c r="T19" s="79" t="n"/>
      <c r="U19" s="771" t="n"/>
      <c r="V19" s="79" t="n"/>
      <c r="W19" s="771" t="n"/>
      <c r="X19" s="8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F20" s="682" t="n"/>
      <c r="G20" s="601" t="n"/>
      <c r="H20" s="702" t="n"/>
      <c r="K20" s="619" t="n"/>
      <c r="L20" s="29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124" t="n"/>
      <c r="V20" s="616" t="n"/>
      <c r="W20" s="124" t="n"/>
      <c r="X20" s="139" t="n"/>
      <c r="Y20" s="141" t="n"/>
      <c r="Z20" s="71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F21" s="682" t="n"/>
      <c r="G21" s="601" t="n"/>
      <c r="H21" s="171" t="inlineStr">
        <is>
          <t>Min. IP Penalties</t>
        </is>
      </c>
      <c r="K21" s="810" t="n"/>
      <c r="L21" s="29" t="n"/>
      <c r="M21" s="802" t="inlineStr">
        <is>
          <t>6th player contract --&gt;&gt;</t>
        </is>
      </c>
      <c r="N21" s="71" t="n"/>
      <c r="O21" s="184" t="inlineStr">
        <is>
          <t>Tarik Skubal</t>
        </is>
      </c>
      <c r="P21" s="616" t="n"/>
      <c r="Q21" s="186" t="n">
        <v>0</v>
      </c>
      <c r="R21" s="146" t="n"/>
      <c r="S21" s="188" t="n">
        <v>2023</v>
      </c>
      <c r="T21" s="79" t="n"/>
      <c r="U21" s="803" t="n">
        <v>3</v>
      </c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F22" s="682" t="n"/>
      <c r="G22" s="601" t="n"/>
      <c r="H22" s="702" t="n"/>
      <c r="K22" s="619" t="n"/>
      <c r="L22" s="29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605" t="n"/>
      <c r="D23" s="38" t="n"/>
      <c r="E23" s="38" t="n"/>
      <c r="F23" s="682" t="n"/>
      <c r="G23" s="601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616" t="n"/>
      <c r="P23" s="616" t="n"/>
      <c r="Q23" s="146" t="n"/>
      <c r="R23" s="146" t="n"/>
      <c r="S23" s="616" t="n"/>
      <c r="T23" s="616" t="n"/>
      <c r="U23" s="124" t="n"/>
      <c r="V23" s="616" t="n"/>
      <c r="W23" s="124" t="n"/>
      <c r="X23" s="139" t="n"/>
      <c r="Y23" s="522" t="n"/>
      <c r="Z23" s="71" t="n"/>
      <c r="AA23" s="143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605" t="n"/>
      <c r="D24" s="38" t="n"/>
      <c r="E24" s="38" t="n"/>
      <c r="F24" s="682" t="n"/>
      <c r="G24" s="601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184" t="inlineStr">
        <is>
          <t>Jackson Holiday</t>
        </is>
      </c>
      <c r="P24" s="523" t="n"/>
      <c r="Q24" s="606" t="n">
        <v>2</v>
      </c>
      <c r="R24" s="603" t="n"/>
      <c r="S24" s="188" t="n">
        <v>2024</v>
      </c>
      <c r="T24" s="77" t="n"/>
      <c r="U24" s="803" t="n">
        <v>4</v>
      </c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605" t="n"/>
      <c r="D25" s="38" t="n"/>
      <c r="E25" s="38" t="n"/>
      <c r="F25" s="682" t="n"/>
      <c r="G25" s="601" t="n"/>
      <c r="H25" s="755" t="n"/>
      <c r="I25" s="759" t="n"/>
      <c r="J25" s="759" t="n"/>
      <c r="K25" s="793" t="n"/>
      <c r="L25" s="29" t="n"/>
      <c r="M25" s="702" t="n"/>
      <c r="N25" s="71" t="n"/>
      <c r="P25" s="523" t="n"/>
      <c r="R25" s="603" t="n"/>
      <c r="T25" s="77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605" t="n"/>
      <c r="D26" s="38" t="n"/>
      <c r="E26" s="38" t="n"/>
      <c r="F26" s="682" t="n"/>
      <c r="G26" s="601" t="n"/>
      <c r="H26" s="622" t="n"/>
      <c r="I26" s="622" t="n"/>
      <c r="J26" s="622" t="n"/>
      <c r="K26" s="622" t="n"/>
      <c r="L26" s="29" t="n"/>
      <c r="M26" s="172" t="n"/>
      <c r="N26" s="622" t="n"/>
      <c r="O26" s="523" t="n"/>
      <c r="P26" s="523" t="n"/>
      <c r="Q26" s="523" t="n"/>
      <c r="R26" s="523" t="n"/>
      <c r="S26" s="523" t="n"/>
      <c r="T26" s="523" t="n"/>
      <c r="U26" s="121" t="n"/>
      <c r="V26" s="616" t="n"/>
      <c r="W26" s="124" t="n"/>
      <c r="X26" s="139" t="n"/>
      <c r="Y26" s="141" t="n"/>
      <c r="Z26" s="622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605" t="n"/>
      <c r="D27" s="38" t="n"/>
      <c r="E27" s="38" t="n"/>
      <c r="F27" s="682" t="n"/>
      <c r="G27" s="601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184" t="inlineStr">
        <is>
          <t>Jared Jones</t>
        </is>
      </c>
      <c r="P27" s="523" t="n"/>
      <c r="Q27" s="606" t="n">
        <v>0</v>
      </c>
      <c r="R27" s="603" t="n"/>
      <c r="S27" s="188" t="n">
        <v>2024</v>
      </c>
      <c r="T27" s="77" t="n"/>
      <c r="U27" s="803" t="n">
        <v>2</v>
      </c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605" t="n"/>
      <c r="D28" s="38" t="n"/>
      <c r="E28" s="38" t="n"/>
      <c r="F28" s="682" t="n"/>
      <c r="G28" s="601" t="n"/>
      <c r="H28" s="702" t="n"/>
      <c r="K28" s="619" t="n"/>
      <c r="L28" s="29" t="n"/>
      <c r="M28" s="702" t="n"/>
      <c r="N28" s="622" t="n"/>
      <c r="P28" s="523" t="n"/>
      <c r="R28" s="603" t="n"/>
      <c r="T28" s="77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605" t="n"/>
      <c r="D29" s="38" t="n"/>
      <c r="E29" s="38" t="n"/>
      <c r="F29" s="682" t="n"/>
      <c r="G29" s="601" t="n"/>
      <c r="H29" s="702" t="n"/>
      <c r="K29" s="619" t="n"/>
      <c r="L29" s="29" t="n"/>
      <c r="M29" s="172" t="n"/>
      <c r="N29" s="622" t="n"/>
      <c r="O29" s="523" t="n"/>
      <c r="P29" s="523" t="n"/>
      <c r="Q29" s="523" t="n"/>
      <c r="R29" s="523" t="n"/>
      <c r="S29" s="523" t="n"/>
      <c r="T29" s="523" t="n"/>
      <c r="U29" s="121" t="n"/>
      <c r="V29" s="616" t="n"/>
      <c r="W29" s="124" t="n"/>
      <c r="X29" s="139" t="n"/>
      <c r="Y29" s="141" t="n"/>
      <c r="Z29" s="622" t="n"/>
      <c r="AA29" s="164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605" t="n"/>
      <c r="D30" s="38" t="n"/>
      <c r="E30" s="38" t="n"/>
      <c r="F30" s="682" t="n"/>
      <c r="G30" s="601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527" t="n"/>
      <c r="P30" s="523" t="n"/>
      <c r="Q30" s="606" t="n"/>
      <c r="R30" s="603" t="n"/>
      <c r="S30" s="188" t="n"/>
      <c r="T30" s="77" t="n"/>
      <c r="U30" s="803" t="n"/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605" t="n"/>
      <c r="D31" s="38" t="n"/>
      <c r="E31" s="38" t="n"/>
      <c r="F31" s="682" t="n"/>
      <c r="G31" s="218" t="n"/>
      <c r="H31" s="54" t="inlineStr">
        <is>
          <t>Roster Key</t>
        </is>
      </c>
      <c r="L31" s="29" t="n"/>
      <c r="M31" s="702" t="n"/>
      <c r="N31" s="71" t="n"/>
      <c r="P31" s="523" t="n"/>
      <c r="R31" s="603" t="n"/>
      <c r="T31" s="77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605" t="n"/>
      <c r="D32" s="38" t="n"/>
      <c r="E32" s="38" t="n"/>
      <c r="G32" s="218" t="n"/>
      <c r="L32" s="29" t="n"/>
      <c r="M32" s="172" t="n"/>
      <c r="N32" s="622" t="n"/>
      <c r="O32" s="523" t="n"/>
      <c r="P32" s="523" t="n"/>
      <c r="Q32" s="603" t="n"/>
      <c r="R32" s="603" t="n"/>
      <c r="S32" s="523" t="n"/>
      <c r="T32" s="523" t="n"/>
      <c r="U32" s="121" t="n"/>
      <c r="V32" s="616" t="n"/>
      <c r="W32" s="124" t="n"/>
      <c r="X32" s="139" t="n"/>
      <c r="Y32" s="141" t="n"/>
      <c r="Z32" s="622" t="n"/>
      <c r="AA32" s="143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P</t>
        </is>
      </c>
      <c r="C33" s="605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523" t="n"/>
      <c r="Q33" s="606" t="n"/>
      <c r="R33" s="603" t="n"/>
      <c r="S33" s="188" t="n"/>
      <c r="T33" s="77" t="n"/>
      <c r="U33" s="803" t="n"/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P</t>
        </is>
      </c>
      <c r="C34" s="605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523" t="n"/>
      <c r="R34" s="603" t="n"/>
      <c r="T34" s="77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38" t="inlineStr">
        <is>
          <t>P</t>
        </is>
      </c>
      <c r="C35" s="605" t="n"/>
      <c r="D35" s="38" t="n"/>
      <c r="E35" s="38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526" t="n"/>
      <c r="V35" s="622" t="n"/>
      <c r="W35" s="208" t="n"/>
      <c r="X35" s="622" t="n"/>
      <c r="Y35" s="622" t="n"/>
      <c r="Z35" s="622" t="n"/>
      <c r="AA35" s="164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1.25" customHeight="1" s="26">
      <c r="A36" s="622" t="n"/>
      <c r="B36" s="38" t="inlineStr">
        <is>
          <t>SS,MI</t>
        </is>
      </c>
      <c r="C36" s="605" t="n"/>
      <c r="D36" s="38" t="n"/>
      <c r="E36" s="38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609" t="n"/>
      <c r="P36" s="616" t="n"/>
      <c r="Q36" s="610" t="n"/>
      <c r="R36" s="146" t="n"/>
      <c r="S36" s="701" t="n"/>
      <c r="T36" s="79" t="n"/>
      <c r="U36" s="857" t="n"/>
      <c r="V36" s="127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</row>
    <row r="37" ht="11.25" customHeight="1" s="26">
      <c r="A37" s="622" t="n"/>
      <c r="B37" s="199" t="inlineStr">
        <is>
          <t>DL 5</t>
        </is>
      </c>
      <c r="C37" s="443" t="n"/>
      <c r="F37" s="613" t="n"/>
      <c r="G37" s="822" t="inlineStr">
        <is>
          <t>Drafted</t>
        </is>
      </c>
      <c r="I37" s="220" t="inlineStr">
        <is>
          <t>MLB</t>
        </is>
      </c>
      <c r="J37" s="759" t="n"/>
      <c r="K37" s="220" t="n"/>
      <c r="L37" s="29" t="n"/>
      <c r="M37" s="702" t="n"/>
      <c r="N37" s="71" t="n"/>
      <c r="P37" s="616" t="n"/>
      <c r="R37" s="146" t="n"/>
      <c r="T37" s="79" t="n"/>
      <c r="U37" s="771" t="n"/>
      <c r="V37" s="127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</row>
    <row r="38" ht="11.25" customHeight="1" s="26">
      <c r="A38" s="622" t="n"/>
      <c r="B38" s="222" t="inlineStr">
        <is>
          <t>Farm 1</t>
        </is>
      </c>
      <c r="C38" s="550" t="inlineStr">
        <is>
          <t>Jace Laviolette</t>
        </is>
      </c>
      <c r="F38" s="309" t="n">
        <v>2</v>
      </c>
      <c r="G38" s="405" t="n">
        <v>2025</v>
      </c>
      <c r="I38" s="445" t="inlineStr">
        <is>
          <t>No</t>
        </is>
      </c>
      <c r="J38" s="444" t="n"/>
      <c r="K38" s="172" t="n"/>
      <c r="L38" s="29" t="n"/>
      <c r="M38" s="172" t="n"/>
      <c r="N38" s="622" t="n"/>
      <c r="O38" s="423" t="n"/>
      <c r="P38" s="139" t="n"/>
      <c r="Q38" s="247" t="n"/>
      <c r="R38" s="67" t="n"/>
      <c r="S38" s="615" t="n"/>
      <c r="T38" s="71" t="n"/>
      <c r="U38" s="291" t="n"/>
      <c r="V38" s="139" t="n"/>
      <c r="W38" s="251" t="n"/>
      <c r="X38" s="139" t="n"/>
      <c r="Y38" s="522" t="n"/>
      <c r="Z38" s="71" t="n"/>
      <c r="AA38" s="143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</row>
    <row r="39" ht="11.25" customHeight="1" s="26">
      <c r="A39" s="622" t="n"/>
      <c r="B39" s="231" t="inlineStr">
        <is>
          <t>Farm 2</t>
        </is>
      </c>
      <c r="C39" s="443" t="inlineStr">
        <is>
          <t>Chase DeLauter</t>
        </is>
      </c>
      <c r="F39" s="309" t="n">
        <v>6</v>
      </c>
      <c r="G39" s="405" t="n">
        <v>2022</v>
      </c>
      <c r="I39" s="445" t="inlineStr">
        <is>
          <t>Yes</t>
        </is>
      </c>
      <c r="J39" s="444" t="n"/>
      <c r="K39" s="172" t="n"/>
      <c r="L39" s="29" t="n"/>
      <c r="M39" s="802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550" t="inlineStr">
        <is>
          <t>Chase Burns</t>
        </is>
      </c>
      <c r="F40" s="309" t="n">
        <v>3</v>
      </c>
      <c r="G40" s="405" t="n">
        <v>2025</v>
      </c>
      <c r="I40" s="445" t="inlineStr">
        <is>
          <t>Yes</t>
        </is>
      </c>
      <c r="J40" s="444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139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231" t="inlineStr">
        <is>
          <t>Farm 4</t>
        </is>
      </c>
      <c r="C41" s="550" t="inlineStr">
        <is>
          <t>Andruw Jones</t>
        </is>
      </c>
      <c r="F41" s="309" t="n">
        <v>5</v>
      </c>
      <c r="G41" s="405" t="n">
        <v>2022</v>
      </c>
      <c r="I41" s="617" t="inlineStr">
        <is>
          <t>No</t>
        </is>
      </c>
      <c r="J41" s="444" t="n"/>
      <c r="K41" s="172" t="n"/>
      <c r="L41" s="29" t="n"/>
      <c r="M41" s="172" t="n"/>
      <c r="N41" s="622" t="n"/>
      <c r="O41" s="685" t="n"/>
      <c r="P41" s="139" t="n"/>
      <c r="Q41" s="247" t="n"/>
      <c r="R41" s="67" t="n"/>
      <c r="S41" s="248" t="n"/>
      <c r="T41" s="215" t="n"/>
      <c r="U41" s="250" t="n"/>
      <c r="V41" s="139" t="n"/>
      <c r="W41" s="251" t="n"/>
      <c r="X41" s="139" t="n"/>
      <c r="Y41" s="141" t="n"/>
      <c r="Z41" s="622" t="n"/>
      <c r="AA41" s="143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231" t="inlineStr">
        <is>
          <t>Farm 5</t>
        </is>
      </c>
      <c r="C42" s="550" t="inlineStr">
        <is>
          <t>Elijah Green</t>
        </is>
      </c>
      <c r="F42" s="309" t="n">
        <v>5</v>
      </c>
      <c r="G42" s="405" t="n">
        <v>2022</v>
      </c>
      <c r="I42" s="445" t="inlineStr">
        <is>
          <t>No</t>
        </is>
      </c>
      <c r="J42" s="444" t="n"/>
      <c r="K42" s="172" t="n"/>
      <c r="L42" s="29" t="n"/>
      <c r="M42" s="802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443" t="inlineStr">
        <is>
          <t>Konnor Griffin</t>
        </is>
      </c>
      <c r="F43" s="309" t="n">
        <v>2</v>
      </c>
      <c r="G43" s="405" t="n">
        <v>2025</v>
      </c>
      <c r="I43" s="445" t="inlineStr">
        <is>
          <t>No</t>
        </is>
      </c>
      <c r="J43" s="444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443" t="inlineStr">
        <is>
          <t>JJ Wetherholt</t>
        </is>
      </c>
      <c r="F44" s="309" t="n">
        <v>3</v>
      </c>
      <c r="G44" s="405" t="n">
        <v>2024</v>
      </c>
      <c r="I44" s="445" t="inlineStr">
        <is>
          <t>No</t>
        </is>
      </c>
      <c r="J44" s="444" t="n"/>
      <c r="K44" s="172" t="n"/>
      <c r="L44" s="29" t="n"/>
      <c r="M44" s="172" t="n"/>
      <c r="N44" s="622" t="n"/>
      <c r="O44" s="423" t="n"/>
      <c r="P44" s="139" t="n"/>
      <c r="Q44" s="247" t="n"/>
      <c r="R44" s="67" t="n"/>
      <c r="S44" s="248" t="n"/>
      <c r="T44" s="215" t="n"/>
      <c r="U44" s="250" t="n"/>
      <c r="V44" s="139" t="n"/>
      <c r="W44" s="251" t="n"/>
      <c r="X44" s="139" t="n"/>
      <c r="Y44" s="141" t="n"/>
      <c r="Z44" s="622" t="n"/>
      <c r="AA44" s="16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</row>
    <row r="45" ht="11.25" customHeight="1" s="26">
      <c r="A45" s="622" t="n"/>
      <c r="B45" s="231" t="inlineStr">
        <is>
          <t>Farm 8</t>
        </is>
      </c>
      <c r="C45" s="443" t="n"/>
      <c r="F45" s="309" t="n"/>
      <c r="G45" s="405" t="n"/>
      <c r="I45" s="445" t="n"/>
      <c r="J45" s="618" t="n"/>
      <c r="K45" s="172" t="n"/>
      <c r="L45" s="29" t="n"/>
      <c r="M45" s="802" t="inlineStr">
        <is>
          <t>14th player contract --&gt;&gt;</t>
        </is>
      </c>
      <c r="N45" s="71" t="n"/>
      <c r="O45" s="695" t="n"/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550" t="n"/>
      <c r="F46" s="309" t="n"/>
      <c r="G46" s="405" t="n"/>
      <c r="I46" s="445" t="n"/>
      <c r="J46" s="618" t="n"/>
      <c r="K46" s="17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550" t="n"/>
      <c r="F47" s="309" t="n"/>
      <c r="G47" s="405" t="n"/>
      <c r="I47" s="445" t="n"/>
      <c r="J47" s="618" t="n"/>
      <c r="K47" s="172" t="n"/>
      <c r="L47" s="29" t="n"/>
      <c r="M47" s="172" t="n"/>
      <c r="N47" s="622" t="n"/>
      <c r="O47" s="685" t="n"/>
      <c r="P47" s="139" t="n"/>
      <c r="Q47" s="247" t="n"/>
      <c r="R47" s="67" t="n"/>
      <c r="S47" s="248" t="n"/>
      <c r="T47" s="215" t="n"/>
      <c r="U47" s="250" t="n"/>
      <c r="V47" s="139" t="n"/>
      <c r="W47" s="251" t="n"/>
      <c r="X47" s="139" t="n"/>
      <c r="Y47" s="141" t="n"/>
      <c r="Z47" s="622" t="n"/>
      <c r="AA47" s="143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443" t="n"/>
      <c r="F48" s="367" t="n"/>
      <c r="G48" s="405" t="n"/>
      <c r="I48" s="617" t="n"/>
      <c r="J48" s="619" t="n"/>
      <c r="K48" s="622" t="n"/>
      <c r="L48" s="29" t="n"/>
      <c r="M48" s="802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</row>
    <row r="49" ht="11.25" customHeight="1" s="26">
      <c r="A49" s="622" t="n"/>
      <c r="B49" s="231" t="inlineStr">
        <is>
          <t>Farm 12</t>
        </is>
      </c>
      <c r="C49" s="443" t="n"/>
      <c r="F49" s="367" t="n"/>
      <c r="G49" s="405" t="n"/>
      <c r="I49" s="617" t="n"/>
      <c r="J49" s="446" t="n"/>
      <c r="K49" s="407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</row>
    <row r="50" ht="11.25" customHeight="1" s="26">
      <c r="A50" s="622" t="n"/>
      <c r="B50" s="231" t="inlineStr">
        <is>
          <t>Farm 13</t>
        </is>
      </c>
      <c r="C50" s="443" t="n"/>
      <c r="F50" s="367" t="n"/>
      <c r="G50" s="405" t="n"/>
      <c r="I50" s="617" t="n"/>
      <c r="J50" s="446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</row>
    <row r="51" ht="11.25" customHeight="1" s="26">
      <c r="A51" s="622" t="n"/>
      <c r="B51" s="231" t="inlineStr">
        <is>
          <t>Farm 14</t>
        </is>
      </c>
      <c r="C51" s="443" t="n"/>
      <c r="F51" s="367" t="n"/>
      <c r="G51" s="405" t="n"/>
      <c r="I51" s="617" t="n"/>
      <c r="J51" s="446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443" t="n"/>
      <c r="F52" s="367" t="n"/>
      <c r="G52" s="405" t="n"/>
      <c r="I52" s="617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617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617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617" t="n"/>
      <c r="J55" s="454" t="n"/>
      <c r="K55" s="293" t="n"/>
      <c r="L55" s="29" t="n"/>
      <c r="M55" s="830" t="inlineStr">
        <is>
          <t>1st dropped contract</t>
        </is>
      </c>
      <c r="N55" s="321" t="n"/>
      <c r="O55" s="527" t="inlineStr">
        <is>
          <t>James Outman</t>
        </is>
      </c>
      <c r="P55" s="523" t="n"/>
      <c r="Q55" s="606" t="n">
        <v>1</v>
      </c>
      <c r="R55" s="603" t="n"/>
      <c r="S55" s="188" t="n">
        <v>2023</v>
      </c>
      <c r="T55" s="523" t="n"/>
      <c r="U55" s="865" t="n">
        <v>3</v>
      </c>
      <c r="V55" s="491" t="n"/>
      <c r="W55" s="821">
        <f>Y55-$B$1</f>
        <v/>
      </c>
      <c r="X55" s="622" t="n"/>
      <c r="Y55" s="86">
        <f>S55+U55</f>
        <v/>
      </c>
      <c r="Z55" s="622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617" t="n"/>
      <c r="J56" s="446" t="n"/>
      <c r="K56" s="293" t="n"/>
      <c r="L56" s="29" t="n"/>
      <c r="M56" s="702" t="n"/>
      <c r="N56" s="337" t="n"/>
      <c r="P56" s="523" t="n"/>
      <c r="R56" s="603" t="n"/>
      <c r="T56" s="523" t="n"/>
      <c r="U56" s="823" t="n"/>
      <c r="V56" s="493" t="n"/>
      <c r="W56" s="823" t="n"/>
      <c r="X56" s="622" t="n"/>
      <c r="Z56" s="622" t="n"/>
      <c r="AA56" s="619" t="n"/>
      <c r="AB56" s="62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831" t="n"/>
      <c r="P62" s="323" t="n"/>
      <c r="Q62" s="832" t="n"/>
      <c r="R62" s="325" t="n"/>
      <c r="S62" s="833" t="n"/>
      <c r="T62" s="327" t="n"/>
      <c r="U62" s="834" t="n"/>
      <c r="V62" s="323" t="n"/>
      <c r="W62" s="835">
        <f>Y62-$B$1</f>
        <v/>
      </c>
      <c r="X62" s="323" t="n"/>
      <c r="Y62" s="836">
        <f>S62+U62</f>
        <v/>
      </c>
      <c r="Z62" s="335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O63" s="779" t="n"/>
      <c r="P63" s="339" t="n"/>
      <c r="Q63" s="779" t="n"/>
      <c r="R63" s="340" t="n"/>
      <c r="S63" s="779" t="n"/>
      <c r="T63" s="341" t="n"/>
      <c r="U63" s="779" t="n"/>
      <c r="V63" s="339" t="n"/>
      <c r="W63" s="779" t="n"/>
      <c r="X63" s="339" t="n"/>
      <c r="Y63" s="779" t="n"/>
      <c r="Z63" s="342" t="n"/>
      <c r="AA63" s="619" t="n"/>
      <c r="AB63" s="622" t="n"/>
      <c r="AC63" s="49" t="n"/>
      <c r="AD63" s="48" t="n"/>
      <c r="AE63" s="604" t="n"/>
      <c r="AF63" s="50" t="n"/>
      <c r="AG63" s="49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/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H66" s="48" t="n"/>
      <c r="AI66" s="604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78" t="inlineStr">
        <is>
          <t>3rd dropped contract</t>
        </is>
      </c>
      <c r="N69" s="321" t="n"/>
      <c r="O69" s="831" t="n"/>
      <c r="P69" s="323" t="n"/>
      <c r="Q69" s="832" t="n"/>
      <c r="R69" s="325" t="n"/>
      <c r="S69" s="833" t="n"/>
      <c r="T69" s="327" t="n"/>
      <c r="U69" s="834" t="n"/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F69" s="30" t="n"/>
      <c r="AJ69" s="30" t="n"/>
      <c r="AL69" s="48" t="n"/>
      <c r="AM69" s="604" t="n"/>
      <c r="AN69" s="50" t="n"/>
      <c r="AO69" s="49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879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R71" s="30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481" t="n"/>
      <c r="AN72" s="30" t="n"/>
      <c r="AR72" s="30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R73" s="30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50" t="n"/>
      <c r="AO74" s="49" t="n"/>
      <c r="AP74" s="48" t="n"/>
      <c r="AQ74" s="604" t="n"/>
      <c r="AR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604" t="n"/>
      <c r="AN75" s="50" t="n"/>
      <c r="AO75" s="49" t="n"/>
      <c r="AP75" s="48" t="n"/>
      <c r="AQ75" s="604" t="n"/>
      <c r="AR75" s="50" t="n"/>
      <c r="AS75" s="49" t="n"/>
      <c r="AT75" s="48" t="n"/>
      <c r="AU75" s="604" t="n"/>
    </row>
    <row r="76" ht="11.25" customHeight="1" s="26">
      <c r="L76" s="622" t="n"/>
      <c r="M76" s="878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622" t="n"/>
      <c r="AF76" s="30" t="n"/>
      <c r="AJ76" s="30" t="n"/>
      <c r="AL76" s="48" t="n"/>
      <c r="AM76" s="604" t="n"/>
      <c r="AN76" s="50" t="n"/>
      <c r="AO76" s="49" t="n"/>
      <c r="AP76" s="48" t="n"/>
      <c r="AQ76" s="604" t="n"/>
      <c r="AR76" s="50" t="n"/>
      <c r="AS76" s="49" t="n"/>
      <c r="AT76" s="48" t="n"/>
      <c r="AU76" s="604" t="n"/>
    </row>
    <row r="77" ht="11.25" customHeight="1" s="26">
      <c r="L77" s="622" t="n"/>
      <c r="M77" s="879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A77" s="619" t="n"/>
      <c r="AB77" s="62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R92" s="30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481" t="n"/>
      <c r="AN93" s="30" t="n"/>
      <c r="AR93" s="30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604" t="n"/>
      <c r="AN96" s="30" t="n"/>
      <c r="AR96" s="30" t="n"/>
    </row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1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M9:M10"/>
    <mergeCell ref="U69:U7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Q42:Q43"/>
    <mergeCell ref="W66:Y66"/>
    <mergeCell ref="S42:S43"/>
    <mergeCell ref="Y39:Y40"/>
    <mergeCell ref="M15:M16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57:H57"/>
    <mergeCell ref="O76:O77"/>
    <mergeCell ref="I63:K63"/>
    <mergeCell ref="Q27:Q28"/>
    <mergeCell ref="S33:S34"/>
    <mergeCell ref="G58:H58"/>
    <mergeCell ref="U33:U34"/>
    <mergeCell ref="U78:U79"/>
    <mergeCell ref="Y42:Y43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S9:S10"/>
    <mergeCell ref="K12:K13"/>
    <mergeCell ref="Q69:Q70"/>
    <mergeCell ref="G53:H53"/>
    <mergeCell ref="S69:S70"/>
    <mergeCell ref="Y6:Y7"/>
    <mergeCell ref="K14:K15"/>
    <mergeCell ref="Q66:S66"/>
    <mergeCell ref="M42:M43"/>
    <mergeCell ref="AA64:AA65"/>
    <mergeCell ref="O42:O43"/>
    <mergeCell ref="U39:U40"/>
    <mergeCell ref="W39:W40"/>
    <mergeCell ref="O6:O7"/>
    <mergeCell ref="Q62:Q63"/>
    <mergeCell ref="W24:W25"/>
    <mergeCell ref="S62:S63"/>
    <mergeCell ref="Y24:Y25"/>
    <mergeCell ref="V78:Z79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Q33:Q34"/>
    <mergeCell ref="M69:M70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G4:G5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J45:J47">
    <cfRule type="expression" priority="1" dxfId="1">
      <formula>ISNUMBER($F45)</formula>
    </cfRule>
  </conditionalFormatting>
  <conditionalFormatting sqref="J43:J47">
    <cfRule type="expression" priority="2" dxfId="1">
      <formula>ISNUMBER(#REF!)</formula>
    </cfRule>
    <cfRule type="expression" priority="3" dxfId="1">
      <formula>ISNUMBER(#REF!)</formula>
    </cfRule>
  </conditionalFormatting>
  <conditionalFormatting sqref="J44 J46">
    <cfRule type="expression" priority="4" dxfId="1">
      <formula>ISNUMBER($F44)</formula>
    </cfRule>
  </conditionalFormatting>
  <conditionalFormatting sqref="J43">
    <cfRule type="expression" priority="5" dxfId="1">
      <formula>ISNUMBER($F43)</formula>
    </cfRule>
  </conditionalFormatting>
  <conditionalFormatting sqref="J39:J40 J42 J49">
    <cfRule type="expression" priority="6" dxfId="1">
      <formula>ISNUMBER($F29)</formula>
    </cfRule>
  </conditionalFormatting>
  <conditionalFormatting sqref="J50">
    <cfRule type="expression" priority="7" dxfId="1">
      <formula>ISNUMBER($F50)</formula>
    </cfRule>
  </conditionalFormatting>
  <conditionalFormatting sqref="J57">
    <cfRule type="expression" priority="8" dxfId="1">
      <formula>ISNUMBER($F57)</formula>
    </cfRule>
  </conditionalFormatting>
  <conditionalFormatting sqref="J56">
    <cfRule type="expression" priority="9" dxfId="1">
      <formula>ISNUMBER($F56)</formula>
    </cfRule>
  </conditionalFormatting>
  <conditionalFormatting sqref="J52">
    <cfRule type="expression" priority="10" dxfId="1">
      <formula>ISNUMBER($F52)</formula>
    </cfRule>
  </conditionalFormatting>
  <conditionalFormatting sqref="J51">
    <cfRule type="expression" priority="11" dxfId="1">
      <formula>ISNUMBER($F51)</formula>
    </cfRule>
  </conditionalFormatting>
  <conditionalFormatting sqref="J53">
    <cfRule type="expression" priority="12" dxfId="1">
      <formula>ISNUMBER($F53)</formula>
    </cfRule>
  </conditionalFormatting>
  <conditionalFormatting sqref="J54">
    <cfRule type="expression" priority="13" dxfId="1">
      <formula>ISNUMBER($F54)</formula>
    </cfRule>
  </conditionalFormatting>
  <conditionalFormatting sqref="W45:W46">
    <cfRule type="cellIs" priority="14" operator="equal" dxfId="0">
      <formula>0</formula>
    </cfRule>
  </conditionalFormatting>
  <conditionalFormatting sqref="W48:W49">
    <cfRule type="cellIs" priority="15" operator="equal" dxfId="0">
      <formula>0</formula>
    </cfRule>
  </conditionalFormatting>
  <conditionalFormatting sqref="W36:W37">
    <cfRule type="cellIs" priority="16" operator="equal" dxfId="0">
      <formula>0</formula>
    </cfRule>
  </conditionalFormatting>
  <conditionalFormatting sqref="W39:W40">
    <cfRule type="cellIs" priority="17" operator="equal" dxfId="0">
      <formula>0</formula>
    </cfRule>
  </conditionalFormatting>
  <conditionalFormatting sqref="W42:W43">
    <cfRule type="cellIs" priority="18" operator="equal" dxfId="0">
      <formula>0</formula>
    </cfRule>
  </conditionalFormatting>
  <conditionalFormatting sqref="W9:W10">
    <cfRule type="cellIs" priority="19" operator="equal" dxfId="0">
      <formula>0</formula>
    </cfRule>
  </conditionalFormatting>
  <conditionalFormatting sqref="W55:W56">
    <cfRule type="cellIs" priority="20" operator="equal" dxfId="0">
      <formula>0</formula>
    </cfRule>
  </conditionalFormatting>
  <conditionalFormatting sqref="W12:W13">
    <cfRule type="cellIs" priority="21" operator="equal" dxfId="0">
      <formula>0</formula>
    </cfRule>
  </conditionalFormatting>
  <conditionalFormatting sqref="W15:W16">
    <cfRule type="cellIs" priority="22" operator="equal" dxfId="0">
      <formula>0</formula>
    </cfRule>
  </conditionalFormatting>
  <conditionalFormatting sqref="W6:W7">
    <cfRule type="cellIs" priority="23" operator="equal" dxfId="0">
      <formula>0</formula>
    </cfRule>
  </conditionalFormatting>
  <conditionalFormatting sqref="W18:W19">
    <cfRule type="cellIs" priority="24" operator="equal" dxfId="0">
      <formula>0</formula>
    </cfRule>
  </conditionalFormatting>
  <conditionalFormatting sqref="W30:W31">
    <cfRule type="cellIs" priority="25" operator="equal" dxfId="0">
      <formula>0</formula>
    </cfRule>
  </conditionalFormatting>
  <conditionalFormatting sqref="W33:W34">
    <cfRule type="cellIs" priority="26" operator="equal" dxfId="0">
      <formula>0</formula>
    </cfRule>
  </conditionalFormatting>
  <conditionalFormatting sqref="W21:W22">
    <cfRule type="cellIs" priority="27" operator="equal" dxfId="0">
      <formula>0</formula>
    </cfRule>
  </conditionalFormatting>
  <conditionalFormatting sqref="W24:W25">
    <cfRule type="cellIs" priority="28" operator="equal" dxfId="0">
      <formula>0</formula>
    </cfRule>
  </conditionalFormatting>
  <conditionalFormatting sqref="W27:W28">
    <cfRule type="cellIs" priority="29" operator="equal" dxfId="0">
      <formula>0</formula>
    </cfRule>
  </conditionalFormatting>
  <conditionalFormatting sqref="J38:J44">
    <cfRule type="expression" priority="30" dxfId="1">
      <formula>ISNUMBER($F38)</formula>
    </cfRule>
  </conditionalFormatting>
  <conditionalFormatting sqref="J40">
    <cfRule type="expression" priority="31" dxfId="1">
      <formula>ISNUMBER(#REF!)</formula>
    </cfRule>
  </conditionalFormatting>
  <conditionalFormatting sqref="J39 J41">
    <cfRule type="expression" priority="32" dxfId="1">
      <formula>ISNUMBER($F39)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9.140000000000001" customWidth="1" style="26" min="2" max="2"/>
    <col width="12.14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CONCATENATE("John Mullen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1B,2B,CI,MI</t>
        </is>
      </c>
      <c r="C3" s="607" t="n"/>
      <c r="D3" s="38" t="n"/>
      <c r="E3" s="38" t="n"/>
      <c r="F3" s="682" t="n"/>
      <c r="G3" s="600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1B,3B,CI</t>
        </is>
      </c>
      <c r="C4" s="607" t="n"/>
      <c r="D4" s="38" t="n"/>
      <c r="E4" s="38" t="n"/>
      <c r="F4" s="682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</t>
        </is>
      </c>
      <c r="C5" s="607" t="n"/>
      <c r="D5" s="38" t="n"/>
      <c r="E5" s="38" t="n"/>
      <c r="F5" s="682" t="n"/>
      <c r="G5" s="600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1B,CI,OF</t>
        </is>
      </c>
      <c r="C6" s="607" t="n"/>
      <c r="D6" s="38" t="n"/>
      <c r="E6" s="38" t="n"/>
      <c r="F6" s="682" t="n"/>
      <c r="G6" s="601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Robbie Ray</t>
        </is>
      </c>
      <c r="P6" s="616" t="n"/>
      <c r="Q6" s="186" t="n">
        <v>1</v>
      </c>
      <c r="R6" s="146" t="n"/>
      <c r="S6" s="188" t="n">
        <v>2024</v>
      </c>
      <c r="T6" s="79" t="n"/>
      <c r="U6" s="803" t="n">
        <v>2</v>
      </c>
      <c r="V6" s="79" t="n"/>
      <c r="W6" s="804">
        <f>Y6-$B$1</f>
        <v/>
      </c>
      <c r="X6" s="8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2B,3B,SS,CI,MI</t>
        </is>
      </c>
      <c r="C7" s="608" t="n"/>
      <c r="D7" s="38" t="n"/>
      <c r="E7" s="38" t="n"/>
      <c r="F7" s="682" t="n"/>
      <c r="G7" s="601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79" t="n"/>
      <c r="W7" s="771" t="n"/>
      <c r="X7" s="8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2B,SS,MI</t>
        </is>
      </c>
      <c r="C8" s="607" t="n"/>
      <c r="D8" s="38" t="n"/>
      <c r="E8" s="38" t="n"/>
      <c r="F8" s="682" t="n"/>
      <c r="G8" s="601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124" t="n"/>
      <c r="V8" s="616" t="n"/>
      <c r="W8" s="124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C</t>
        </is>
      </c>
      <c r="C9" s="607" t="n"/>
      <c r="D9" s="38" t="n"/>
      <c r="E9" s="38" t="n"/>
      <c r="F9" s="682" t="n"/>
      <c r="G9" s="601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Spencer Arrighetti</t>
        </is>
      </c>
      <c r="P9" s="616" t="n"/>
      <c r="Q9" s="186" t="n">
        <v>0</v>
      </c>
      <c r="R9" s="146" t="n"/>
      <c r="S9" s="188" t="n">
        <v>2024</v>
      </c>
      <c r="T9" s="79" t="n"/>
      <c r="U9" s="803" t="n">
        <v>2</v>
      </c>
      <c r="V9" s="79" t="n"/>
      <c r="W9" s="807">
        <f>Y9-$B$1</f>
        <v/>
      </c>
      <c r="X9" s="8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C</t>
        </is>
      </c>
      <c r="C10" s="607" t="n"/>
      <c r="D10" s="38" t="n"/>
      <c r="E10" s="38" t="n"/>
      <c r="F10" s="682" t="n"/>
      <c r="G10" s="601" t="n"/>
      <c r="H10" s="755" t="n"/>
      <c r="I10" s="759" t="n"/>
      <c r="J10" s="759" t="n"/>
      <c r="K10" s="793" t="n"/>
      <c r="L10" s="29" t="n"/>
      <c r="M10" s="702" t="n"/>
      <c r="N10" s="71" t="n"/>
      <c r="P10" s="616" t="n"/>
      <c r="R10" s="146" t="n"/>
      <c r="T10" s="79" t="n"/>
      <c r="U10" s="771" t="n"/>
      <c r="V10" s="79" t="n"/>
      <c r="W10" s="771" t="n"/>
      <c r="X10" s="8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OF</t>
        </is>
      </c>
      <c r="C11" s="607" t="n"/>
      <c r="D11" s="38" t="n"/>
      <c r="E11" s="38" t="n"/>
      <c r="F11" s="682" t="n"/>
      <c r="G11" s="601" t="n"/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124" t="n"/>
      <c r="V11" s="616" t="n"/>
      <c r="W11" s="124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OF</t>
        </is>
      </c>
      <c r="C12" s="607" t="n"/>
      <c r="D12" s="38" t="n"/>
      <c r="E12" s="38" t="n"/>
      <c r="F12" s="682" t="n"/>
      <c r="G12" s="601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Cedric Mullins</t>
        </is>
      </c>
      <c r="P12" s="616" t="n"/>
      <c r="Q12" s="186" t="n">
        <v>0</v>
      </c>
      <c r="R12" s="146" t="n"/>
      <c r="S12" s="188" t="n">
        <v>2021</v>
      </c>
      <c r="T12" s="79" t="n"/>
      <c r="U12" s="803" t="n">
        <v>6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OF</t>
        </is>
      </c>
      <c r="C13" s="607" t="n"/>
      <c r="D13" s="38" t="n"/>
      <c r="E13" s="38" t="n"/>
      <c r="F13" s="682" t="n"/>
      <c r="G13" s="601" t="n"/>
      <c r="H13" s="702" t="n"/>
      <c r="K13" s="619" t="n"/>
      <c r="L13" s="29" t="n"/>
      <c r="M13" s="702" t="n"/>
      <c r="N13" s="71" t="n"/>
      <c r="P13" s="616" t="n"/>
      <c r="R13" s="146" t="n"/>
      <c r="T13" s="79" t="n"/>
      <c r="U13" s="771" t="n"/>
      <c r="V13" s="79" t="n"/>
      <c r="W13" s="771" t="n"/>
      <c r="X13" s="8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607" t="n"/>
      <c r="D14" s="38" t="n"/>
      <c r="E14" s="38" t="n"/>
      <c r="F14" s="682" t="n"/>
      <c r="G14" s="601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124" t="n"/>
      <c r="V14" s="616" t="n"/>
      <c r="W14" s="124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607" t="n"/>
      <c r="D15" s="38" t="n"/>
      <c r="E15" s="38" t="n"/>
      <c r="F15" s="682" t="n"/>
      <c r="G15" s="601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527" t="n"/>
      <c r="P15" s="616" t="n"/>
      <c r="Q15" s="186" t="n"/>
      <c r="R15" s="146" t="n"/>
      <c r="S15" s="188" t="n"/>
      <c r="T15" s="79" t="n"/>
      <c r="U15" s="803" t="n"/>
      <c r="V15" s="79" t="n"/>
      <c r="W15" s="807">
        <f>Y15-$B$1</f>
        <v/>
      </c>
      <c r="X15" s="127" t="n"/>
      <c r="Y15" s="86">
        <f>S15+U15</f>
        <v/>
      </c>
      <c r="Z15" s="71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607" t="n"/>
      <c r="D16" s="38" t="n"/>
      <c r="E16" s="38" t="n"/>
      <c r="F16" s="682" t="n"/>
      <c r="G16" s="601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616" t="n"/>
      <c r="R16" s="146" t="n"/>
      <c r="T16" s="79" t="n"/>
      <c r="U16" s="771" t="n"/>
      <c r="V16" s="79" t="n"/>
      <c r="W16" s="771" t="n"/>
      <c r="X16" s="127" t="n"/>
      <c r="Z16" s="71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607" t="n"/>
      <c r="D17" s="38" t="n"/>
      <c r="E17" s="38" t="n"/>
      <c r="F17" s="682" t="n"/>
      <c r="G17" s="601" t="n"/>
      <c r="H17" s="702" t="n"/>
      <c r="K17" s="619" t="n"/>
      <c r="L17" s="29" t="n"/>
      <c r="M17" s="119" t="n"/>
      <c r="N17" s="71" t="n"/>
      <c r="O17" s="616" t="n"/>
      <c r="P17" s="616" t="n"/>
      <c r="Q17" s="146" t="n"/>
      <c r="R17" s="146" t="n"/>
      <c r="S17" s="616" t="n"/>
      <c r="T17" s="616" t="n"/>
      <c r="U17" s="124" t="n"/>
      <c r="V17" s="616" t="n"/>
      <c r="W17" s="124" t="n"/>
      <c r="X17" s="139" t="n"/>
      <c r="Y17" s="141" t="n"/>
      <c r="Z17" s="71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607" t="n"/>
      <c r="D18" s="38" t="n"/>
      <c r="E18" s="38" t="n"/>
      <c r="F18" s="682" t="n"/>
      <c r="G18" s="601" t="n"/>
      <c r="H18" s="162">
        <f>CONCATENATE($B$1+1," Auction Budget acquired by trade (Offseason Only)")</f>
        <v/>
      </c>
      <c r="K18" s="809">
        <f>'Draft budget calc'!E11</f>
        <v/>
      </c>
      <c r="L18" s="29" t="n"/>
      <c r="M18" s="802" t="inlineStr">
        <is>
          <t>5th player contract --&gt;&gt;</t>
        </is>
      </c>
      <c r="N18" s="71" t="n"/>
      <c r="O18" s="184" t="inlineStr">
        <is>
          <t>Aaron Judge</t>
        </is>
      </c>
      <c r="P18" s="616" t="n"/>
      <c r="Q18" s="186" t="n">
        <v>98</v>
      </c>
      <c r="R18" s="146" t="n"/>
      <c r="S18" s="188" t="n">
        <v>2024</v>
      </c>
      <c r="T18" s="79" t="n"/>
      <c r="U18" s="803" t="n">
        <v>2</v>
      </c>
      <c r="V18" s="79" t="n"/>
      <c r="W18" s="807">
        <f>Y18-$B$1</f>
        <v/>
      </c>
      <c r="X18" s="127" t="n"/>
      <c r="Y18" s="86">
        <f>S18+U18</f>
        <v/>
      </c>
      <c r="Z18" s="71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P</t>
        </is>
      </c>
      <c r="C19" s="607" t="n"/>
      <c r="D19" s="38" t="n"/>
      <c r="E19" s="38" t="n"/>
      <c r="F19" s="682" t="n"/>
      <c r="G19" s="601" t="n"/>
      <c r="H19" s="702" t="n"/>
      <c r="K19" s="619" t="n"/>
      <c r="L19" s="29" t="n"/>
      <c r="M19" s="702" t="n"/>
      <c r="N19" s="71" t="n"/>
      <c r="P19" s="616" t="n"/>
      <c r="R19" s="146" t="n"/>
      <c r="T19" s="79" t="n"/>
      <c r="U19" s="771" t="n"/>
      <c r="V19" s="79" t="n"/>
      <c r="W19" s="771" t="n"/>
      <c r="X19" s="127" t="n"/>
      <c r="Z19" s="71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P</t>
        </is>
      </c>
      <c r="C20" s="607" t="n"/>
      <c r="D20" s="38" t="n"/>
      <c r="E20" s="38" t="n"/>
      <c r="F20" s="682" t="n"/>
      <c r="G20" s="601" t="n"/>
      <c r="H20" s="702" t="n"/>
      <c r="K20" s="619" t="n"/>
      <c r="L20" s="29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124" t="n"/>
      <c r="V20" s="616" t="n"/>
      <c r="W20" s="124" t="n"/>
      <c r="X20" s="139" t="n"/>
      <c r="Y20" s="141" t="n"/>
      <c r="Z20" s="71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607" t="n"/>
      <c r="D21" s="38" t="n"/>
      <c r="E21" s="38" t="n"/>
      <c r="F21" s="682" t="n"/>
      <c r="G21" s="601" t="n"/>
      <c r="H21" s="171" t="inlineStr">
        <is>
          <t>Min. IP Penalties</t>
        </is>
      </c>
      <c r="K21" s="810" t="n"/>
      <c r="L21" s="29" t="n"/>
      <c r="M21" s="802" t="inlineStr">
        <is>
          <t>6th player contract --&gt;&gt;</t>
        </is>
      </c>
      <c r="N21" s="71" t="n"/>
      <c r="O21" s="184" t="inlineStr">
        <is>
          <t>Wily Adames</t>
        </is>
      </c>
      <c r="P21" s="616" t="n"/>
      <c r="Q21" s="186" t="n">
        <v>15</v>
      </c>
      <c r="R21" s="146" t="n"/>
      <c r="S21" s="188" t="n">
        <v>2024</v>
      </c>
      <c r="T21" s="79" t="n"/>
      <c r="U21" s="803" t="n">
        <v>3</v>
      </c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607" t="n"/>
      <c r="D22" s="38" t="n"/>
      <c r="E22" s="38" t="n"/>
      <c r="F22" s="682" t="n"/>
      <c r="G22" s="601" t="n"/>
      <c r="H22" s="702" t="n"/>
      <c r="K22" s="619" t="n"/>
      <c r="L22" s="29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607" t="n"/>
      <c r="D23" s="38" t="n"/>
      <c r="E23" s="38" t="n"/>
      <c r="F23" s="682" t="n"/>
      <c r="G23" s="601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523" t="n"/>
      <c r="P23" s="523" t="n"/>
      <c r="Q23" s="75" t="n"/>
      <c r="R23" s="75" t="n"/>
      <c r="S23" s="523" t="n"/>
      <c r="T23" s="523" t="n"/>
      <c r="U23" s="621" t="n"/>
      <c r="V23" s="616" t="n"/>
      <c r="W23" s="124" t="n"/>
      <c r="X23" s="622" t="n"/>
      <c r="Y23" s="141" t="n"/>
      <c r="Z23" s="622" t="n"/>
      <c r="AA23" s="164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607" t="n"/>
      <c r="D24" s="38" t="n"/>
      <c r="E24" s="38" t="n"/>
      <c r="F24" s="682" t="n"/>
      <c r="G24" s="601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184" t="inlineStr">
        <is>
          <t>Bowden Francis</t>
        </is>
      </c>
      <c r="P24" s="616" t="n"/>
      <c r="Q24" s="186" t="n">
        <v>3</v>
      </c>
      <c r="R24" s="146" t="n"/>
      <c r="S24" s="188" t="n">
        <v>2024</v>
      </c>
      <c r="T24" s="79" t="n"/>
      <c r="U24" s="803" t="n">
        <v>2</v>
      </c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607" t="n"/>
      <c r="D25" s="38" t="n"/>
      <c r="E25" s="38" t="n"/>
      <c r="F25" s="682" t="n"/>
      <c r="G25" s="601" t="n"/>
      <c r="H25" s="755" t="n"/>
      <c r="I25" s="759" t="n"/>
      <c r="J25" s="759" t="n"/>
      <c r="K25" s="793" t="n"/>
      <c r="L25" s="29" t="n"/>
      <c r="M25" s="702" t="n"/>
      <c r="N25" s="71" t="n"/>
      <c r="P25" s="616" t="n"/>
      <c r="R25" s="146" t="n"/>
      <c r="T25" s="79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607" t="n"/>
      <c r="D26" s="38" t="n"/>
      <c r="E26" s="38" t="n"/>
      <c r="F26" s="682" t="n"/>
      <c r="G26" s="601" t="n"/>
      <c r="H26" s="622" t="n"/>
      <c r="I26" s="622" t="n"/>
      <c r="J26" s="622" t="n"/>
      <c r="K26" s="622" t="n"/>
      <c r="L26" s="29" t="n"/>
      <c r="M26" s="172" t="n"/>
      <c r="N26" s="622" t="n"/>
      <c r="O26" s="616" t="n"/>
      <c r="P26" s="616" t="n"/>
      <c r="Q26" s="616" t="n"/>
      <c r="R26" s="616" t="n"/>
      <c r="S26" s="616" t="n"/>
      <c r="T26" s="616" t="n"/>
      <c r="U26" s="124" t="n"/>
      <c r="V26" s="616" t="n"/>
      <c r="W26" s="124" t="n"/>
      <c r="X26" s="622" t="n"/>
      <c r="Y26" s="141" t="n"/>
      <c r="Z26" s="622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607" t="n"/>
      <c r="D27" s="38" t="n"/>
      <c r="E27" s="38" t="n"/>
      <c r="F27" s="682" t="n"/>
      <c r="G27" s="601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527" t="n"/>
      <c r="P27" s="616" t="n"/>
      <c r="Q27" s="186" t="n"/>
      <c r="R27" s="146" t="n"/>
      <c r="S27" s="188" t="n"/>
      <c r="T27" s="79" t="n"/>
      <c r="U27" s="803" t="n"/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607" t="n"/>
      <c r="D28" s="38" t="n"/>
      <c r="E28" s="38" t="n"/>
      <c r="F28" s="682" t="n"/>
      <c r="G28" s="601" t="n"/>
      <c r="H28" s="702" t="n"/>
      <c r="K28" s="619" t="n"/>
      <c r="L28" s="29" t="n"/>
      <c r="M28" s="702" t="n"/>
      <c r="N28" s="622" t="n"/>
      <c r="P28" s="616" t="n"/>
      <c r="R28" s="146" t="n"/>
      <c r="T28" s="79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607" t="n"/>
      <c r="D29" s="38" t="n"/>
      <c r="E29" s="38" t="n"/>
      <c r="F29" s="682" t="n"/>
      <c r="G29" s="601" t="n"/>
      <c r="H29" s="702" t="n"/>
      <c r="K29" s="619" t="n"/>
      <c r="L29" s="29" t="n"/>
      <c r="M29" s="172" t="n"/>
      <c r="N29" s="622" t="n"/>
      <c r="O29" s="616" t="n"/>
      <c r="P29" s="616" t="n"/>
      <c r="Q29" s="146" t="n"/>
      <c r="R29" s="146" t="n"/>
      <c r="S29" s="616" t="n"/>
      <c r="T29" s="616" t="n"/>
      <c r="U29" s="124" t="n"/>
      <c r="V29" s="616" t="n"/>
      <c r="W29" s="124" t="n"/>
      <c r="X29" s="622" t="n"/>
      <c r="Y29" s="622" t="n"/>
      <c r="Z29" s="622" t="n"/>
      <c r="AA29" s="15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607" t="n"/>
      <c r="D30" s="38" t="n"/>
      <c r="E30" s="38" t="n"/>
      <c r="F30" s="682" t="n"/>
      <c r="G30" s="601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527" t="n"/>
      <c r="P30" s="616" t="n"/>
      <c r="Q30" s="186" t="n"/>
      <c r="R30" s="146" t="n"/>
      <c r="S30" s="188" t="n"/>
      <c r="T30" s="79" t="n"/>
      <c r="U30" s="803" t="n"/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607" t="n"/>
      <c r="D31" s="38" t="n"/>
      <c r="E31" s="38" t="n"/>
      <c r="F31" s="682" t="n"/>
      <c r="G31" s="218" t="n"/>
      <c r="H31" s="54" t="inlineStr">
        <is>
          <t>Roster Key</t>
        </is>
      </c>
      <c r="L31" s="29" t="n"/>
      <c r="M31" s="702" t="n"/>
      <c r="N31" s="71" t="n"/>
      <c r="P31" s="616" t="n"/>
      <c r="R31" s="146" t="n"/>
      <c r="T31" s="79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607" t="n"/>
      <c r="D32" s="38" t="n"/>
      <c r="E32" s="38" t="n"/>
      <c r="F32" s="682" t="n"/>
      <c r="G32" s="218" t="n"/>
      <c r="L32" s="29" t="n"/>
      <c r="M32" s="172" t="n"/>
      <c r="N32" s="622" t="n"/>
      <c r="O32" s="616" t="n"/>
      <c r="P32" s="616" t="n"/>
      <c r="Q32" s="146" t="n"/>
      <c r="R32" s="146" t="n"/>
      <c r="S32" s="616" t="n"/>
      <c r="T32" s="616" t="n"/>
      <c r="U32" s="124" t="n"/>
      <c r="V32" s="616" t="n"/>
      <c r="W32" s="124" t="n"/>
      <c r="X32" s="139" t="n"/>
      <c r="Y32" s="522" t="n"/>
      <c r="Z32" s="71" t="n"/>
      <c r="AA32" s="143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P</t>
        </is>
      </c>
      <c r="C33" s="608" t="n"/>
      <c r="D33" s="38" t="n"/>
      <c r="E33" s="38" t="n"/>
      <c r="F33" s="682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616" t="n"/>
      <c r="Q33" s="186" t="n"/>
      <c r="R33" s="146" t="n"/>
      <c r="S33" s="188" t="n"/>
      <c r="T33" s="79" t="n"/>
      <c r="U33" s="803" t="n"/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P</t>
        </is>
      </c>
      <c r="C34" s="607" t="n"/>
      <c r="D34" s="38" t="n"/>
      <c r="E34" s="38" t="n"/>
      <c r="F34" s="682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616" t="n"/>
      <c r="R34" s="146" t="n"/>
      <c r="T34" s="79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38" t="inlineStr">
        <is>
          <t>SS,MI</t>
        </is>
      </c>
      <c r="C35" s="607" t="n"/>
      <c r="D35" s="38" t="n"/>
      <c r="E35" s="38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526" t="n"/>
      <c r="V35" s="622" t="n"/>
      <c r="W35" s="255" t="n"/>
      <c r="X35" s="139" t="n"/>
      <c r="Y35" s="141" t="n"/>
      <c r="Z35" s="622" t="n"/>
      <c r="AA35" s="143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1.25" customHeight="1" s="26">
      <c r="A36" s="622" t="n"/>
      <c r="B36" s="199" t="inlineStr">
        <is>
          <t>DL 4</t>
        </is>
      </c>
      <c r="C36" s="443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527" t="n"/>
      <c r="P36" s="616" t="n"/>
      <c r="Q36" s="186" t="n"/>
      <c r="R36" s="146" t="n"/>
      <c r="S36" s="188" t="n"/>
      <c r="T36" s="79" t="n"/>
      <c r="U36" s="857" t="n"/>
      <c r="V36" s="127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</row>
    <row r="37" ht="11.25" customHeight="1" s="26">
      <c r="A37" s="622" t="n"/>
      <c r="B37" s="199" t="inlineStr">
        <is>
          <t>DL 5</t>
        </is>
      </c>
      <c r="C37" s="559" t="n"/>
      <c r="D37" s="759" t="n"/>
      <c r="E37" s="759" t="n"/>
      <c r="F37" s="379" t="n"/>
      <c r="G37" s="873" t="inlineStr">
        <is>
          <t>Drafted</t>
        </is>
      </c>
      <c r="H37" s="759" t="n"/>
      <c r="I37" s="383" t="inlineStr">
        <is>
          <t>MLB</t>
        </is>
      </c>
      <c r="J37" s="759" t="n"/>
      <c r="K37" s="220" t="n"/>
      <c r="L37" s="29" t="n"/>
      <c r="M37" s="702" t="n"/>
      <c r="N37" s="71" t="n"/>
      <c r="P37" s="616" t="n"/>
      <c r="R37" s="146" t="n"/>
      <c r="T37" s="79" t="n"/>
      <c r="U37" s="771" t="n"/>
      <c r="V37" s="127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</row>
    <row r="38" ht="11.25" customHeight="1" s="26">
      <c r="A38" s="622" t="n"/>
      <c r="B38" s="625" t="inlineStr">
        <is>
          <t>Farm 1</t>
        </is>
      </c>
      <c r="C38" s="530" t="inlineStr">
        <is>
          <t>Bryce Eldridge</t>
        </is>
      </c>
      <c r="F38" s="244" t="n">
        <v>3</v>
      </c>
      <c r="G38" s="351" t="n">
        <v>2025</v>
      </c>
      <c r="I38" s="352" t="inlineStr">
        <is>
          <t>Yes</t>
        </is>
      </c>
      <c r="J38" s="618" t="n"/>
      <c r="K38" s="172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07" t="n"/>
      <c r="V38" s="622" t="n"/>
      <c r="W38" s="251" t="n"/>
      <c r="X38" s="139" t="n"/>
      <c r="Y38" s="141" t="n"/>
      <c r="Z38" s="622" t="n"/>
      <c r="AA38" s="164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</row>
    <row r="39" ht="11.25" customHeight="1" s="26">
      <c r="A39" s="622" t="n"/>
      <c r="B39" s="231" t="inlineStr">
        <is>
          <t>Farm 2</t>
        </is>
      </c>
      <c r="C39" s="443" t="n"/>
      <c r="F39" s="309" t="n"/>
      <c r="G39" s="405" t="n"/>
      <c r="I39" s="445" t="n"/>
      <c r="J39" s="618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622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550" t="n"/>
      <c r="F40" s="367" t="n"/>
      <c r="G40" s="385" t="n"/>
      <c r="I40" s="386" t="n"/>
      <c r="J40" s="631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622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329" t="inlineStr">
        <is>
          <t>Farm 4</t>
        </is>
      </c>
      <c r="C41" s="443" t="n"/>
      <c r="F41" s="367" t="n"/>
      <c r="G41" s="405" t="n"/>
      <c r="I41" s="617" t="n"/>
      <c r="J41" s="446" t="n"/>
      <c r="K41" s="82" t="n"/>
      <c r="L41" s="29" t="n"/>
      <c r="M41" s="172" t="n"/>
      <c r="N41" s="622" t="n"/>
      <c r="O41" s="685" t="n"/>
      <c r="P41" s="622" t="n"/>
      <c r="Q41" s="424" t="n"/>
      <c r="R41" s="425" t="n"/>
      <c r="S41" s="248" t="n"/>
      <c r="T41" s="215" t="n"/>
      <c r="U41" s="632" t="n"/>
      <c r="V41" s="622" t="n"/>
      <c r="W41" s="251" t="n"/>
      <c r="X41" s="139" t="n"/>
      <c r="Y41" s="141" t="n"/>
      <c r="Z41" s="622" t="n"/>
      <c r="AA41" s="143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329" t="inlineStr">
        <is>
          <t>Farm 5</t>
        </is>
      </c>
      <c r="C42" s="443" t="n"/>
      <c r="F42" s="367" t="n"/>
      <c r="G42" s="405" t="n"/>
      <c r="I42" s="445" t="n"/>
      <c r="J42" s="446" t="n"/>
      <c r="K42" s="82" t="n"/>
      <c r="L42" s="29" t="n"/>
      <c r="M42" s="824" t="inlineStr">
        <is>
          <t>13th player contract --&gt;&gt;</t>
        </is>
      </c>
      <c r="N42" s="622" t="n"/>
      <c r="O42" s="527" t="n"/>
      <c r="P42" s="616" t="n"/>
      <c r="Q42" s="186" t="n"/>
      <c r="R42" s="146" t="n"/>
      <c r="S42" s="188" t="n"/>
      <c r="T42" s="79" t="n"/>
      <c r="U42" s="857" t="n"/>
      <c r="V42" s="127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443" t="n"/>
      <c r="F43" s="367" t="n"/>
      <c r="G43" s="405" t="n"/>
      <c r="I43" s="445" t="n"/>
      <c r="J43" s="446" t="n"/>
      <c r="K43" s="82" t="n"/>
      <c r="L43" s="29" t="n"/>
      <c r="M43" s="702" t="n"/>
      <c r="N43" s="622" t="n"/>
      <c r="P43" s="616" t="n"/>
      <c r="R43" s="146" t="n"/>
      <c r="T43" s="79" t="n"/>
      <c r="U43" s="771" t="n"/>
      <c r="V43" s="127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443" t="n"/>
      <c r="F44" s="367" t="n"/>
      <c r="G44" s="405" t="n"/>
      <c r="I44" s="445" t="n"/>
      <c r="J44" s="446" t="n"/>
      <c r="K44" s="62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07" t="n"/>
      <c r="V44" s="622" t="n"/>
      <c r="W44" s="251" t="n"/>
      <c r="X44" s="622" t="n"/>
      <c r="Y44" s="622" t="n"/>
      <c r="Z44" s="622" t="n"/>
      <c r="AA44" s="16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</row>
    <row r="45" ht="11.25" customHeight="1" s="26">
      <c r="A45" s="622" t="n"/>
      <c r="B45" s="231" t="inlineStr">
        <is>
          <t>Farm 8</t>
        </is>
      </c>
      <c r="C45" s="443" t="n"/>
      <c r="F45" s="367" t="n"/>
      <c r="G45" s="405" t="n"/>
      <c r="I45" s="445" t="n"/>
      <c r="J45" s="446" t="n"/>
      <c r="K45" s="622" t="n"/>
      <c r="L45" s="29" t="n"/>
      <c r="M45" s="824" t="inlineStr">
        <is>
          <t>14th player contract --&gt;&gt;</t>
        </is>
      </c>
      <c r="N45" s="71" t="n"/>
      <c r="O45" s="633" t="n"/>
      <c r="P45" s="139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443" t="n"/>
      <c r="F46" s="367" t="n"/>
      <c r="G46" s="405" t="n"/>
      <c r="I46" s="445" t="n"/>
      <c r="J46" s="446" t="n"/>
      <c r="K46" s="622" t="n"/>
      <c r="L46" s="29" t="n"/>
      <c r="M46" s="702" t="n"/>
      <c r="N46" s="71" t="n"/>
      <c r="P46" s="139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443" t="n"/>
      <c r="F47" s="367" t="n"/>
      <c r="G47" s="405" t="n"/>
      <c r="I47" s="445" t="n"/>
      <c r="J47" s="446" t="n"/>
      <c r="K47" s="62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443" t="n"/>
      <c r="F48" s="367" t="n"/>
      <c r="G48" s="405" t="n"/>
      <c r="I48" s="445" t="n"/>
      <c r="J48" s="446" t="n"/>
      <c r="K48" s="622" t="n"/>
      <c r="L48" s="29" t="n"/>
      <c r="M48" s="824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</row>
    <row r="49" ht="11.25" customHeight="1" s="26">
      <c r="A49" s="622" t="n"/>
      <c r="B49" s="231" t="inlineStr">
        <is>
          <t>Farm 12</t>
        </is>
      </c>
      <c r="C49" s="443" t="n"/>
      <c r="F49" s="367" t="n"/>
      <c r="G49" s="405" t="n"/>
      <c r="I49" s="445" t="n"/>
      <c r="J49" s="446" t="n"/>
      <c r="K49" s="293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</row>
    <row r="50" ht="11.25" customHeight="1" s="26">
      <c r="A50" s="622" t="n"/>
      <c r="B50" s="231" t="inlineStr">
        <is>
          <t>Farm 13</t>
        </is>
      </c>
      <c r="C50" s="443" t="n"/>
      <c r="F50" s="367" t="n"/>
      <c r="G50" s="405" t="n"/>
      <c r="I50" s="445" t="n"/>
      <c r="J50" s="446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</row>
    <row r="51" ht="11.25" customHeight="1" s="26">
      <c r="A51" s="622" t="n"/>
      <c r="B51" s="231" t="inlineStr">
        <is>
          <t>Farm 14</t>
        </is>
      </c>
      <c r="C51" s="443" t="n"/>
      <c r="F51" s="367" t="n"/>
      <c r="G51" s="405" t="n"/>
      <c r="I51" s="445" t="n"/>
      <c r="J51" s="446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443" t="n"/>
      <c r="F52" s="367" t="n"/>
      <c r="G52" s="405" t="n"/>
      <c r="I52" s="445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695" t="inlineStr">
        <is>
          <t>Wander Franco</t>
        </is>
      </c>
      <c r="P55" s="635" t="n"/>
      <c r="Q55" s="636" t="n">
        <v>5</v>
      </c>
      <c r="R55" s="637" t="n"/>
      <c r="S55" s="638" t="n">
        <v>2022</v>
      </c>
      <c r="T55" s="639" t="n"/>
      <c r="U55" s="880" t="n">
        <v>7</v>
      </c>
      <c r="V55" s="127" t="n"/>
      <c r="W55" s="821">
        <f>Y55-$B$1</f>
        <v/>
      </c>
      <c r="X55" s="622" t="n"/>
      <c r="Y55" s="86">
        <f>S55+U55</f>
        <v/>
      </c>
      <c r="Z55" s="622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635" t="n"/>
      <c r="R56" s="637" t="n"/>
      <c r="T56" s="639" t="n"/>
      <c r="U56" s="823" t="n"/>
      <c r="V56" s="127" t="n"/>
      <c r="W56" s="823" t="n"/>
      <c r="X56" s="622" t="n"/>
      <c r="Z56" s="622" t="n"/>
      <c r="AA56" s="619" t="n"/>
      <c r="AB56" s="62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2023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436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527" t="inlineStr">
        <is>
          <t>Nolan Gorman</t>
        </is>
      </c>
      <c r="P62" s="616" t="n"/>
      <c r="Q62" s="186" t="n">
        <v>6</v>
      </c>
      <c r="R62" s="146" t="n"/>
      <c r="S62" s="188" t="n">
        <v>2023</v>
      </c>
      <c r="T62" s="79" t="n"/>
      <c r="U62" s="803" t="n">
        <v>3</v>
      </c>
      <c r="V62" s="127" t="n"/>
      <c r="W62" s="821">
        <f>Y62-$B$1</f>
        <v/>
      </c>
      <c r="X62" s="622" t="n"/>
      <c r="Y62" s="86">
        <f>S62+U62</f>
        <v/>
      </c>
      <c r="Z62" s="622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P63" s="616" t="n"/>
      <c r="R63" s="146" t="n"/>
      <c r="T63" s="79" t="n"/>
      <c r="U63" s="771" t="n"/>
      <c r="V63" s="127" t="n"/>
      <c r="W63" s="823" t="n"/>
      <c r="X63" s="622" t="n"/>
      <c r="Z63" s="622" t="n"/>
      <c r="AA63" s="619" t="n"/>
      <c r="AB63" s="622" t="n"/>
      <c r="AC63" s="49" t="n"/>
      <c r="AD63" s="48" t="n"/>
      <c r="AE63" s="604" t="n"/>
      <c r="AF63" s="50" t="n"/>
      <c r="AG63" s="49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>
        <v>2024</v>
      </c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H66" s="48" t="n"/>
      <c r="AI66" s="604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436" t="n"/>
      <c r="P68" s="622" t="n"/>
      <c r="Q68" s="436" t="n"/>
      <c r="R68" s="622" t="n"/>
      <c r="S68" s="436" t="n"/>
      <c r="T68" s="622" t="n"/>
      <c r="U68" s="436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527" t="inlineStr">
        <is>
          <t>Eloy Jimenez</t>
        </is>
      </c>
      <c r="P69" s="616" t="n"/>
      <c r="Q69" s="186" t="n">
        <v>7</v>
      </c>
      <c r="R69" s="146" t="n"/>
      <c r="S69" s="188" t="n">
        <v>2021</v>
      </c>
      <c r="T69" s="79" t="n"/>
      <c r="U69" s="803" t="n">
        <v>6</v>
      </c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F69" s="30" t="n"/>
      <c r="AJ69" s="30" t="n"/>
      <c r="AL69" s="48" t="n"/>
      <c r="AM69" s="604" t="n"/>
      <c r="AN69" s="50" t="n"/>
      <c r="AO69" s="49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P70" s="616" t="n"/>
      <c r="R70" s="146" t="n"/>
      <c r="T70" s="79" t="n"/>
      <c r="U70" s="771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>
        <v>2024</v>
      </c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R71" s="30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481" t="n"/>
      <c r="AN72" s="30" t="n"/>
      <c r="AR72" s="30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R73" s="30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50" t="n"/>
      <c r="AO74" s="49" t="n"/>
      <c r="AP74" s="48" t="n"/>
      <c r="AQ74" s="604" t="n"/>
      <c r="AR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604" t="n"/>
      <c r="AN75" s="50" t="n"/>
      <c r="AO75" s="49" t="n"/>
      <c r="AP75" s="48" t="n"/>
      <c r="AQ75" s="604" t="n"/>
      <c r="AR75" s="50" t="n"/>
      <c r="AS75" s="49" t="n"/>
      <c r="AT75" s="48" t="n"/>
      <c r="AU75" s="604" t="n"/>
    </row>
    <row r="76" ht="11.25" customHeight="1" s="26"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622" t="n"/>
      <c r="AF76" s="30" t="n"/>
      <c r="AJ76" s="30" t="n"/>
      <c r="AL76" s="48" t="n"/>
      <c r="AM76" s="604" t="n"/>
      <c r="AN76" s="50" t="n"/>
      <c r="AO76" s="49" t="n"/>
      <c r="AP76" s="48" t="n"/>
      <c r="AQ76" s="604" t="n"/>
      <c r="AR76" s="50" t="n"/>
      <c r="AS76" s="49" t="n"/>
      <c r="AT76" s="48" t="n"/>
      <c r="AU76" s="604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A77" s="619" t="n"/>
      <c r="AB77" s="62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R92" s="30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481" t="n"/>
      <c r="AN93" s="30" t="n"/>
      <c r="AR93" s="30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604" t="n"/>
      <c r="AN96" s="30" t="n"/>
      <c r="AR96" s="30" t="n"/>
    </row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2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U69:U70"/>
    <mergeCell ref="M9:M1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W66:Y66"/>
    <mergeCell ref="Q42:Q43"/>
    <mergeCell ref="S42:S43"/>
    <mergeCell ref="C36:E36"/>
    <mergeCell ref="M15:M16"/>
    <mergeCell ref="Y39:Y40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K12:K13"/>
    <mergeCell ref="Q69:Q70"/>
    <mergeCell ref="S69:S70"/>
    <mergeCell ref="G53:H53"/>
    <mergeCell ref="S9:S10"/>
    <mergeCell ref="Y6:Y7"/>
    <mergeCell ref="K14:K15"/>
    <mergeCell ref="Q66:S66"/>
    <mergeCell ref="AA64:AA65"/>
    <mergeCell ref="M42:M43"/>
    <mergeCell ref="O42:O43"/>
    <mergeCell ref="U39:U40"/>
    <mergeCell ref="W39:W40"/>
    <mergeCell ref="O6:O7"/>
    <mergeCell ref="Q62:Q63"/>
    <mergeCell ref="W24:W25"/>
    <mergeCell ref="V78:Z79"/>
    <mergeCell ref="Y24:Y25"/>
    <mergeCell ref="S62:S63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M69:M70"/>
    <mergeCell ref="Q33:Q34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J39">
    <cfRule type="expression" priority="1" dxfId="1">
      <formula>ISNUMBER(#REF!)</formula>
    </cfRule>
    <cfRule type="expression" priority="2" dxfId="1">
      <formula>ISNUMBER(#REF!)</formula>
    </cfRule>
  </conditionalFormatting>
  <conditionalFormatting sqref="W48:W49">
    <cfRule type="cellIs" priority="3" operator="equal" dxfId="0">
      <formula>0</formula>
    </cfRule>
  </conditionalFormatting>
  <conditionalFormatting sqref="J43 J46 J49">
    <cfRule type="expression" priority="4" dxfId="1">
      <formula>ISNUMBER($F43)</formula>
    </cfRule>
  </conditionalFormatting>
  <conditionalFormatting sqref="J44 J47 J50">
    <cfRule type="expression" priority="5" dxfId="1">
      <formula>ISNUMBER($F44)</formula>
    </cfRule>
  </conditionalFormatting>
  <conditionalFormatting sqref="J57">
    <cfRule type="expression" priority="6" dxfId="1">
      <formula>ISNUMBER($F57)</formula>
    </cfRule>
  </conditionalFormatting>
  <conditionalFormatting sqref="J56">
    <cfRule type="expression" priority="7" dxfId="1">
      <formula>ISNUMBER($F56)</formula>
    </cfRule>
  </conditionalFormatting>
  <conditionalFormatting sqref="J52">
    <cfRule type="expression" priority="8" dxfId="1">
      <formula>ISNUMBER($F52)</formula>
    </cfRule>
  </conditionalFormatting>
  <conditionalFormatting sqref="J45 J48 J51">
    <cfRule type="expression" priority="9" dxfId="1">
      <formula>ISNUMBER($F45)</formula>
    </cfRule>
  </conditionalFormatting>
  <conditionalFormatting sqref="J53">
    <cfRule type="expression" priority="10" dxfId="1">
      <formula>ISNUMBER($F53)</formula>
    </cfRule>
  </conditionalFormatting>
  <conditionalFormatting sqref="J54">
    <cfRule type="expression" priority="11" dxfId="1">
      <formula>ISNUMBER($F54)</formula>
    </cfRule>
  </conditionalFormatting>
  <conditionalFormatting sqref="J40 J42 J45">
    <cfRule type="expression" priority="12" dxfId="1">
      <formula>ISNUMBER($F40)</formula>
    </cfRule>
  </conditionalFormatting>
  <conditionalFormatting sqref="J47">
    <cfRule type="expression" priority="13" dxfId="1">
      <formula>ISNUMBER($F47)</formula>
    </cfRule>
  </conditionalFormatting>
  <conditionalFormatting sqref="J48">
    <cfRule type="expression" priority="14" dxfId="1">
      <formula>ISNUMBER($F48)</formula>
    </cfRule>
  </conditionalFormatting>
  <conditionalFormatting sqref="W15:W16 W18:W19">
    <cfRule type="cellIs" priority="15" operator="equal" dxfId="0">
      <formula>0</formula>
    </cfRule>
  </conditionalFormatting>
  <conditionalFormatting sqref="W27:W28">
    <cfRule type="cellIs" priority="16" operator="equal" dxfId="0">
      <formula>0</formula>
    </cfRule>
  </conditionalFormatting>
  <conditionalFormatting sqref="W9">
    <cfRule type="cellIs" priority="17" operator="equal" dxfId="0">
      <formula>0</formula>
    </cfRule>
  </conditionalFormatting>
  <conditionalFormatting sqref="W9:W10">
    <cfRule type="cellIs" priority="18" operator="equal" dxfId="0">
      <formula>"'0'"</formula>
    </cfRule>
    <cfRule type="cellIs" priority="19" operator="equal" dxfId="0">
      <formula>0</formula>
    </cfRule>
  </conditionalFormatting>
  <conditionalFormatting sqref="W12:W13">
    <cfRule type="cellIs" priority="20" operator="equal" dxfId="0">
      <formula>"'0'"</formula>
    </cfRule>
    <cfRule type="cellIs" priority="21" operator="equal" dxfId="0">
      <formula>0</formula>
    </cfRule>
  </conditionalFormatting>
  <conditionalFormatting sqref="W12">
    <cfRule type="cellIs" priority="22" operator="equal" dxfId="0">
      <formula>0</formula>
    </cfRule>
  </conditionalFormatting>
  <conditionalFormatting sqref="W6:W7">
    <cfRule type="cellIs" priority="23" operator="equal" dxfId="0">
      <formula>"'0'"</formula>
    </cfRule>
    <cfRule type="cellIs" priority="24" operator="equal" dxfId="0">
      <formula>0</formula>
    </cfRule>
  </conditionalFormatting>
  <conditionalFormatting sqref="W6">
    <cfRule type="cellIs" priority="25" operator="equal" dxfId="0">
      <formula>0</formula>
    </cfRule>
  </conditionalFormatting>
  <conditionalFormatting sqref="J38 J40:J42">
    <cfRule type="expression" priority="26" dxfId="1">
      <formula>ISNUMBER($F38)</formula>
    </cfRule>
  </conditionalFormatting>
  <conditionalFormatting sqref="J40">
    <cfRule type="expression" priority="27" dxfId="1">
      <formula>ISNUMBER($F40)</formula>
    </cfRule>
  </conditionalFormatting>
  <conditionalFormatting sqref="J38:J39">
    <cfRule type="expression" priority="28" dxfId="1">
      <formula>ISNUMBER($F38)</formula>
    </cfRule>
  </conditionalFormatting>
  <conditionalFormatting sqref="J38:J39 J44">
    <cfRule type="expression" priority="29" dxfId="1">
      <formula>ISNUMBER($F38)</formula>
    </cfRule>
  </conditionalFormatting>
  <conditionalFormatting sqref="W21:W22">
    <cfRule type="cellIs" priority="30" operator="equal" dxfId="0">
      <formula>0</formula>
    </cfRule>
  </conditionalFormatting>
  <conditionalFormatting sqref="W24:W25">
    <cfRule type="cellIs" priority="31" operator="equal" dxfId="0">
      <formula>0</formula>
    </cfRule>
  </conditionalFormatting>
  <conditionalFormatting sqref="W45:W46">
    <cfRule type="cellIs" priority="32" operator="equal" dxfId="0">
      <formula>0</formula>
    </cfRule>
  </conditionalFormatting>
  <conditionalFormatting sqref="W39:W40">
    <cfRule type="cellIs" priority="33" operator="equal" dxfId="0">
      <formula>0</formula>
    </cfRule>
  </conditionalFormatting>
  <conditionalFormatting sqref="W42:W43">
    <cfRule type="cellIs" priority="34" operator="equal" dxfId="0">
      <formula>0</formula>
    </cfRule>
  </conditionalFormatting>
  <conditionalFormatting sqref="W30:W31 W33">
    <cfRule type="cellIs" priority="35" operator="equal" dxfId="0">
      <formula>0</formula>
    </cfRule>
  </conditionalFormatting>
  <conditionalFormatting sqref="W33:W34">
    <cfRule type="cellIs" priority="36" operator="equal" dxfId="0">
      <formula>0</formula>
    </cfRule>
  </conditionalFormatting>
  <conditionalFormatting sqref="W36:W37">
    <cfRule type="cellIs" priority="37" operator="equal" dxfId="0">
      <formula>0</formula>
    </cfRule>
  </conditionalFormatting>
  <conditionalFormatting sqref="J40 J46">
    <cfRule type="expression" priority="38" dxfId="1">
      <formula>ISNUMBER($F40)</formula>
    </cfRule>
  </conditionalFormatting>
  <conditionalFormatting sqref="J38:J42">
    <cfRule type="expression" priority="39" dxfId="1">
      <formula>ISNUMBER($F38)</formula>
    </cfRule>
  </conditionalFormatting>
  <conditionalFormatting sqref="J43">
    <cfRule type="expression" priority="40" dxfId="1">
      <formula>ISNUMBER($F38)</formula>
    </cfRule>
  </conditionalFormatting>
  <conditionalFormatting sqref="W55:W56">
    <cfRule type="cellIs" priority="41" operator="equal" dxfId="0">
      <formula>0</formula>
    </cfRule>
  </conditionalFormatting>
  <conditionalFormatting sqref="W62:W63">
    <cfRule type="cellIs" priority="42" operator="equal" dxfId="0">
      <formula>0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8.140000000000001" customWidth="1" style="26" min="2" max="2"/>
    <col width="14.71" customWidth="1" style="26" min="3" max="3"/>
    <col width="3.86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9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CONCATENATE("Jon Jamgochian - Year",$B$1-2006," CONTRACT SHEET")</f>
        <v/>
      </c>
      <c r="AB1" s="29" t="n"/>
      <c r="AC1" t="inlineStr">
        <is>
          <t>Metropolitans</t>
        </is>
      </c>
      <c r="AF1" s="30" t="n"/>
      <c r="AJ1" s="30" t="n"/>
      <c r="AN1" s="30" t="n"/>
      <c r="AR1" s="30" t="n"/>
      <c r="AV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  <c r="AV2" s="30" t="n"/>
    </row>
    <row r="3" ht="10.5" customHeight="1" s="26">
      <c r="A3" s="622" t="n"/>
      <c r="B3" s="38" t="inlineStr">
        <is>
          <t>1B,3B,CI</t>
        </is>
      </c>
      <c r="C3" s="607" t="n"/>
      <c r="D3" s="38" t="n"/>
      <c r="E3" s="38" t="n"/>
      <c r="F3" s="682" t="n"/>
      <c r="G3" s="600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  <c r="AV3" s="50" t="n"/>
      <c r="AW3" s="49" t="n"/>
    </row>
    <row r="4" ht="10.5" customHeight="1" s="26">
      <c r="A4" s="622" t="n"/>
      <c r="B4" s="38" t="inlineStr">
        <is>
          <t>1B,CI</t>
        </is>
      </c>
      <c r="C4" s="608" t="n"/>
      <c r="D4" s="38" t="n"/>
      <c r="E4" s="38" t="n"/>
      <c r="F4" s="682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  <c r="AV4" s="50" t="n"/>
      <c r="AW4" s="49" t="n"/>
    </row>
    <row r="5" ht="10.5" customHeight="1" s="26">
      <c r="A5" s="622" t="n"/>
      <c r="B5" s="38" t="inlineStr">
        <is>
          <t>1B,CI,OF</t>
        </is>
      </c>
      <c r="C5" s="607" t="n"/>
      <c r="D5" s="38" t="n"/>
      <c r="E5" s="38" t="n"/>
      <c r="F5" s="682" t="n"/>
      <c r="G5" s="600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1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  <c r="AV5" s="50" t="n"/>
      <c r="AW5" s="49" t="n"/>
    </row>
    <row r="6" ht="10.5" customHeight="1" s="26">
      <c r="A6" s="622" t="n"/>
      <c r="B6" s="38" t="inlineStr">
        <is>
          <t>2B,3B,CI,MI</t>
        </is>
      </c>
      <c r="C6" s="607" t="n"/>
      <c r="D6" s="38" t="n"/>
      <c r="E6" s="38" t="n"/>
      <c r="F6" s="682" t="n"/>
      <c r="G6" s="601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Colt Keith</t>
        </is>
      </c>
      <c r="P6" s="616" t="n"/>
      <c r="Q6" s="186" t="n">
        <v>0</v>
      </c>
      <c r="R6" s="146" t="n"/>
      <c r="S6" s="188" t="n">
        <v>2023</v>
      </c>
      <c r="T6" s="79" t="n"/>
      <c r="U6" s="803" t="n">
        <v>4</v>
      </c>
      <c r="V6" s="127" t="n"/>
      <c r="W6" s="821">
        <f>Y6-$B$1</f>
        <v/>
      </c>
      <c r="X6" s="62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  <c r="AV6" s="50" t="n"/>
      <c r="AW6" s="49" t="n"/>
    </row>
    <row r="7" ht="10.5" customHeight="1" s="26">
      <c r="A7" s="622" t="n"/>
      <c r="B7" s="38" t="inlineStr">
        <is>
          <t>2B,MI</t>
        </is>
      </c>
      <c r="C7" s="607" t="n"/>
      <c r="D7" s="38" t="n"/>
      <c r="E7" s="38" t="n"/>
      <c r="F7" s="682" t="n"/>
      <c r="G7" s="601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127" t="n"/>
      <c r="W7" s="823" t="n"/>
      <c r="X7" s="62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  <c r="AV7" s="50" t="n"/>
      <c r="AW7" s="49" t="n"/>
    </row>
    <row r="8" ht="10.5" customHeight="1" s="26">
      <c r="A8" s="622" t="n"/>
      <c r="B8" s="38" t="inlineStr">
        <is>
          <t>3B,CI</t>
        </is>
      </c>
      <c r="C8" s="607" t="n"/>
      <c r="D8" s="38" t="n"/>
      <c r="E8" s="38" t="n"/>
      <c r="F8" s="682" t="n"/>
      <c r="G8" s="601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616" t="n"/>
      <c r="R8" s="616" t="n"/>
      <c r="S8" s="616" t="n"/>
      <c r="T8" s="616" t="n"/>
      <c r="U8" s="124" t="n"/>
      <c r="V8" s="139" t="n"/>
      <c r="W8" s="251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  <c r="AV8" s="50" t="n"/>
      <c r="AW8" s="49" t="n"/>
    </row>
    <row r="9" ht="10.5" customHeight="1" s="26">
      <c r="A9" s="622" t="n"/>
      <c r="B9" s="38" t="inlineStr">
        <is>
          <t>3B,CI</t>
        </is>
      </c>
      <c r="C9" s="608" t="n"/>
      <c r="D9" s="38" t="n"/>
      <c r="E9" s="38" t="n"/>
      <c r="F9" s="682" t="n"/>
      <c r="G9" s="601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Francisco Lindor</t>
        </is>
      </c>
      <c r="P9" s="523" t="n"/>
      <c r="Q9" s="612" t="n">
        <v>70</v>
      </c>
      <c r="R9" s="614" t="n"/>
      <c r="S9" s="188" t="n">
        <v>2024</v>
      </c>
      <c r="T9" s="77" t="n"/>
      <c r="U9" s="803" t="n">
        <v>2</v>
      </c>
      <c r="V9" s="82" t="n"/>
      <c r="W9" s="821">
        <f>Y9-$B$1</f>
        <v/>
      </c>
      <c r="X9" s="62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  <c r="AV9" s="50" t="n"/>
      <c r="AW9" s="49" t="n"/>
    </row>
    <row r="10" ht="10.5" customHeight="1" s="26">
      <c r="A10" s="622" t="n"/>
      <c r="B10" s="38" t="inlineStr">
        <is>
          <t>C</t>
        </is>
      </c>
      <c r="C10" s="607" t="n"/>
      <c r="D10" s="38" t="n"/>
      <c r="E10" s="38" t="n"/>
      <c r="F10" s="682" t="n"/>
      <c r="G10" s="601" t="n"/>
      <c r="H10" s="755" t="n"/>
      <c r="I10" s="759" t="n"/>
      <c r="J10" s="759" t="n"/>
      <c r="K10" s="793" t="n"/>
      <c r="L10" s="29" t="n"/>
      <c r="M10" s="702" t="n"/>
      <c r="N10" s="71" t="n"/>
      <c r="P10" s="523" t="n"/>
      <c r="R10" s="614" t="n"/>
      <c r="T10" s="77" t="n"/>
      <c r="U10" s="771" t="n"/>
      <c r="V10" s="82" t="n"/>
      <c r="W10" s="823" t="n"/>
      <c r="X10" s="62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  <c r="AV10" s="50" t="n"/>
      <c r="AW10" s="49" t="n"/>
    </row>
    <row r="11" ht="10.5" customHeight="1" s="26">
      <c r="A11" s="622" t="n"/>
      <c r="B11" s="38" t="inlineStr">
        <is>
          <t>C</t>
        </is>
      </c>
      <c r="C11" s="607" t="n"/>
      <c r="D11" s="38" t="n"/>
      <c r="E11" s="38" t="n"/>
      <c r="F11" s="682" t="n"/>
      <c r="G11" s="601" t="n"/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124" t="n"/>
      <c r="V11" s="139" t="n"/>
      <c r="W11" s="251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  <c r="AV11" s="50" t="n"/>
      <c r="AW11" s="49" t="n"/>
    </row>
    <row r="12" ht="10.5" customHeight="1" s="26">
      <c r="A12" s="622" t="n"/>
      <c r="B12" s="38" t="inlineStr">
        <is>
          <t>C,1B,CI</t>
        </is>
      </c>
      <c r="C12" s="607" t="n"/>
      <c r="D12" s="38" t="n"/>
      <c r="E12" s="38" t="n"/>
      <c r="F12" s="682" t="n"/>
      <c r="G12" s="601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Tyler Soderstrom</t>
        </is>
      </c>
      <c r="P12" s="523" t="n"/>
      <c r="Q12" s="612" t="n">
        <v>4</v>
      </c>
      <c r="R12" s="614" t="n"/>
      <c r="S12" s="188" t="n">
        <v>2024</v>
      </c>
      <c r="T12" s="77" t="n"/>
      <c r="U12" s="857" t="n">
        <v>2</v>
      </c>
      <c r="V12" s="127" t="n"/>
      <c r="W12" s="821">
        <f>Y12-$B$1</f>
        <v/>
      </c>
      <c r="X12" s="62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  <c r="AV12" s="50" t="n"/>
      <c r="AW12" s="49" t="n"/>
    </row>
    <row r="13" ht="10.5" customHeight="1" s="26">
      <c r="A13" s="622" t="n"/>
      <c r="B13" s="38" t="inlineStr">
        <is>
          <t>OF</t>
        </is>
      </c>
      <c r="C13" s="607" t="n"/>
      <c r="D13" s="38" t="n"/>
      <c r="E13" s="38" t="n"/>
      <c r="F13" s="682" t="n"/>
      <c r="G13" s="601" t="n"/>
      <c r="H13" s="702" t="n"/>
      <c r="K13" s="619" t="n"/>
      <c r="L13" s="29" t="n"/>
      <c r="M13" s="702" t="n"/>
      <c r="N13" s="71" t="n"/>
      <c r="P13" s="523" t="n"/>
      <c r="R13" s="614" t="n"/>
      <c r="T13" s="77" t="n"/>
      <c r="U13" s="771" t="n"/>
      <c r="V13" s="127" t="n"/>
      <c r="W13" s="823" t="n"/>
      <c r="X13" s="62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  <c r="AV13" s="50" t="n"/>
      <c r="AW13" s="49" t="n"/>
    </row>
    <row r="14" ht="10.5" customHeight="1" s="26">
      <c r="A14" s="622" t="n"/>
      <c r="B14" s="38" t="inlineStr">
        <is>
          <t>OF</t>
        </is>
      </c>
      <c r="C14" s="607" t="n"/>
      <c r="D14" s="38" t="n"/>
      <c r="E14" s="38" t="n"/>
      <c r="F14" s="682" t="n"/>
      <c r="G14" s="601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523" t="n"/>
      <c r="P14" s="523" t="n"/>
      <c r="Q14" s="614" t="n"/>
      <c r="R14" s="614" t="n"/>
      <c r="S14" s="523" t="n"/>
      <c r="T14" s="523" t="n"/>
      <c r="U14" s="121" t="n"/>
      <c r="V14" s="139" t="n"/>
      <c r="W14" s="622" t="n"/>
      <c r="X14" s="622" t="n"/>
      <c r="Y14" s="622" t="n"/>
      <c r="Z14" s="622" t="n"/>
      <c r="AA14" s="125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  <c r="AV14" s="50" t="n"/>
      <c r="AW14" s="49" t="n"/>
    </row>
    <row r="15" ht="10.5" customHeight="1" s="26">
      <c r="A15" s="622" t="n"/>
      <c r="B15" s="38" t="inlineStr">
        <is>
          <t>OF</t>
        </is>
      </c>
      <c r="C15" s="607" t="n"/>
      <c r="D15" s="38" t="n"/>
      <c r="E15" s="38" t="n"/>
      <c r="F15" s="682" t="n"/>
      <c r="G15" s="601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Josh Jung</t>
        </is>
      </c>
      <c r="P15" s="541" t="n"/>
      <c r="Q15" s="186" t="n">
        <v>4</v>
      </c>
      <c r="R15" s="542" t="n"/>
      <c r="S15" s="188" t="n">
        <v>2023</v>
      </c>
      <c r="T15" s="77" t="n"/>
      <c r="U15" s="803" t="n">
        <v>4</v>
      </c>
      <c r="V15" s="127" t="n"/>
      <c r="W15" s="821">
        <f>Y15-$B$1</f>
        <v/>
      </c>
      <c r="X15" s="139" t="n"/>
      <c r="Y15" s="86">
        <f>S15+U15</f>
        <v/>
      </c>
      <c r="Z15" s="71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  <c r="AV15" s="50" t="n"/>
      <c r="AW15" s="49" t="n"/>
    </row>
    <row r="16" ht="10.5" customHeight="1" s="26">
      <c r="A16" s="622" t="n"/>
      <c r="B16" s="38" t="inlineStr">
        <is>
          <t>OF</t>
        </is>
      </c>
      <c r="C16" s="607" t="n"/>
      <c r="D16" s="38" t="n"/>
      <c r="E16" s="38" t="n"/>
      <c r="F16" s="682" t="n"/>
      <c r="G16" s="601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541" t="n"/>
      <c r="R16" s="542" t="n"/>
      <c r="T16" s="77" t="n"/>
      <c r="U16" s="771" t="n"/>
      <c r="V16" s="127" t="n"/>
      <c r="W16" s="823" t="n"/>
      <c r="X16" s="139" t="n"/>
      <c r="Z16" s="71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  <c r="AV16" s="50" t="n"/>
      <c r="AW16" s="49" t="n"/>
    </row>
    <row r="17" ht="10.5" customHeight="1" s="26">
      <c r="A17" s="622" t="n"/>
      <c r="B17" s="38" t="inlineStr">
        <is>
          <t>OF</t>
        </is>
      </c>
      <c r="C17" s="608" t="n"/>
      <c r="D17" s="38" t="n"/>
      <c r="E17" s="38" t="n"/>
      <c r="F17" s="682" t="n"/>
      <c r="G17" s="601" t="n"/>
      <c r="H17" s="702" t="n"/>
      <c r="K17" s="619" t="n"/>
      <c r="L17" s="29" t="n"/>
      <c r="M17" s="119" t="n"/>
      <c r="N17" s="71" t="n"/>
      <c r="O17" s="523" t="n"/>
      <c r="P17" s="523" t="n"/>
      <c r="Q17" s="523" t="n"/>
      <c r="R17" s="523" t="n"/>
      <c r="S17" s="523" t="n"/>
      <c r="T17" s="523" t="n"/>
      <c r="U17" s="138" t="n"/>
      <c r="V17" s="622" t="n"/>
      <c r="W17" s="251" t="n"/>
      <c r="X17" s="622" t="n"/>
      <c r="Y17" s="141" t="n"/>
      <c r="Z17" s="622" t="n"/>
      <c r="AA17" s="14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  <c r="AV17" s="50" t="n"/>
      <c r="AW17" s="49" t="n"/>
    </row>
    <row r="18" ht="10.5" customHeight="1" s="26">
      <c r="A18" s="622" t="n"/>
      <c r="B18" s="38" t="inlineStr">
        <is>
          <t>P</t>
        </is>
      </c>
      <c r="C18" s="607" t="n"/>
      <c r="D18" s="38" t="n"/>
      <c r="E18" s="38" t="n"/>
      <c r="F18" s="682" t="n"/>
      <c r="G18" s="601" t="n"/>
      <c r="H18" s="162">
        <f>CONCATENATE($B$1+1," Auction Budget acquired by trade (Offseason Only)")</f>
        <v/>
      </c>
      <c r="K18" s="809">
        <f>'Draft budget calc'!E10</f>
        <v/>
      </c>
      <c r="L18" s="29" t="n"/>
      <c r="M18" s="802" t="inlineStr">
        <is>
          <t>5th player contract --&gt;&gt;</t>
        </is>
      </c>
      <c r="N18" s="71" t="n"/>
      <c r="O18" s="527" t="n"/>
      <c r="P18" s="523" t="n"/>
      <c r="Q18" s="612" t="n"/>
      <c r="R18" s="614" t="n"/>
      <c r="S18" s="188" t="n"/>
      <c r="T18" s="77" t="n"/>
      <c r="U18" s="857" t="n"/>
      <c r="V18" s="127" t="n"/>
      <c r="W18" s="821">
        <f>Y18-$B$1</f>
        <v/>
      </c>
      <c r="X18" s="62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  <c r="AV18" s="50" t="n"/>
      <c r="AW18" s="49" t="n"/>
    </row>
    <row r="19" ht="10.5" customHeight="1" s="26">
      <c r="A19" s="622" t="n"/>
      <c r="B19" s="38" t="inlineStr">
        <is>
          <t>P</t>
        </is>
      </c>
      <c r="C19" s="607" t="n"/>
      <c r="D19" s="38" t="n"/>
      <c r="E19" s="38" t="n"/>
      <c r="F19" s="682" t="n"/>
      <c r="G19" s="601" t="n"/>
      <c r="H19" s="702" t="n"/>
      <c r="K19" s="619" t="n"/>
      <c r="L19" s="29" t="n"/>
      <c r="M19" s="702" t="n"/>
      <c r="N19" s="71" t="n"/>
      <c r="P19" s="523" t="n"/>
      <c r="R19" s="614" t="n"/>
      <c r="T19" s="77" t="n"/>
      <c r="U19" s="771" t="n"/>
      <c r="V19" s="127" t="n"/>
      <c r="W19" s="823" t="n"/>
      <c r="X19" s="62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  <c r="AV19" s="50" t="n"/>
      <c r="AW19" s="49" t="n"/>
    </row>
    <row r="20" ht="10.5" customHeight="1" s="26">
      <c r="A20" s="622" t="n"/>
      <c r="B20" s="38" t="inlineStr">
        <is>
          <t>P</t>
        </is>
      </c>
      <c r="C20" s="607" t="n"/>
      <c r="D20" s="38" t="n"/>
      <c r="E20" s="38" t="n"/>
      <c r="F20" s="682" t="n"/>
      <c r="G20" s="601" t="n"/>
      <c r="H20" s="702" t="n"/>
      <c r="K20" s="619" t="n"/>
      <c r="L20" s="29" t="n"/>
      <c r="M20" s="119" t="n"/>
      <c r="N20" s="71" t="n"/>
      <c r="O20" s="523" t="n"/>
      <c r="P20" s="523" t="n"/>
      <c r="Q20" s="614" t="n"/>
      <c r="R20" s="614" t="n"/>
      <c r="S20" s="523" t="n"/>
      <c r="T20" s="523" t="n"/>
      <c r="U20" s="121" t="n"/>
      <c r="V20" s="139" t="n"/>
      <c r="W20" s="620" t="n"/>
      <c r="X20" s="622" t="n"/>
      <c r="Y20" s="622" t="n"/>
      <c r="Z20" s="622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  <c r="AV20" s="50" t="n"/>
      <c r="AW20" s="49" t="n"/>
    </row>
    <row r="21" ht="10.5" customHeight="1" s="26">
      <c r="A21" s="622" t="n"/>
      <c r="B21" s="38" t="inlineStr">
        <is>
          <t>P</t>
        </is>
      </c>
      <c r="C21" s="607" t="n"/>
      <c r="D21" s="38" t="n"/>
      <c r="E21" s="38" t="n"/>
      <c r="F21" s="682" t="n"/>
      <c r="G21" s="601" t="n"/>
      <c r="H21" s="171" t="inlineStr">
        <is>
          <t>Min. IP Penalties</t>
        </is>
      </c>
      <c r="K21" s="810">
        <f>SUM(D66:E71)</f>
        <v/>
      </c>
      <c r="L21" s="29" t="n"/>
      <c r="M21" s="802" t="inlineStr">
        <is>
          <t>6th player contract --&gt;&gt;</t>
        </is>
      </c>
      <c r="N21" s="71" t="n"/>
      <c r="O21" s="527" t="n"/>
      <c r="P21" s="523" t="n"/>
      <c r="Q21" s="612" t="n"/>
      <c r="R21" s="614" t="n"/>
      <c r="S21" s="188" t="n"/>
      <c r="T21" s="77" t="n"/>
      <c r="U21" s="857" t="n"/>
      <c r="V21" s="79" t="n"/>
      <c r="W21" s="804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  <c r="AV21" s="50" t="n"/>
      <c r="AW21" s="49" t="n"/>
    </row>
    <row r="22" ht="10.5" customHeight="1" s="26">
      <c r="A22" s="622" t="n"/>
      <c r="B22" s="38" t="inlineStr">
        <is>
          <t>P</t>
        </is>
      </c>
      <c r="C22" s="607" t="n"/>
      <c r="D22" s="38" t="n"/>
      <c r="E22" s="38" t="n"/>
      <c r="F22" s="682" t="n"/>
      <c r="G22" s="601" t="n"/>
      <c r="H22" s="702" t="n"/>
      <c r="K22" s="619" t="n"/>
      <c r="L22" s="29" t="n"/>
      <c r="M22" s="702" t="n"/>
      <c r="N22" s="71" t="n"/>
      <c r="P22" s="523" t="n"/>
      <c r="R22" s="614" t="n"/>
      <c r="T22" s="77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  <c r="AV22" s="50" t="n"/>
      <c r="AW22" s="49" t="n"/>
    </row>
    <row r="23" ht="10.5" customHeight="1" s="26">
      <c r="A23" s="622" t="n"/>
      <c r="B23" s="38" t="inlineStr">
        <is>
          <t>P</t>
        </is>
      </c>
      <c r="C23" s="607" t="n"/>
      <c r="D23" s="38" t="n"/>
      <c r="E23" s="38" t="n"/>
      <c r="F23" s="682" t="n"/>
      <c r="G23" s="601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523" t="n"/>
      <c r="P23" s="523" t="n"/>
      <c r="Q23" s="523" t="n"/>
      <c r="R23" s="523" t="n"/>
      <c r="S23" s="523" t="n"/>
      <c r="T23" s="523" t="n"/>
      <c r="U23" s="121" t="n"/>
      <c r="V23" s="616" t="n"/>
      <c r="W23" s="124" t="n"/>
      <c r="X23" s="622" t="n"/>
      <c r="Y23" s="141" t="n"/>
      <c r="Z23" s="622" t="n"/>
      <c r="AA23" s="143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  <c r="AV23" s="50" t="n"/>
      <c r="AW23" s="49" t="n"/>
    </row>
    <row r="24" ht="10.5" customHeight="1" s="26">
      <c r="A24" s="622" t="n"/>
      <c r="B24" s="38" t="inlineStr">
        <is>
          <t>P</t>
        </is>
      </c>
      <c r="C24" s="607" t="n"/>
      <c r="D24" s="38" t="n"/>
      <c r="E24" s="38" t="n"/>
      <c r="F24" s="682" t="n"/>
      <c r="G24" s="601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527" t="n"/>
      <c r="P24" s="541" t="n"/>
      <c r="Q24" s="186" t="n"/>
      <c r="R24" s="542" t="n"/>
      <c r="S24" s="188" t="n"/>
      <c r="T24" s="77" t="n"/>
      <c r="U24" s="803" t="n"/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  <c r="AV24" s="50" t="n"/>
      <c r="AW24" s="49" t="n"/>
    </row>
    <row r="25" ht="10.5" customHeight="1" s="26">
      <c r="A25" s="622" t="n"/>
      <c r="B25" s="38" t="inlineStr">
        <is>
          <t>P</t>
        </is>
      </c>
      <c r="C25" s="607" t="n"/>
      <c r="D25" s="38" t="n"/>
      <c r="E25" s="38" t="n"/>
      <c r="F25" s="682" t="n"/>
      <c r="G25" s="601" t="n"/>
      <c r="H25" s="755" t="n"/>
      <c r="I25" s="759" t="n"/>
      <c r="J25" s="759" t="n"/>
      <c r="K25" s="793" t="n"/>
      <c r="L25" s="29" t="n"/>
      <c r="M25" s="702" t="n"/>
      <c r="N25" s="71" t="n"/>
      <c r="P25" s="541" t="n"/>
      <c r="R25" s="542" t="n"/>
      <c r="T25" s="77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  <c r="AV25" s="50" t="n"/>
      <c r="AW25" s="49" t="n"/>
    </row>
    <row r="26" ht="10.5" customHeight="1" s="26">
      <c r="A26" s="622" t="n"/>
      <c r="B26" s="38" t="inlineStr">
        <is>
          <t>P</t>
        </is>
      </c>
      <c r="C26" s="607" t="n"/>
      <c r="D26" s="38" t="n"/>
      <c r="E26" s="38" t="n"/>
      <c r="F26" s="682" t="n"/>
      <c r="G26" s="601" t="n"/>
      <c r="H26" s="622" t="n"/>
      <c r="I26" s="622" t="n"/>
      <c r="J26" s="622" t="n"/>
      <c r="K26" s="622" t="n"/>
      <c r="L26" s="29" t="n"/>
      <c r="M26" s="172" t="n"/>
      <c r="N26" s="622" t="n"/>
      <c r="O26" s="523" t="n"/>
      <c r="P26" s="523" t="n"/>
      <c r="Q26" s="614" t="n"/>
      <c r="R26" s="614" t="n"/>
      <c r="S26" s="523" t="n"/>
      <c r="T26" s="523" t="n"/>
      <c r="U26" s="121" t="n"/>
      <c r="V26" s="616" t="n"/>
      <c r="W26" s="124" t="n"/>
      <c r="X26" s="622" t="n"/>
      <c r="Y26" s="141" t="n"/>
      <c r="Z26" s="622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  <c r="AV26" s="50" t="n"/>
      <c r="AW26" s="49" t="n"/>
    </row>
    <row r="27" ht="10.5" customHeight="1" s="26">
      <c r="A27" s="622" t="n"/>
      <c r="B27" s="38" t="inlineStr">
        <is>
          <t>P</t>
        </is>
      </c>
      <c r="C27" s="607" t="n"/>
      <c r="D27" s="38" t="n"/>
      <c r="E27" s="38" t="n"/>
      <c r="F27" s="682" t="n"/>
      <c r="G27" s="601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527" t="n"/>
      <c r="P27" s="523" t="n"/>
      <c r="Q27" s="612" t="n"/>
      <c r="R27" s="614" t="n"/>
      <c r="S27" s="188" t="n"/>
      <c r="T27" s="77" t="n"/>
      <c r="U27" s="803" t="n"/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  <c r="AV27" s="50" t="n"/>
      <c r="AW27" s="49" t="n"/>
    </row>
    <row r="28" ht="10.5" customHeight="1" s="26">
      <c r="A28" s="622" t="n"/>
      <c r="B28" s="38" t="inlineStr">
        <is>
          <t>P</t>
        </is>
      </c>
      <c r="C28" s="608" t="n"/>
      <c r="D28" s="38" t="n"/>
      <c r="E28" s="38" t="n"/>
      <c r="F28" s="682" t="n"/>
      <c r="G28" s="601" t="n"/>
      <c r="H28" s="702" t="n"/>
      <c r="K28" s="619" t="n"/>
      <c r="L28" s="29" t="n"/>
      <c r="M28" s="702" t="n"/>
      <c r="N28" s="622" t="n"/>
      <c r="P28" s="523" t="n"/>
      <c r="R28" s="614" t="n"/>
      <c r="T28" s="77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  <c r="AV28" s="50" t="n"/>
      <c r="AW28" s="49" t="n"/>
    </row>
    <row r="29" ht="10.5" customHeight="1" s="26">
      <c r="A29" s="622" t="n"/>
      <c r="B29" s="38" t="inlineStr">
        <is>
          <t>P</t>
        </is>
      </c>
      <c r="C29" s="607" t="n"/>
      <c r="D29" s="38" t="n"/>
      <c r="E29" s="38" t="n"/>
      <c r="F29" s="682" t="n"/>
      <c r="G29" s="601" t="n"/>
      <c r="H29" s="702" t="n"/>
      <c r="K29" s="619" t="n"/>
      <c r="L29" s="29" t="n"/>
      <c r="M29" s="172" t="n"/>
      <c r="N29" s="622" t="n"/>
      <c r="O29" s="523" t="n"/>
      <c r="P29" s="523" t="n"/>
      <c r="Q29" s="523" t="n"/>
      <c r="R29" s="523" t="n"/>
      <c r="S29" s="523" t="n"/>
      <c r="T29" s="523" t="n"/>
      <c r="U29" s="121" t="n"/>
      <c r="V29" s="616" t="n"/>
      <c r="W29" s="124" t="n"/>
      <c r="X29" s="622" t="n"/>
      <c r="Y29" s="622" t="n"/>
      <c r="Z29" s="622" t="n"/>
      <c r="AA29" s="125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  <c r="AV29" s="50" t="n"/>
      <c r="AW29" s="49" t="n"/>
    </row>
    <row r="30" ht="10.5" customHeight="1" s="26">
      <c r="A30" s="622" t="n"/>
      <c r="B30" s="38" t="inlineStr">
        <is>
          <t>P</t>
        </is>
      </c>
      <c r="C30" s="607" t="n"/>
      <c r="D30" s="38" t="n"/>
      <c r="E30" s="38" t="n"/>
      <c r="F30" s="682" t="n"/>
      <c r="G30" s="601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527" t="n"/>
      <c r="P30" s="523" t="n"/>
      <c r="Q30" s="612" t="n"/>
      <c r="R30" s="614" t="n"/>
      <c r="S30" s="188" t="n"/>
      <c r="T30" s="77" t="n"/>
      <c r="U30" s="803" t="n"/>
      <c r="V30" s="79" t="n"/>
      <c r="W30" s="807">
        <f>Y30-$B$1</f>
        <v/>
      </c>
      <c r="X30" s="127" t="n"/>
      <c r="Y30" s="86">
        <f>S30+U30</f>
        <v/>
      </c>
      <c r="Z30" s="71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  <c r="AV30" s="50" t="n"/>
      <c r="AW30" s="49" t="n"/>
    </row>
    <row r="31" ht="10.5" customHeight="1" s="26">
      <c r="A31" s="622" t="n"/>
      <c r="B31" s="38" t="inlineStr">
        <is>
          <t>P</t>
        </is>
      </c>
      <c r="C31" s="607" t="n"/>
      <c r="D31" s="38" t="n"/>
      <c r="E31" s="38" t="n"/>
      <c r="F31" s="682" t="n"/>
      <c r="G31" s="218" t="n"/>
      <c r="H31" s="54" t="inlineStr">
        <is>
          <t>Roster Key</t>
        </is>
      </c>
      <c r="L31" s="29" t="n"/>
      <c r="M31" s="702" t="n"/>
      <c r="N31" s="71" t="n"/>
      <c r="P31" s="523" t="n"/>
      <c r="R31" s="614" t="n"/>
      <c r="T31" s="77" t="n"/>
      <c r="U31" s="771" t="n"/>
      <c r="V31" s="79" t="n"/>
      <c r="W31" s="771" t="n"/>
      <c r="X31" s="127" t="n"/>
      <c r="Z31" s="71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  <c r="AV31" s="50" t="n"/>
      <c r="AW31" s="49" t="n"/>
    </row>
    <row r="32" ht="10.5" customHeight="1" s="26">
      <c r="A32" s="622" t="n"/>
      <c r="B32" s="38" t="inlineStr">
        <is>
          <t>SS,MI</t>
        </is>
      </c>
      <c r="C32" s="607" t="n"/>
      <c r="D32" s="38" t="n"/>
      <c r="E32" s="38" t="n"/>
      <c r="F32" s="682" t="n"/>
      <c r="G32" s="218" t="n"/>
      <c r="L32" s="29" t="n"/>
      <c r="M32" s="172" t="n"/>
      <c r="N32" s="622" t="n"/>
      <c r="O32" s="523" t="n"/>
      <c r="P32" s="523" t="n"/>
      <c r="Q32" s="614" t="n"/>
      <c r="R32" s="614" t="n"/>
      <c r="S32" s="523" t="n"/>
      <c r="T32" s="523" t="n"/>
      <c r="U32" s="121" t="n"/>
      <c r="V32" s="616" t="n"/>
      <c r="W32" s="124" t="n"/>
      <c r="X32" s="622" t="n"/>
      <c r="Y32" s="141" t="n"/>
      <c r="Z32" s="622" t="n"/>
      <c r="AA32" s="143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  <c r="AV32" s="50" t="n"/>
      <c r="AW32" s="49" t="n"/>
    </row>
    <row r="33" ht="10.5" customHeight="1" s="26">
      <c r="A33" s="622" t="n"/>
      <c r="B33" s="38" t="inlineStr">
        <is>
          <t>SS,MI</t>
        </is>
      </c>
      <c r="C33" s="607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523" t="n"/>
      <c r="Q33" s="612" t="n"/>
      <c r="R33" s="614" t="n"/>
      <c r="S33" s="188" t="n"/>
      <c r="T33" s="77" t="n"/>
      <c r="U33" s="803" t="n"/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  <c r="AV33" s="50" t="n"/>
      <c r="AW33" s="49" t="n"/>
    </row>
    <row r="34" ht="10.5" customHeight="1" s="26">
      <c r="A34" s="622" t="n"/>
      <c r="B34" s="38" t="inlineStr">
        <is>
          <t>SS,MI</t>
        </is>
      </c>
      <c r="C34" s="607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523" t="n"/>
      <c r="R34" s="614" t="n"/>
      <c r="T34" s="77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  <c r="AV34" s="50" t="n"/>
      <c r="AW34" s="49" t="n"/>
    </row>
    <row r="35" ht="10.5" customHeight="1" s="26">
      <c r="A35" s="622" t="n"/>
      <c r="B35" s="199" t="inlineStr">
        <is>
          <t>DL 3</t>
        </is>
      </c>
      <c r="C35" s="443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266" t="n"/>
      <c r="R35" s="266" t="n"/>
      <c r="S35" s="622" t="n"/>
      <c r="T35" s="622" t="n"/>
      <c r="U35" s="526" t="n"/>
      <c r="V35" s="622" t="n"/>
      <c r="W35" s="623" t="n"/>
      <c r="X35" s="622" t="n"/>
      <c r="Y35" s="622" t="n"/>
      <c r="Z35" s="622" t="n"/>
      <c r="AA35" s="546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  <c r="AV35" s="50" t="n"/>
      <c r="AW35" s="49" t="n"/>
    </row>
    <row r="36" ht="10.5" customHeight="1" s="26">
      <c r="A36" s="622" t="n"/>
      <c r="B36" s="199" t="inlineStr">
        <is>
          <t>DL 4</t>
        </is>
      </c>
      <c r="C36" s="443" t="n"/>
      <c r="F36" s="209" t="n"/>
      <c r="G36" s="218" t="n"/>
      <c r="H36" s="622" t="n"/>
      <c r="I36" s="622" t="n"/>
      <c r="J36" s="872">
        <f>CONCATENATE("Keep ",M3,"?")</f>
        <v/>
      </c>
      <c r="K36" s="622" t="n"/>
      <c r="L36" s="29" t="n"/>
      <c r="M36" s="802" t="inlineStr">
        <is>
          <t>11th player contract --&gt;&gt;</t>
        </is>
      </c>
      <c r="N36" s="71" t="n"/>
      <c r="O36" s="527" t="n"/>
      <c r="P36" s="616" t="n"/>
      <c r="Q36" s="186" t="n"/>
      <c r="R36" s="624" t="n"/>
      <c r="S36" s="188" t="n"/>
      <c r="T36" s="79" t="n"/>
      <c r="U36" s="803" t="n"/>
      <c r="V36" s="79" t="n"/>
      <c r="W36" s="807">
        <f>Y36-$B$1</f>
        <v/>
      </c>
      <c r="X36" s="8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  <c r="AV36" s="50" t="n"/>
      <c r="AW36" s="49" t="n"/>
    </row>
    <row r="37" ht="10.5" customHeight="1" s="26">
      <c r="A37" s="622" t="n"/>
      <c r="B37" s="199" t="inlineStr">
        <is>
          <t>DL 5</t>
        </is>
      </c>
      <c r="C37" s="443" t="n"/>
      <c r="F37" s="209" t="n"/>
      <c r="G37" s="881" t="inlineStr">
        <is>
          <t>Drafted</t>
        </is>
      </c>
      <c r="I37" s="220" t="inlineStr">
        <is>
          <t>MLB</t>
        </is>
      </c>
      <c r="J37" s="759" t="n"/>
      <c r="K37" s="220" t="n"/>
      <c r="L37" s="29" t="n"/>
      <c r="M37" s="702" t="n"/>
      <c r="N37" s="71" t="n"/>
      <c r="P37" s="616" t="n"/>
      <c r="R37" s="146" t="n"/>
      <c r="T37" s="79" t="n"/>
      <c r="U37" s="771" t="n"/>
      <c r="V37" s="79" t="n"/>
      <c r="W37" s="771" t="n"/>
      <c r="X37" s="82" t="n"/>
      <c r="Z37" s="622" t="n"/>
      <c r="AA37" s="619" t="n"/>
      <c r="AB37" s="195" t="n"/>
      <c r="AC37" s="49" t="n"/>
      <c r="AD37" s="48" t="n"/>
      <c r="AE37" s="604" t="n"/>
      <c r="AF37" s="50" t="n"/>
      <c r="AG37" s="49" t="n"/>
      <c r="AH37" s="48" t="n"/>
      <c r="AI37" s="604" t="n"/>
      <c r="AJ37" s="50" t="n"/>
      <c r="AK37" s="49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  <c r="AV37" s="50" t="n"/>
      <c r="AW37" s="49" t="n"/>
    </row>
    <row r="38" ht="10.5" customHeight="1" s="26">
      <c r="A38" s="622" t="n"/>
      <c r="B38" s="222" t="inlineStr">
        <is>
          <t>Farm 1</t>
        </is>
      </c>
      <c r="C38" s="627" t="n"/>
      <c r="D38" s="753" t="n"/>
      <c r="E38" s="753" t="n"/>
      <c r="F38" s="628" t="n"/>
      <c r="G38" s="629" t="n"/>
      <c r="H38" s="753" t="n"/>
      <c r="I38" s="630" t="n"/>
      <c r="J38" s="444" t="n"/>
      <c r="K38" s="172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07" t="n"/>
      <c r="V38" s="622" t="n"/>
      <c r="W38" s="208" t="n"/>
      <c r="X38" s="622" t="n"/>
      <c r="Y38" s="622" t="n"/>
      <c r="Z38" s="622" t="n"/>
      <c r="AA38" s="125" t="n"/>
      <c r="AB38" s="195" t="n"/>
      <c r="AC38" s="49" t="n"/>
      <c r="AD38" s="48" t="n"/>
      <c r="AE38" s="604" t="n"/>
      <c r="AF38" s="50" t="n"/>
      <c r="AG38" s="49" t="n"/>
      <c r="AH38" s="48" t="n"/>
      <c r="AI38" s="604" t="n"/>
      <c r="AJ38" s="50" t="n"/>
      <c r="AK38" s="49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  <c r="AV38" s="50" t="n"/>
      <c r="AW38" s="49" t="n"/>
    </row>
    <row r="39" ht="10.5" customHeight="1" s="26">
      <c r="A39" s="622" t="n"/>
      <c r="B39" s="231" t="inlineStr">
        <is>
          <t>Farm 2</t>
        </is>
      </c>
      <c r="C39" s="530" t="n"/>
      <c r="F39" s="426" t="n"/>
      <c r="G39" s="351" t="n"/>
      <c r="I39" s="352" t="n"/>
      <c r="J39" s="552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622" t="n"/>
      <c r="W39" s="821">
        <f>Y39-$B$1</f>
        <v/>
      </c>
      <c r="X39" s="139" t="n"/>
      <c r="Y39" s="86">
        <f>S39+U39</f>
        <v/>
      </c>
      <c r="Z39" s="71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C39" s="49" t="n"/>
      <c r="AD39" s="48" t="n"/>
      <c r="AE39" s="604" t="n"/>
      <c r="AF39" s="50" t="n"/>
      <c r="AG39" s="49" t="n"/>
      <c r="AH39" s="48" t="n"/>
      <c r="AI39" s="604" t="n"/>
      <c r="AJ39" s="50" t="n"/>
      <c r="AK39" s="49" t="n"/>
      <c r="AL39" s="48" t="n"/>
      <c r="AM39" s="604" t="n"/>
      <c r="AN39" s="50" t="n"/>
      <c r="AO39" s="49" t="n"/>
      <c r="AR39" s="50" t="n"/>
      <c r="AT39" s="48" t="n"/>
      <c r="AU39" s="604" t="n"/>
      <c r="AV39" s="30" t="n"/>
    </row>
    <row r="40" ht="10.5" customHeight="1" s="26">
      <c r="A40" s="622" t="n"/>
      <c r="B40" s="231" t="inlineStr">
        <is>
          <t>Farm 3</t>
        </is>
      </c>
      <c r="C40" s="443" t="n"/>
      <c r="F40" s="367" t="n"/>
      <c r="G40" s="405" t="n"/>
      <c r="I40" s="445" t="n"/>
      <c r="J40" s="446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622" t="n"/>
      <c r="W40" s="823" t="n"/>
      <c r="X40" s="139" t="n"/>
      <c r="Z40" s="71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T40" s="48" t="n"/>
      <c r="AU40" s="604" t="n"/>
      <c r="AV40" s="30" t="n"/>
    </row>
    <row r="41" ht="10.5" customHeight="1" s="26">
      <c r="A41" s="622" t="n"/>
      <c r="B41" s="231" t="inlineStr">
        <is>
          <t>Farm 4</t>
        </is>
      </c>
      <c r="C41" s="443" t="n"/>
      <c r="F41" s="367" t="n"/>
      <c r="G41" s="405" t="n"/>
      <c r="I41" s="445" t="n"/>
      <c r="J41" s="446" t="n"/>
      <c r="K41" s="172" t="n"/>
      <c r="L41" s="29" t="n"/>
      <c r="M41" s="172" t="n"/>
      <c r="N41" s="622" t="n"/>
      <c r="O41" s="685" t="n"/>
      <c r="P41" s="622" t="n"/>
      <c r="Q41" s="247" t="n"/>
      <c r="R41" s="67" t="n"/>
      <c r="S41" s="248" t="n"/>
      <c r="T41" s="215" t="n"/>
      <c r="U41" s="250" t="n"/>
      <c r="V41" s="622" t="n"/>
      <c r="W41" s="251" t="n"/>
      <c r="X41" s="622" t="n"/>
      <c r="Y41" s="141" t="n"/>
      <c r="Z41" s="622" t="n"/>
      <c r="AA41" s="143" t="n"/>
      <c r="AB41" s="622" t="n"/>
      <c r="AD41" s="48" t="n"/>
      <c r="AE41" s="604" t="n"/>
      <c r="AF41" s="50" t="n"/>
      <c r="AG41" s="49" t="n"/>
      <c r="AJ41" s="50" t="n"/>
      <c r="AK41" s="49" t="n"/>
      <c r="AL41" s="48" t="n"/>
      <c r="AM41" s="604" t="n"/>
      <c r="AN41" s="30" t="n"/>
      <c r="AP41" s="48" t="n"/>
      <c r="AQ41" s="604" t="n"/>
      <c r="AR41" s="30" t="n"/>
      <c r="AT41" s="48" t="n"/>
      <c r="AU41" s="604" t="n"/>
      <c r="AV41" s="30" t="n"/>
    </row>
    <row r="42" ht="10.5" customHeight="1" s="26">
      <c r="A42" s="622" t="n"/>
      <c r="B42" s="231" t="inlineStr">
        <is>
          <t>Farm 5</t>
        </is>
      </c>
      <c r="C42" s="443" t="n"/>
      <c r="F42" s="367" t="n"/>
      <c r="G42" s="405" t="n"/>
      <c r="I42" s="445" t="n"/>
      <c r="J42" s="446" t="n"/>
      <c r="K42" s="172" t="n"/>
      <c r="L42" s="29" t="n"/>
      <c r="M42" s="824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30" t="n"/>
      <c r="AP42" s="48" t="n"/>
      <c r="AQ42" s="604" t="n"/>
      <c r="AR42" s="30" t="n"/>
      <c r="AT42" s="48" t="n"/>
      <c r="AU42" s="604" t="n"/>
      <c r="AV42" s="30" t="n"/>
    </row>
    <row r="43" ht="10.5" customHeight="1" s="26">
      <c r="A43" s="622" t="n"/>
      <c r="B43" s="231" t="inlineStr">
        <is>
          <t>Farm 6</t>
        </is>
      </c>
      <c r="C43" s="443" t="n"/>
      <c r="F43" s="367" t="n"/>
      <c r="G43" s="405" t="n"/>
      <c r="I43" s="445" t="n"/>
      <c r="J43" s="446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D43" s="48" t="n"/>
      <c r="AE43" s="604" t="n"/>
      <c r="AF43" s="30" t="n"/>
      <c r="AJ43" s="30" t="n"/>
      <c r="AL43" s="48" t="n"/>
      <c r="AM43" s="604" t="n"/>
      <c r="AN43" s="30" t="n"/>
      <c r="AP43" s="48" t="n"/>
      <c r="AQ43" s="604" t="n"/>
      <c r="AR43" s="30" t="n"/>
      <c r="AV43" s="30" t="n"/>
    </row>
    <row r="44" ht="10.5" customHeight="1" s="26">
      <c r="A44" s="622" t="n"/>
      <c r="B44" s="231" t="inlineStr">
        <is>
          <t>Farm 7</t>
        </is>
      </c>
      <c r="C44" s="443" t="n"/>
      <c r="F44" s="367" t="n"/>
      <c r="G44" s="405" t="n"/>
      <c r="I44" s="445" t="n"/>
      <c r="J44" s="446" t="n"/>
      <c r="K44" s="17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64" t="n"/>
      <c r="AB44" s="622" t="n"/>
      <c r="AD44" s="48" t="n"/>
      <c r="AE44" s="604" t="n"/>
      <c r="AF44" s="30" t="n"/>
      <c r="AJ44" s="30" t="n"/>
      <c r="AL44" s="48" t="n"/>
      <c r="AM44" s="604" t="n"/>
      <c r="AN44" s="30" t="n"/>
      <c r="AP44" s="48" t="n"/>
      <c r="AQ44" s="604" t="n"/>
      <c r="AR44" s="30" t="n"/>
      <c r="AV44" s="30" t="n"/>
    </row>
    <row r="45" ht="10.5" customHeight="1" s="26">
      <c r="A45" s="622" t="n"/>
      <c r="B45" s="231" t="inlineStr">
        <is>
          <t>Farm 8</t>
        </is>
      </c>
      <c r="C45" s="443" t="n"/>
      <c r="F45" s="367" t="n"/>
      <c r="G45" s="405" t="n"/>
      <c r="I45" s="445" t="n"/>
      <c r="J45" s="446" t="n"/>
      <c r="K45" s="172" t="n"/>
      <c r="L45" s="29" t="n"/>
      <c r="M45" s="824" t="inlineStr">
        <is>
          <t>14th player contract --&gt;&gt;</t>
        </is>
      </c>
      <c r="N45" s="71" t="n"/>
      <c r="O45" s="695" t="n"/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J45" s="30" t="n"/>
      <c r="AL45" s="48" t="n"/>
      <c r="AM45" s="604" t="n"/>
      <c r="AN45" s="30" t="n"/>
      <c r="AP45" s="48" t="n"/>
      <c r="AQ45" s="604" t="n"/>
      <c r="AR45" s="30" t="n"/>
      <c r="AV45" s="30" t="n"/>
    </row>
    <row r="46" ht="10.5" customHeight="1" s="26">
      <c r="A46" s="622" t="n"/>
      <c r="B46" s="231" t="inlineStr">
        <is>
          <t>Farm 9</t>
        </is>
      </c>
      <c r="C46" s="443" t="n"/>
      <c r="F46" s="367" t="n"/>
      <c r="G46" s="405" t="n"/>
      <c r="I46" s="445" t="n"/>
      <c r="J46" s="446" t="n"/>
      <c r="K46" s="62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30" t="n"/>
      <c r="AJ46" s="30" t="n"/>
      <c r="AL46" s="48" t="n"/>
      <c r="AM46" s="604" t="n"/>
      <c r="AN46" s="30" t="n"/>
      <c r="AP46" s="48" t="n"/>
      <c r="AQ46" s="604" t="n"/>
      <c r="AR46" s="30" t="n"/>
      <c r="AV46" s="30" t="n"/>
    </row>
    <row r="47" ht="10.5" customHeight="1" s="26">
      <c r="A47" s="622" t="n"/>
      <c r="B47" s="231" t="inlineStr">
        <is>
          <t>Farm 10</t>
        </is>
      </c>
      <c r="C47" s="443" t="n"/>
      <c r="F47" s="367" t="n"/>
      <c r="G47" s="405" t="n"/>
      <c r="I47" s="445" t="n"/>
      <c r="J47" s="446" t="n"/>
      <c r="K47" s="62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C47" s="49" t="n"/>
      <c r="AD47" s="48" t="n"/>
      <c r="AE47" s="604" t="n"/>
      <c r="AF47" s="312" t="n"/>
      <c r="AG47" s="48" t="n"/>
      <c r="AJ47" s="312" t="n"/>
      <c r="AK47" s="48" t="n"/>
      <c r="AL47" s="48" t="n"/>
      <c r="AM47" s="604" t="n"/>
      <c r="AN47" s="312" t="n"/>
      <c r="AO47" s="48" t="n"/>
      <c r="AP47" s="48" t="n"/>
      <c r="AQ47" s="604" t="n"/>
      <c r="AR47" s="312" t="n"/>
      <c r="AS47" s="48" t="n"/>
      <c r="AT47" s="48" t="n"/>
      <c r="AU47" s="48" t="n"/>
      <c r="AV47" s="312" t="n"/>
      <c r="AW47" s="48" t="n"/>
    </row>
    <row r="48" ht="10.5" customHeight="1" s="26">
      <c r="A48" s="622" t="n"/>
      <c r="B48" s="231" t="inlineStr">
        <is>
          <t>Farm 11</t>
        </is>
      </c>
      <c r="C48" s="443" t="n"/>
      <c r="F48" s="367" t="n"/>
      <c r="G48" s="405" t="n"/>
      <c r="I48" s="445" t="n"/>
      <c r="J48" s="446" t="n"/>
      <c r="K48" s="622" t="n"/>
      <c r="L48" s="29" t="n"/>
      <c r="M48" s="824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C48" s="49" t="n"/>
      <c r="AD48" s="48" t="n"/>
      <c r="AE48" s="604" t="n"/>
      <c r="AF48" s="312" t="n"/>
      <c r="AG48" s="48" t="n"/>
      <c r="AJ48" s="312" t="n"/>
      <c r="AK48" s="48" t="n"/>
      <c r="AL48" s="48" t="n"/>
      <c r="AM48" s="604" t="n"/>
      <c r="AN48" s="312" t="n"/>
      <c r="AO48" s="48" t="n"/>
      <c r="AP48" s="48" t="n"/>
      <c r="AQ48" s="604" t="n"/>
      <c r="AR48" s="312" t="n"/>
      <c r="AS48" s="48" t="n"/>
      <c r="AT48" s="48" t="n"/>
      <c r="AU48" s="48" t="n"/>
      <c r="AV48" s="312" t="n"/>
      <c r="AW48" s="48" t="n"/>
    </row>
    <row r="49" ht="10.5" customHeight="1" s="26">
      <c r="A49" s="622" t="n"/>
      <c r="B49" s="231" t="inlineStr">
        <is>
          <t>Farm 12</t>
        </is>
      </c>
      <c r="C49" s="443" t="n"/>
      <c r="F49" s="367" t="n"/>
      <c r="G49" s="405" t="n"/>
      <c r="I49" s="445" t="n"/>
      <c r="J49" s="446" t="n"/>
      <c r="K49" s="293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C49" s="49" t="n"/>
      <c r="AD49" s="48" t="n"/>
      <c r="AE49" s="604" t="n"/>
      <c r="AF49" s="336" t="n"/>
      <c r="AG49" s="48" t="n"/>
      <c r="AJ49" s="336" t="n"/>
      <c r="AK49" s="48" t="n"/>
      <c r="AL49" s="48" t="n"/>
      <c r="AM49" s="604" t="n"/>
      <c r="AN49" s="336" t="n"/>
      <c r="AO49" s="48" t="n"/>
      <c r="AP49" s="48" t="n"/>
      <c r="AQ49" s="604" t="n"/>
      <c r="AR49" s="336" t="n"/>
      <c r="AS49" s="48" t="n"/>
      <c r="AT49" s="48" t="n"/>
      <c r="AU49" s="312" t="n"/>
      <c r="AV49" s="336" t="n"/>
      <c r="AW49" s="48" t="n"/>
    </row>
    <row r="50" ht="10.5" customHeight="1" s="26">
      <c r="A50" s="622" t="n"/>
      <c r="B50" s="231" t="inlineStr">
        <is>
          <t>Farm 13</t>
        </is>
      </c>
      <c r="C50" s="443" t="n"/>
      <c r="F50" s="367" t="n"/>
      <c r="G50" s="405" t="n"/>
      <c r="I50" s="445" t="n"/>
      <c r="J50" s="446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336" t="n"/>
      <c r="AG50" s="48" t="n"/>
      <c r="AJ50" s="336" t="n"/>
      <c r="AK50" s="48" t="n"/>
      <c r="AL50" s="48" t="n"/>
      <c r="AM50" s="604" t="n"/>
      <c r="AN50" s="336" t="n"/>
      <c r="AO50" s="48" t="n"/>
      <c r="AP50" s="48" t="n"/>
      <c r="AQ50" s="604" t="n"/>
      <c r="AR50" s="336" t="n"/>
      <c r="AS50" s="48" t="n"/>
      <c r="AT50" s="48" t="n"/>
      <c r="AU50" s="312" t="n"/>
      <c r="AV50" s="336" t="n"/>
      <c r="AW50" s="48" t="n"/>
    </row>
    <row r="51" ht="10.5" customHeight="1" s="26">
      <c r="A51" s="622" t="n"/>
      <c r="B51" s="231" t="inlineStr">
        <is>
          <t>Farm 14</t>
        </is>
      </c>
      <c r="C51" s="443" t="n"/>
      <c r="F51" s="367" t="n"/>
      <c r="G51" s="405" t="n"/>
      <c r="I51" s="445" t="n"/>
      <c r="J51" s="446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C51" s="49" t="n"/>
      <c r="AD51" s="48" t="n"/>
      <c r="AE51" s="604" t="n"/>
      <c r="AF51" s="50" t="n"/>
      <c r="AG51" s="49" t="n"/>
      <c r="AJ51" s="336" t="n"/>
      <c r="AK51" s="48" t="n"/>
      <c r="AL51" s="48" t="n"/>
      <c r="AM51" s="604" t="n"/>
      <c r="AN51" s="336" t="n"/>
      <c r="AO51" s="48" t="n"/>
      <c r="AP51" s="48" t="n"/>
      <c r="AQ51" s="604" t="n"/>
      <c r="AR51" s="336" t="n"/>
      <c r="AS51" s="48" t="n"/>
      <c r="AT51" s="48" t="n"/>
      <c r="AU51" s="312" t="n"/>
      <c r="AV51" s="336" t="n"/>
      <c r="AW51" s="48" t="n"/>
    </row>
    <row r="52" ht="10.5" customHeight="1" s="26">
      <c r="B52" s="231" t="inlineStr">
        <is>
          <t>Farm 15</t>
        </is>
      </c>
      <c r="C52" s="443" t="n"/>
      <c r="F52" s="367" t="n"/>
      <c r="G52" s="405" t="n"/>
      <c r="I52" s="445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C52" s="49" t="n"/>
      <c r="AD52" s="48" t="n"/>
      <c r="AE52" s="604" t="n"/>
      <c r="AF52" s="50" t="n"/>
      <c r="AG52" s="49" t="n"/>
      <c r="AJ52" s="336" t="n"/>
      <c r="AK52" s="48" t="n"/>
      <c r="AL52" s="48" t="n"/>
      <c r="AM52" s="604" t="n"/>
      <c r="AN52" s="336" t="n"/>
      <c r="AO52" s="48" t="n"/>
      <c r="AP52" s="48" t="n"/>
      <c r="AQ52" s="604" t="n"/>
      <c r="AR52" s="336" t="n"/>
      <c r="AS52" s="48" t="n"/>
      <c r="AT52" s="48" t="n"/>
      <c r="AU52" s="312" t="n"/>
      <c r="AV52" s="336" t="n"/>
      <c r="AW52" s="48" t="n"/>
    </row>
    <row r="53" ht="10.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50" t="n"/>
      <c r="AG53" s="49" t="n"/>
      <c r="AH53" s="48" t="n"/>
      <c r="AI53" s="604" t="n"/>
      <c r="AJ53" s="336" t="n"/>
      <c r="AK53" s="48" t="n"/>
      <c r="AL53" s="48" t="n"/>
      <c r="AM53" s="604" t="n"/>
      <c r="AN53" s="336" t="n"/>
      <c r="AO53" s="48" t="n"/>
      <c r="AP53" s="48" t="n"/>
      <c r="AQ53" s="604" t="n"/>
      <c r="AR53" s="336" t="n"/>
      <c r="AS53" s="48" t="n"/>
      <c r="AT53" s="48" t="n"/>
      <c r="AU53" s="312" t="n"/>
      <c r="AV53" s="336" t="n"/>
      <c r="AW53" s="48" t="n"/>
    </row>
    <row r="54" ht="10.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8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50" t="n"/>
      <c r="AG54" s="49" t="n"/>
      <c r="AH54" s="48" t="n"/>
      <c r="AI54" s="604" t="n"/>
      <c r="AJ54" s="50" t="n"/>
      <c r="AK54" s="49" t="n"/>
      <c r="AL54" s="48" t="n"/>
      <c r="AM54" s="604" t="n"/>
      <c r="AN54" s="50" t="n"/>
      <c r="AO54" s="49" t="n"/>
      <c r="AP54" s="48" t="n"/>
      <c r="AQ54" s="604" t="n"/>
      <c r="AR54" s="50" t="n"/>
      <c r="AS54" s="49" t="n"/>
      <c r="AT54" s="48" t="n"/>
      <c r="AU54" s="604" t="n"/>
      <c r="AV54" s="50" t="n"/>
      <c r="AW54" s="49" t="n"/>
    </row>
    <row r="55" ht="10.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695" t="inlineStr">
        <is>
          <t>Gleyber Torres</t>
        </is>
      </c>
      <c r="P55" s="622" t="n"/>
      <c r="Q55" s="471" t="n">
        <v>5</v>
      </c>
      <c r="R55" s="67" t="n"/>
      <c r="S55" s="458" t="n">
        <v>2019</v>
      </c>
      <c r="T55" s="215" t="n"/>
      <c r="U55" s="820" t="n">
        <v>6</v>
      </c>
      <c r="V55" s="323" t="n"/>
      <c r="W55" s="835">
        <f>Y55-$B$1</f>
        <v/>
      </c>
      <c r="X55" s="323" t="n"/>
      <c r="Y55" s="836">
        <f>S55+U55</f>
        <v/>
      </c>
      <c r="Z55" s="335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50" t="n"/>
      <c r="AG55" s="49" t="n"/>
      <c r="AH55" s="48" t="n"/>
      <c r="AI55" s="604" t="n"/>
      <c r="AJ55" s="50" t="n"/>
      <c r="AK55" s="49" t="n"/>
      <c r="AL55" s="48" t="n"/>
      <c r="AM55" s="604" t="n"/>
      <c r="AN55" s="50" t="n"/>
      <c r="AO55" s="49" t="n"/>
      <c r="AP55" s="48" t="n"/>
      <c r="AQ55" s="604" t="n"/>
      <c r="AR55" s="50" t="n"/>
      <c r="AS55" s="49" t="n"/>
      <c r="AT55" s="48" t="n"/>
      <c r="AU55" s="604" t="n"/>
      <c r="AV55" s="50" t="n"/>
      <c r="AW55" s="49" t="n"/>
    </row>
    <row r="56" ht="10.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622" t="n"/>
      <c r="R56" s="67" t="n"/>
      <c r="T56" s="215" t="n"/>
      <c r="U56" s="823" t="n"/>
      <c r="V56" s="339" t="n"/>
      <c r="W56" s="779" t="n"/>
      <c r="X56" s="339" t="n"/>
      <c r="Y56" s="779" t="n"/>
      <c r="Z56" s="342" t="n"/>
      <c r="AA56" s="619" t="n"/>
      <c r="AB56" s="622" t="n"/>
      <c r="AC56" s="49" t="n"/>
      <c r="AD56" s="48" t="n"/>
      <c r="AE56" s="604" t="n"/>
      <c r="AF56" s="50" t="n"/>
      <c r="AG56" s="49" t="n"/>
      <c r="AH56" s="48" t="n"/>
      <c r="AI56" s="604" t="n"/>
      <c r="AJ56" s="50" t="n"/>
      <c r="AK56" s="49" t="n"/>
      <c r="AL56" s="48" t="n"/>
      <c r="AM56" s="604" t="n"/>
      <c r="AN56" s="50" t="n"/>
      <c r="AO56" s="49" t="n"/>
      <c r="AP56" s="48" t="n"/>
      <c r="AQ56" s="604" t="n"/>
      <c r="AR56" s="50" t="n"/>
      <c r="AS56" s="49" t="n"/>
      <c r="AT56" s="48" t="n"/>
      <c r="AU56" s="604" t="n"/>
      <c r="AV56" s="50" t="n"/>
      <c r="AW56" s="49" t="n"/>
    </row>
    <row r="57" ht="10.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H57" s="48" t="n"/>
      <c r="AI57" s="604" t="n"/>
      <c r="AJ57" s="50" t="n"/>
      <c r="AK57" s="49" t="n"/>
      <c r="AL57" s="48" t="n"/>
      <c r="AM57" s="604" t="n"/>
      <c r="AN57" s="50" t="n"/>
      <c r="AO57" s="49" t="n"/>
      <c r="AP57" s="48" t="n"/>
      <c r="AQ57" s="604" t="n"/>
      <c r="AR57" s="50" t="n"/>
      <c r="AS57" s="49" t="n"/>
      <c r="AT57" s="48" t="n"/>
      <c r="AU57" s="604" t="n"/>
      <c r="AV57" s="50" t="n"/>
      <c r="AW57" s="49" t="n"/>
    </row>
    <row r="58" ht="10.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J58" s="50" t="n"/>
      <c r="AK58" s="49" t="n"/>
      <c r="AL58" s="48" t="n"/>
      <c r="AM58" s="604" t="n"/>
      <c r="AN58" s="50" t="n"/>
      <c r="AO58" s="49" t="n"/>
      <c r="AP58" s="48" t="n"/>
      <c r="AQ58" s="604" t="n"/>
      <c r="AR58" s="50" t="n"/>
      <c r="AS58" s="49" t="n"/>
      <c r="AT58" s="48" t="n"/>
      <c r="AU58" s="604" t="n"/>
      <c r="AV58" s="50" t="n"/>
      <c r="AW58" s="49" t="n"/>
    </row>
    <row r="59" ht="10.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  <c r="AV59" s="50" t="n"/>
      <c r="AW59" s="49" t="n"/>
    </row>
    <row r="60" ht="10.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  <c r="AV60" s="50" t="n"/>
      <c r="AW60" s="49" t="n"/>
    </row>
    <row r="61" ht="10.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  <c r="AV61" s="50" t="n"/>
      <c r="AW61" s="49" t="n"/>
    </row>
    <row r="62" ht="10.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876" t="inlineStr">
        <is>
          <t>Camilo Doval</t>
        </is>
      </c>
      <c r="P62" s="323" t="n"/>
      <c r="Q62" s="882" t="n">
        <v>5</v>
      </c>
      <c r="R62" s="325" t="n"/>
      <c r="S62" s="833" t="n">
        <v>2023</v>
      </c>
      <c r="T62" s="327" t="n"/>
      <c r="U62" s="834" t="n">
        <v>2</v>
      </c>
      <c r="V62" s="323" t="n"/>
      <c r="W62" s="835">
        <f>Y62-$B$1</f>
        <v/>
      </c>
      <c r="X62" s="323" t="n"/>
      <c r="Y62" s="836">
        <f>S62+U62</f>
        <v/>
      </c>
      <c r="Z62" s="335" t="n"/>
      <c r="AA62" s="642">
        <f>IF(U62=1,Q62,IF(U62=2,Q62+5,IF(U62=3,Q62+10,IF(U62&gt;3,Q62+U62*3))))</f>
        <v/>
      </c>
      <c r="AB62" s="622" t="n"/>
      <c r="AF62" s="30" t="n"/>
      <c r="AJ62" s="30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  <c r="AV62" s="50" t="n"/>
      <c r="AW62" s="49" t="n"/>
    </row>
    <row r="63" ht="10.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O63" s="779" t="n"/>
      <c r="P63" s="339" t="n"/>
      <c r="Q63" s="779" t="n"/>
      <c r="R63" s="340" t="n"/>
      <c r="S63" s="779" t="n"/>
      <c r="T63" s="341" t="n"/>
      <c r="U63" s="779" t="n"/>
      <c r="V63" s="339" t="n"/>
      <c r="W63" s="779" t="n"/>
      <c r="X63" s="339" t="n"/>
      <c r="Y63" s="779" t="n"/>
      <c r="Z63" s="342" t="n"/>
      <c r="AB63" s="622" t="n"/>
      <c r="AF63" s="30" t="n"/>
      <c r="AJ63" s="30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  <c r="AV63" s="50" t="n"/>
      <c r="AW63" s="49" t="n"/>
    </row>
    <row r="64" ht="10.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>
        <v>2024</v>
      </c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F64" s="30" t="n"/>
      <c r="AJ64" s="30" t="n"/>
      <c r="AL64" s="48" t="n"/>
      <c r="AM64" s="604" t="n"/>
      <c r="AN64" s="50" t="n"/>
      <c r="AO64" s="49" t="n"/>
      <c r="AR64" s="50" t="n"/>
      <c r="AS64" s="49" t="n"/>
      <c r="AT64" s="48" t="n"/>
      <c r="AU64" s="604" t="n"/>
      <c r="AV64" s="50" t="n"/>
      <c r="AW64" s="49" t="n"/>
    </row>
    <row r="65" ht="10.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F65" s="30" t="n"/>
      <c r="AJ65" s="30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  <c r="AV65" s="50" t="n"/>
      <c r="AW65" s="49" t="n"/>
    </row>
    <row r="66" ht="10.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F66" s="30" t="n"/>
      <c r="AJ66" s="30" t="n"/>
      <c r="AL66" s="48" t="n"/>
      <c r="AM66" s="604" t="n"/>
      <c r="AN66" s="30" t="n"/>
      <c r="AP66" s="48" t="n"/>
      <c r="AQ66" s="604" t="n"/>
      <c r="AR66" s="50" t="n"/>
      <c r="AS66" s="49" t="n"/>
      <c r="AT66" s="48" t="n"/>
      <c r="AU66" s="604" t="n"/>
      <c r="AV66" s="50" t="n"/>
      <c r="AW66" s="49" t="n"/>
    </row>
    <row r="67" ht="10.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30" t="n"/>
      <c r="AP67" s="48" t="n"/>
      <c r="AQ67" s="604" t="n"/>
      <c r="AR67" s="50" t="n"/>
      <c r="AS67" s="49" t="n"/>
      <c r="AT67" s="48" t="n"/>
      <c r="AU67" s="604" t="n"/>
      <c r="AV67" s="50" t="n"/>
      <c r="AW67" s="49" t="n"/>
    </row>
    <row r="68" ht="10.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30" t="n"/>
      <c r="AP68" s="48" t="n"/>
      <c r="AQ68" s="604" t="n"/>
      <c r="AR68" s="50" t="n"/>
      <c r="AS68" s="49" t="n"/>
      <c r="AT68" s="48" t="n"/>
      <c r="AU68" s="604" t="n"/>
      <c r="AV68" s="50" t="n"/>
      <c r="AW68" s="49" t="n"/>
    </row>
    <row r="69" ht="10.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31" t="n"/>
      <c r="P69" s="323" t="n"/>
      <c r="Q69" s="832" t="n"/>
      <c r="R69" s="325" t="n"/>
      <c r="S69" s="833" t="n"/>
      <c r="T69" s="327" t="n"/>
      <c r="U69" s="834" t="n"/>
      <c r="V69" s="323" t="n"/>
      <c r="W69" s="835">
        <f>Y69-$B$1</f>
        <v/>
      </c>
      <c r="X69" s="323" t="n"/>
      <c r="Y69" s="836">
        <f>S69+U69</f>
        <v/>
      </c>
      <c r="Z69" s="335" t="n"/>
      <c r="AA69" s="492">
        <f>IF(U69=1,Q69,IF(U69=2,Q69+5,IF(U69=3,Q69+10,IF(U69&gt;3,Q69+U69*3))))</f>
        <v/>
      </c>
      <c r="AB69" s="622" t="n"/>
      <c r="AF69" s="30" t="n"/>
      <c r="AJ69" s="30" t="n"/>
      <c r="AL69" s="48" t="n"/>
      <c r="AM69" s="604" t="n"/>
      <c r="AN69" s="30" t="n"/>
      <c r="AP69" s="48" t="n"/>
      <c r="AQ69" s="604" t="n"/>
      <c r="AR69" s="50" t="n"/>
      <c r="AS69" s="49" t="n"/>
      <c r="AT69" s="48" t="n"/>
      <c r="AU69" s="604" t="n"/>
      <c r="AV69" s="50" t="n"/>
      <c r="AW69" s="49" t="n"/>
    </row>
    <row r="70" ht="10.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B70" s="622" t="n"/>
      <c r="AF70" s="30" t="n"/>
      <c r="AJ70" s="30" t="n"/>
      <c r="AL70" s="48" t="n"/>
      <c r="AM70" s="604" t="n"/>
      <c r="AN70" s="30" t="n"/>
      <c r="AP70" s="48" t="n"/>
      <c r="AQ70" s="604" t="n"/>
      <c r="AR70" s="50" t="n"/>
      <c r="AS70" s="49" t="n"/>
      <c r="AT70" s="48" t="n"/>
      <c r="AU70" s="604" t="n"/>
      <c r="AV70" s="50" t="n"/>
      <c r="AW70" s="49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P71" s="48" t="n"/>
      <c r="AQ71" s="604" t="n"/>
      <c r="AR71" s="50" t="n"/>
      <c r="AS71" s="49" t="n"/>
      <c r="AT71" s="48" t="n"/>
      <c r="AU71" s="604" t="n"/>
      <c r="AV71" s="50" t="n"/>
      <c r="AW71" s="49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604" t="n"/>
      <c r="AN72" s="30" t="n"/>
      <c r="AR72" s="30" t="n"/>
      <c r="AV72" s="30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30" t="n"/>
      <c r="AR73" s="30" t="n"/>
      <c r="AV73" s="30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481" t="n"/>
      <c r="AN74" s="30" t="n"/>
      <c r="AR74" s="30" t="n"/>
      <c r="AV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604" t="n"/>
      <c r="AN75" s="30" t="n"/>
      <c r="AR75" s="30" t="n"/>
      <c r="AV75" s="30" t="n"/>
    </row>
    <row r="76" ht="11.25" customHeight="1" s="26"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492">
        <f>IF(U76=1,Q76,IF(U76=2,Q76+5,IF(U76=3,Q76+10,IF(U76&gt;3,Q76+U76*3))))</f>
        <v/>
      </c>
      <c r="AB76" s="622" t="n"/>
      <c r="AF76" s="30" t="n"/>
      <c r="AJ76" s="30" t="n"/>
      <c r="AL76" s="48" t="n"/>
      <c r="AM76" s="604" t="n"/>
      <c r="AN76" s="30" t="n"/>
      <c r="AR76" s="30" t="n"/>
      <c r="AV76" s="30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B77" s="622" t="n"/>
      <c r="AF77" s="30" t="n"/>
      <c r="AJ77" s="30" t="n"/>
      <c r="AL77" s="48" t="n"/>
      <c r="AM77" s="604" t="n"/>
      <c r="AN77" s="30" t="n"/>
      <c r="AR77" s="30" t="n"/>
      <c r="AV77" s="30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</row>
    <row r="83" ht="11.25" customHeight="1" s="26"/>
    <row r="84" ht="11.25" customHeight="1" s="26"/>
    <row r="85" ht="11.25" customHeight="1" s="26"/>
    <row r="86" ht="11.25" customHeight="1" s="26"/>
    <row r="87" ht="11.25" customHeight="1" s="26"/>
    <row r="88" ht="11.25" customHeight="1" s="26"/>
    <row r="89" ht="11.25" customHeight="1" s="26"/>
    <row r="90" ht="11.25" customHeight="1" s="26"/>
    <row r="91" ht="11.25" customHeight="1" s="26"/>
    <row r="92" ht="11.25" customHeight="1" s="26"/>
    <row r="93" ht="11.25" customHeight="1" s="26"/>
    <row r="94" ht="11.25" customHeight="1" s="26"/>
    <row r="95" ht="11.25" customHeight="1" s="26"/>
    <row r="96" ht="11.25" customHeight="1" s="26"/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3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U69:U70"/>
    <mergeCell ref="M9:M1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W66:Y66"/>
    <mergeCell ref="Q42:Q43"/>
    <mergeCell ref="S42:S43"/>
    <mergeCell ref="C36:E36"/>
    <mergeCell ref="M15:M16"/>
    <mergeCell ref="Y39:Y40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C35:E35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K12:K13"/>
    <mergeCell ref="Q69:Q70"/>
    <mergeCell ref="S69:S70"/>
    <mergeCell ref="G53:H53"/>
    <mergeCell ref="S9:S10"/>
    <mergeCell ref="Y6:Y7"/>
    <mergeCell ref="K14:K15"/>
    <mergeCell ref="Q66:S66"/>
    <mergeCell ref="AA64:AA65"/>
    <mergeCell ref="M42:M43"/>
    <mergeCell ref="O42:O43"/>
    <mergeCell ref="U39:U40"/>
    <mergeCell ref="W39:W40"/>
    <mergeCell ref="O6:O7"/>
    <mergeCell ref="Q62:Q63"/>
    <mergeCell ref="W24:W25"/>
    <mergeCell ref="V78:Z79"/>
    <mergeCell ref="Y24:Y25"/>
    <mergeCell ref="S62:S63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M69:M70"/>
    <mergeCell ref="Q33:Q34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W36:W37 W42:W43 W45:W46 W48:W49">
    <cfRule type="cellIs" priority="1" operator="equal" dxfId="0">
      <formula>0</formula>
    </cfRule>
  </conditionalFormatting>
  <conditionalFormatting sqref="W39:W40">
    <cfRule type="cellIs" priority="2" operator="equal" dxfId="0">
      <formula>0</formula>
    </cfRule>
  </conditionalFormatting>
  <conditionalFormatting sqref="J43 J49">
    <cfRule type="expression" priority="3" dxfId="1">
      <formula>ISNUMBER($F43)</formula>
    </cfRule>
  </conditionalFormatting>
  <conditionalFormatting sqref="J46">
    <cfRule type="expression" priority="4" dxfId="1">
      <formula>ISNUMBER($F46)</formula>
    </cfRule>
  </conditionalFormatting>
  <conditionalFormatting sqref="J41 J47">
    <cfRule type="expression" priority="5" dxfId="1">
      <formula>ISNUMBER($F41)</formula>
    </cfRule>
  </conditionalFormatting>
  <conditionalFormatting sqref="J42 J48">
    <cfRule type="expression" priority="6" dxfId="1">
      <formula>ISNUMBER($F42)</formula>
    </cfRule>
  </conditionalFormatting>
  <conditionalFormatting sqref="J44 J50">
    <cfRule type="expression" priority="7" dxfId="1">
      <formula>ISNUMBER($F44)</formula>
    </cfRule>
  </conditionalFormatting>
  <conditionalFormatting sqref="J56">
    <cfRule type="expression" priority="8" dxfId="1">
      <formula>ISNUMBER($F56)</formula>
    </cfRule>
  </conditionalFormatting>
  <conditionalFormatting sqref="J57">
    <cfRule type="expression" priority="9" dxfId="1">
      <formula>ISNUMBER($F57)</formula>
    </cfRule>
  </conditionalFormatting>
  <conditionalFormatting sqref="J52">
    <cfRule type="expression" priority="10" dxfId="1">
      <formula>ISNUMBER($F52)</formula>
    </cfRule>
  </conditionalFormatting>
  <conditionalFormatting sqref="J45 J51">
    <cfRule type="expression" priority="11" dxfId="1">
      <formula>ISNUMBER($F45)</formula>
    </cfRule>
  </conditionalFormatting>
  <conditionalFormatting sqref="J53">
    <cfRule type="expression" priority="12" dxfId="1">
      <formula>ISNUMBER($F53)</formula>
    </cfRule>
  </conditionalFormatting>
  <conditionalFormatting sqref="J54">
    <cfRule type="expression" priority="13" dxfId="1">
      <formula>ISNUMBER($F54)</formula>
    </cfRule>
  </conditionalFormatting>
  <conditionalFormatting sqref="J41">
    <cfRule type="expression" priority="14" dxfId="1">
      <formula>ISNUMBER($F41)</formula>
    </cfRule>
  </conditionalFormatting>
  <conditionalFormatting sqref="J39:J40">
    <cfRule type="expression" priority="15" dxfId="1">
      <formula>ISNUMBER($F39)</formula>
    </cfRule>
  </conditionalFormatting>
  <conditionalFormatting sqref="J38">
    <cfRule type="expression" priority="16" dxfId="1">
      <formula>ISNUMBER($F38)</formula>
    </cfRule>
  </conditionalFormatting>
  <conditionalFormatting sqref="W9:W10">
    <cfRule type="cellIs" priority="17" operator="equal" dxfId="0">
      <formula>0</formula>
    </cfRule>
  </conditionalFormatting>
  <conditionalFormatting sqref="W6:W7 W36:W37">
    <cfRule type="cellIs" priority="18" operator="equal" dxfId="0">
      <formula>"'0'"</formula>
    </cfRule>
  </conditionalFormatting>
  <conditionalFormatting sqref="W6:W7">
    <cfRule type="cellIs" priority="19" operator="equal" dxfId="0">
      <formula>0</formula>
    </cfRule>
  </conditionalFormatting>
  <conditionalFormatting sqref="W12:W13 W18:W19 W21:W22 W24:W25">
    <cfRule type="cellIs" priority="20" operator="equal" dxfId="0">
      <formula>0</formula>
    </cfRule>
  </conditionalFormatting>
  <conditionalFormatting sqref="W15:W16">
    <cfRule type="cellIs" priority="21" operator="equal" dxfId="0">
      <formula>0</formula>
    </cfRule>
  </conditionalFormatting>
  <conditionalFormatting sqref="W30:W31">
    <cfRule type="cellIs" priority="22" operator="equal" dxfId="0">
      <formula>0</formula>
    </cfRule>
  </conditionalFormatting>
  <conditionalFormatting sqref="W27:W28 W33:W34">
    <cfRule type="cellIs" priority="23" operator="equal" dxfId="0">
      <formula>0</formula>
    </cfRule>
  </conditionalFormatting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9.43" customWidth="1" style="26" min="2" max="2"/>
    <col width="11.29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9"/>
  </cols>
  <sheetData>
    <row r="1" ht="10.5" customHeight="1" s="26">
      <c r="A1" s="622">
        <f>'Draft budget calc'!E7</f>
        <v/>
      </c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CONCATENATE("Kevin Just - Year",$B$1-2006," CONTRACT SHEET")</f>
        <v/>
      </c>
      <c r="AB1" s="29" t="n"/>
      <c r="AC1" t="inlineStr">
        <is>
          <t>The Duck</t>
        </is>
      </c>
      <c r="AF1" s="30" t="n"/>
      <c r="AJ1" s="30" t="n"/>
      <c r="AN1" s="30" t="n"/>
      <c r="AR1" s="30" t="n"/>
      <c r="AV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  <c r="AV2" s="30" t="n"/>
    </row>
    <row r="3" ht="10.5" customHeight="1" s="26">
      <c r="A3" s="622" t="n"/>
      <c r="B3" s="38" t="inlineStr">
        <is>
          <t>1B,CI</t>
        </is>
      </c>
      <c r="C3" s="38" t="n"/>
      <c r="D3" s="38" t="n"/>
      <c r="E3" s="38" t="n"/>
      <c r="F3" s="682" t="n"/>
      <c r="G3" s="600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  <c r="AV3" s="50" t="n"/>
      <c r="AW3" s="49" t="n"/>
    </row>
    <row r="4" ht="10.5" customHeight="1" s="26">
      <c r="A4" s="622" t="n"/>
      <c r="B4" s="38" t="inlineStr">
        <is>
          <t>1B,CI</t>
        </is>
      </c>
      <c r="C4" s="38" t="n"/>
      <c r="D4" s="38" t="n"/>
      <c r="E4" s="38" t="n"/>
      <c r="F4" s="682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  <c r="AV4" s="50" t="n"/>
      <c r="AW4" s="49" t="n"/>
    </row>
    <row r="5" ht="10.5" customHeight="1" s="26">
      <c r="A5" s="622" t="n"/>
      <c r="B5" s="38" t="inlineStr">
        <is>
          <t>1B,CI</t>
        </is>
      </c>
      <c r="C5" s="38" t="n"/>
      <c r="D5" s="38" t="n"/>
      <c r="E5" s="38" t="n"/>
      <c r="F5" s="682" t="n"/>
      <c r="G5" s="600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1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  <c r="AV5" s="50" t="n"/>
      <c r="AW5" s="49" t="n"/>
    </row>
    <row r="6" ht="10.5" customHeight="1" s="26">
      <c r="A6" s="622" t="n"/>
      <c r="B6" s="38" t="inlineStr">
        <is>
          <t>1B,CI,OF</t>
        </is>
      </c>
      <c r="C6" s="38" t="n"/>
      <c r="D6" s="38" t="n"/>
      <c r="E6" s="38" t="n"/>
      <c r="F6" s="682" t="n"/>
      <c r="G6" s="601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Corbin Carroll</t>
        </is>
      </c>
      <c r="P6" s="616" t="n"/>
      <c r="Q6" s="186" t="n">
        <v>5</v>
      </c>
      <c r="R6" s="146" t="n"/>
      <c r="S6" s="188" t="n">
        <v>2023</v>
      </c>
      <c r="T6" s="79" t="n"/>
      <c r="U6" s="803" t="n">
        <v>7</v>
      </c>
      <c r="V6" s="82" t="n"/>
      <c r="W6" s="821">
        <f>Y6-$B$1</f>
        <v/>
      </c>
      <c r="X6" s="62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  <c r="AV6" s="50" t="n"/>
      <c r="AW6" s="49" t="n"/>
    </row>
    <row r="7" ht="10.5" customHeight="1" s="26">
      <c r="A7" s="622" t="n"/>
      <c r="B7" s="38" t="inlineStr">
        <is>
          <t>2B,3B,CI,MI,OF</t>
        </is>
      </c>
      <c r="C7" s="38" t="n"/>
      <c r="D7" s="38" t="n"/>
      <c r="E7" s="38" t="n"/>
      <c r="F7" s="682" t="n"/>
      <c r="G7" s="601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82" t="n"/>
      <c r="W7" s="823" t="n"/>
      <c r="X7" s="62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  <c r="AV7" s="50" t="n"/>
      <c r="AW7" s="49" t="n"/>
    </row>
    <row r="8" ht="10.5" customHeight="1" s="26">
      <c r="A8" s="622" t="n"/>
      <c r="B8" s="38" t="inlineStr">
        <is>
          <t>2B,MI</t>
        </is>
      </c>
      <c r="C8" s="110" t="n"/>
      <c r="D8" s="38" t="n"/>
      <c r="E8" s="38" t="n"/>
      <c r="F8" s="682" t="n"/>
      <c r="G8" s="601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201" t="n"/>
      <c r="P8" s="616" t="n"/>
      <c r="Q8" s="146" t="n"/>
      <c r="R8" s="146" t="n"/>
      <c r="S8" s="616" t="n"/>
      <c r="T8" s="616" t="n"/>
      <c r="U8" s="538" t="n"/>
      <c r="V8" s="139" t="n"/>
      <c r="W8" s="251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  <c r="AV8" s="50" t="n"/>
      <c r="AW8" s="49" t="n"/>
    </row>
    <row r="9" ht="10.5" customHeight="1" s="26">
      <c r="A9" s="622" t="n"/>
      <c r="B9" s="38" t="inlineStr">
        <is>
          <t>2B,SS,MI</t>
        </is>
      </c>
      <c r="C9" s="38" t="n"/>
      <c r="D9" s="38" t="n"/>
      <c r="E9" s="38" t="n"/>
      <c r="F9" s="682" t="n"/>
      <c r="G9" s="601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Fernando Tatis Jr</t>
        </is>
      </c>
      <c r="P9" s="616" t="n"/>
      <c r="Q9" s="186" t="n">
        <v>4</v>
      </c>
      <c r="R9" s="146" t="n"/>
      <c r="S9" s="188" t="n">
        <v>2020</v>
      </c>
      <c r="T9" s="79" t="n"/>
      <c r="U9" s="803" t="n">
        <v>7</v>
      </c>
      <c r="V9" s="82" t="n"/>
      <c r="W9" s="821">
        <f>Y9-$B$1</f>
        <v/>
      </c>
      <c r="X9" s="62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  <c r="AV9" s="50" t="n"/>
      <c r="AW9" s="49" t="n"/>
    </row>
    <row r="10" ht="10.5" customHeight="1" s="26">
      <c r="A10" s="622" t="n"/>
      <c r="B10" s="38" t="inlineStr">
        <is>
          <t>3B,CI</t>
        </is>
      </c>
      <c r="C10" s="38" t="n"/>
      <c r="D10" s="38" t="n"/>
      <c r="E10" s="38" t="n"/>
      <c r="F10" s="682" t="n"/>
      <c r="G10" s="601" t="n"/>
      <c r="H10" s="755" t="n"/>
      <c r="I10" s="759" t="n"/>
      <c r="J10" s="759" t="n"/>
      <c r="K10" s="793" t="n"/>
      <c r="L10" s="29" t="n"/>
      <c r="M10" s="702" t="n"/>
      <c r="N10" s="71" t="n"/>
      <c r="P10" s="616" t="n"/>
      <c r="R10" s="146" t="n"/>
      <c r="T10" s="79" t="n"/>
      <c r="U10" s="771" t="n"/>
      <c r="V10" s="82" t="n"/>
      <c r="W10" s="823" t="n"/>
      <c r="X10" s="62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  <c r="AV10" s="50" t="n"/>
      <c r="AW10" s="49" t="n"/>
    </row>
    <row r="11" ht="10.5" customHeight="1" s="26">
      <c r="A11" s="622" t="n"/>
      <c r="B11" s="38" t="inlineStr">
        <is>
          <t>3B,CI</t>
        </is>
      </c>
      <c r="C11" s="38" t="n"/>
      <c r="D11" s="38" t="n"/>
      <c r="E11" s="38" t="n"/>
      <c r="F11" s="682" t="n"/>
      <c r="G11" s="601" t="n"/>
      <c r="H11" s="136" t="n"/>
      <c r="I11" s="136" t="n"/>
      <c r="J11" s="136" t="n"/>
      <c r="K11" s="137" t="n"/>
      <c r="L11" s="29" t="n"/>
      <c r="M11" s="119" t="n"/>
      <c r="N11" s="71" t="n"/>
      <c r="O11" s="201" t="n"/>
      <c r="P11" s="616" t="n"/>
      <c r="Q11" s="146" t="n"/>
      <c r="R11" s="146" t="n"/>
      <c r="S11" s="616" t="n"/>
      <c r="T11" s="616" t="n"/>
      <c r="U11" s="538" t="n"/>
      <c r="V11" s="139" t="n"/>
      <c r="W11" s="251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  <c r="AV11" s="50" t="n"/>
      <c r="AW11" s="49" t="n"/>
    </row>
    <row r="12" ht="10.5" customHeight="1" s="26">
      <c r="A12" s="622" t="n"/>
      <c r="B12" s="38" t="inlineStr">
        <is>
          <t>C</t>
        </is>
      </c>
      <c r="C12" s="38" t="n"/>
      <c r="D12" s="38" t="n"/>
      <c r="E12" s="38" t="n"/>
      <c r="F12" s="682" t="n"/>
      <c r="G12" s="601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643" t="n"/>
      <c r="O12" s="184" t="inlineStr">
        <is>
          <t>Pete Crow-Armstrong</t>
        </is>
      </c>
      <c r="P12" s="541" t="n"/>
      <c r="Q12" s="186" t="n">
        <v>1</v>
      </c>
      <c r="R12" s="542" t="n"/>
      <c r="S12" s="188" t="n">
        <v>2023</v>
      </c>
      <c r="T12" s="543" t="n"/>
      <c r="U12" s="803" t="n">
        <v>4</v>
      </c>
      <c r="V12" s="127" t="n"/>
      <c r="W12" s="821">
        <f>Y12-$B$1</f>
        <v/>
      </c>
      <c r="X12" s="139" t="n"/>
      <c r="Y12" s="86">
        <f>S12+U12</f>
        <v/>
      </c>
      <c r="Z12" s="71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  <c r="AV12" s="50" t="n"/>
      <c r="AW12" s="49" t="n"/>
    </row>
    <row r="13" ht="10.5" customHeight="1" s="26">
      <c r="A13" s="622" t="n"/>
      <c r="B13" s="38" t="inlineStr">
        <is>
          <t>C,OF</t>
        </is>
      </c>
      <c r="C13" s="38" t="n"/>
      <c r="D13" s="38" t="n"/>
      <c r="E13" s="38" t="n"/>
      <c r="F13" s="682" t="n"/>
      <c r="G13" s="601" t="n"/>
      <c r="H13" s="702" t="n"/>
      <c r="K13" s="619" t="n"/>
      <c r="L13" s="29" t="n"/>
      <c r="M13" s="702" t="n"/>
      <c r="N13" s="643" t="n"/>
      <c r="P13" s="541" t="n"/>
      <c r="R13" s="542" t="n"/>
      <c r="T13" s="543" t="n"/>
      <c r="U13" s="771" t="n"/>
      <c r="V13" s="127" t="n"/>
      <c r="W13" s="823" t="n"/>
      <c r="X13" s="139" t="n"/>
      <c r="Z13" s="71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  <c r="AV13" s="50" t="n"/>
      <c r="AW13" s="49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F14" s="682" t="n"/>
      <c r="G14" s="601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643" t="n"/>
      <c r="O14" s="616" t="n"/>
      <c r="P14" s="616" t="n"/>
      <c r="Q14" s="616" t="n"/>
      <c r="R14" s="616" t="n"/>
      <c r="S14" s="616" t="n"/>
      <c r="T14" s="616" t="n"/>
      <c r="U14" s="124" t="n"/>
      <c r="V14" s="82" t="n"/>
      <c r="W14" s="622" t="n"/>
      <c r="X14" s="622" t="n"/>
      <c r="Y14" s="622" t="n"/>
      <c r="Z14" s="622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  <c r="AV14" s="50" t="n"/>
      <c r="AW14" s="49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F15" s="682" t="n"/>
      <c r="G15" s="601" t="n"/>
      <c r="H15" s="702" t="n"/>
      <c r="K15" s="619" t="n"/>
      <c r="L15" s="29" t="n"/>
      <c r="M15" s="802" t="inlineStr">
        <is>
          <t>4th player contract --&gt;&gt;</t>
        </is>
      </c>
      <c r="N15" s="643" t="n"/>
      <c r="O15" s="184" t="inlineStr">
        <is>
          <t>Salvador Perez</t>
        </is>
      </c>
      <c r="P15" s="616" t="n"/>
      <c r="Q15" s="186" t="n">
        <v>9</v>
      </c>
      <c r="R15" s="146" t="n"/>
      <c r="S15" s="188" t="n">
        <v>2024</v>
      </c>
      <c r="T15" s="79" t="n"/>
      <c r="U15" s="857" t="n">
        <v>2</v>
      </c>
      <c r="V15" s="82" t="n"/>
      <c r="W15" s="821">
        <f>Y15-$B$1</f>
        <v/>
      </c>
      <c r="X15" s="622" t="n"/>
      <c r="Y15" s="86">
        <f>S15+U15</f>
        <v/>
      </c>
      <c r="Z15" s="622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  <c r="AV15" s="50" t="n"/>
      <c r="AW15" s="49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F16" s="682" t="n"/>
      <c r="G16" s="601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643" t="n"/>
      <c r="P16" s="616" t="n"/>
      <c r="R16" s="146" t="n"/>
      <c r="T16" s="79" t="n"/>
      <c r="U16" s="771" t="n"/>
      <c r="V16" s="82" t="n"/>
      <c r="W16" s="823" t="n"/>
      <c r="X16" s="622" t="n"/>
      <c r="Z16" s="622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  <c r="AV16" s="50" t="n"/>
      <c r="AW16" s="49" t="n"/>
    </row>
    <row r="17" ht="10.5" customHeight="1" s="26">
      <c r="A17" s="622" t="n"/>
      <c r="B17" s="38" t="inlineStr">
        <is>
          <t>OF</t>
        </is>
      </c>
      <c r="C17" s="110" t="n"/>
      <c r="D17" s="38" t="n"/>
      <c r="E17" s="38" t="n"/>
      <c r="F17" s="682" t="n"/>
      <c r="G17" s="601" t="n"/>
      <c r="H17" s="702" t="n"/>
      <c r="K17" s="619" t="n"/>
      <c r="L17" s="29" t="n"/>
      <c r="M17" s="119" t="n"/>
      <c r="N17" s="643" t="n"/>
      <c r="O17" s="616" t="n"/>
      <c r="P17" s="616" t="n"/>
      <c r="Q17" s="616" t="n"/>
      <c r="R17" s="616" t="n"/>
      <c r="S17" s="616" t="n"/>
      <c r="T17" s="616" t="n"/>
      <c r="U17" s="124" t="n"/>
      <c r="V17" s="82" t="n"/>
      <c r="W17" s="622" t="n"/>
      <c r="X17" s="622" t="n"/>
      <c r="Y17" s="622" t="n"/>
      <c r="Z17" s="622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  <c r="AV17" s="50" t="n"/>
      <c r="AW17" s="49" t="n"/>
    </row>
    <row r="18" ht="10.5" customHeight="1" s="26">
      <c r="A18" s="622" t="n"/>
      <c r="B18" s="38" t="inlineStr">
        <is>
          <t>OF</t>
        </is>
      </c>
      <c r="C18" s="110" t="n"/>
      <c r="D18" s="38" t="n"/>
      <c r="E18" s="38" t="n"/>
      <c r="F18" s="682" t="n"/>
      <c r="G18" s="601" t="n"/>
      <c r="H18" s="162">
        <f>CONCATENATE($B$1+1," Auction Budget acquired by trade (Offseason Only)")</f>
        <v/>
      </c>
      <c r="K18" s="809">
        <f>'Draft budget calc'!E8</f>
        <v/>
      </c>
      <c r="L18" s="29" t="n"/>
      <c r="M18" s="802" t="inlineStr">
        <is>
          <t>5th player contract --&gt;&gt;</t>
        </is>
      </c>
      <c r="N18" s="643" t="n"/>
      <c r="O18" s="184" t="inlineStr">
        <is>
          <t>Brice Turang</t>
        </is>
      </c>
      <c r="P18" s="616" t="n"/>
      <c r="Q18" s="186" t="n">
        <v>0</v>
      </c>
      <c r="R18" s="146" t="n"/>
      <c r="S18" s="188" t="n">
        <v>2024</v>
      </c>
      <c r="T18" s="79" t="n"/>
      <c r="U18" s="803" t="n">
        <v>2</v>
      </c>
      <c r="V18" s="82" t="n"/>
      <c r="W18" s="821">
        <f>Y18-$B$1</f>
        <v/>
      </c>
      <c r="X18" s="62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  <c r="AV18" s="50" t="n"/>
      <c r="AW18" s="49" t="n"/>
    </row>
    <row r="19" ht="10.5" customHeight="1" s="26">
      <c r="A19" s="622" t="n"/>
      <c r="B19" s="38" t="inlineStr">
        <is>
          <t>P</t>
        </is>
      </c>
      <c r="C19" s="38" t="n"/>
      <c r="D19" s="38" t="n"/>
      <c r="E19" s="38" t="n"/>
      <c r="F19" s="682" t="n"/>
      <c r="G19" s="601" t="n"/>
      <c r="H19" s="702" t="n"/>
      <c r="K19" s="619" t="n"/>
      <c r="L19" s="29" t="n"/>
      <c r="M19" s="702" t="n"/>
      <c r="N19" s="643" t="n"/>
      <c r="P19" s="616" t="n"/>
      <c r="R19" s="146" t="n"/>
      <c r="T19" s="79" t="n"/>
      <c r="U19" s="771" t="n"/>
      <c r="V19" s="82" t="n"/>
      <c r="W19" s="823" t="n"/>
      <c r="X19" s="62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  <c r="AV19" s="50" t="n"/>
      <c r="AW19" s="49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F20" s="682" t="n"/>
      <c r="G20" s="601" t="n"/>
      <c r="H20" s="702" t="n"/>
      <c r="K20" s="619" t="n"/>
      <c r="L20" s="29" t="n"/>
      <c r="M20" s="119" t="n"/>
      <c r="N20" s="643" t="n"/>
      <c r="O20" s="616" t="n"/>
      <c r="P20" s="616" t="n"/>
      <c r="Q20" s="616" t="n"/>
      <c r="R20" s="616" t="n"/>
      <c r="S20" s="616" t="n"/>
      <c r="T20" s="616" t="n"/>
      <c r="U20" s="124" t="n"/>
      <c r="V20" s="127" t="n"/>
      <c r="W20" s="251" t="n"/>
      <c r="X20" s="139" t="n"/>
      <c r="Y20" s="141" t="n"/>
      <c r="Z20" s="71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  <c r="AV20" s="50" t="n"/>
      <c r="AW20" s="49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F21" s="682" t="n"/>
      <c r="G21" s="601" t="n"/>
      <c r="H21" s="171" t="inlineStr">
        <is>
          <t>Min. IP Penalties</t>
        </is>
      </c>
      <c r="K21" s="810">
        <f>SUM(D66:E71)</f>
        <v/>
      </c>
      <c r="L21" s="29" t="n"/>
      <c r="M21" s="802" t="inlineStr">
        <is>
          <t>6th player contract --&gt;&gt;</t>
        </is>
      </c>
      <c r="N21" s="643" t="n"/>
      <c r="O21" s="184" t="inlineStr">
        <is>
          <t>Shea Langeliers</t>
        </is>
      </c>
      <c r="P21" s="616" t="n"/>
      <c r="Q21" s="186" t="n">
        <v>1</v>
      </c>
      <c r="R21" s="146" t="n"/>
      <c r="S21" s="188" t="n">
        <v>2024</v>
      </c>
      <c r="T21" s="79" t="n"/>
      <c r="U21" s="803" t="n">
        <v>2</v>
      </c>
      <c r="V21" s="82" t="n"/>
      <c r="W21" s="821">
        <f>Y21-$B$1</f>
        <v/>
      </c>
      <c r="X21" s="62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  <c r="AV21" s="50" t="n"/>
      <c r="AW21" s="49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F22" s="682" t="n"/>
      <c r="G22" s="601" t="n"/>
      <c r="H22" s="702" t="n"/>
      <c r="K22" s="619" t="n"/>
      <c r="L22" s="29" t="n"/>
      <c r="M22" s="702" t="n"/>
      <c r="N22" s="643" t="n"/>
      <c r="P22" s="616" t="n"/>
      <c r="R22" s="146" t="n"/>
      <c r="T22" s="79" t="n"/>
      <c r="U22" s="771" t="n"/>
      <c r="V22" s="82" t="n"/>
      <c r="W22" s="823" t="n"/>
      <c r="X22" s="62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  <c r="AV22" s="50" t="n"/>
      <c r="AW22" s="49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F23" s="682" t="n"/>
      <c r="G23" s="601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643" t="n"/>
      <c r="O23" s="616" t="n"/>
      <c r="P23" s="616" t="n"/>
      <c r="Q23" s="146" t="n"/>
      <c r="R23" s="146" t="n"/>
      <c r="S23" s="616" t="n"/>
      <c r="T23" s="616" t="n"/>
      <c r="U23" s="124" t="n"/>
      <c r="V23" s="127" t="n"/>
      <c r="W23" s="436" t="n"/>
      <c r="X23" s="622" t="n"/>
      <c r="Y23" s="622" t="n"/>
      <c r="Z23" s="622" t="n"/>
      <c r="AA23" s="164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  <c r="AV23" s="50" t="n"/>
      <c r="AW23" s="49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F24" s="682" t="n"/>
      <c r="G24" s="601" t="n"/>
      <c r="H24" s="702" t="n"/>
      <c r="K24" s="619" t="n"/>
      <c r="L24" s="29" t="n"/>
      <c r="M24" s="802" t="inlineStr">
        <is>
          <t>7th player contract --&gt;&gt;</t>
        </is>
      </c>
      <c r="N24" s="643" t="n"/>
      <c r="O24" s="527" t="inlineStr">
        <is>
          <t>Brandon Woodruff</t>
        </is>
      </c>
      <c r="P24" s="616" t="n"/>
      <c r="Q24" s="186" t="n">
        <v>9</v>
      </c>
      <c r="R24" s="146" t="n"/>
      <c r="S24" s="188" t="n">
        <v>2024</v>
      </c>
      <c r="T24" s="79" t="n"/>
      <c r="U24" s="857" t="n">
        <v>2</v>
      </c>
      <c r="V24" s="79" t="n"/>
      <c r="W24" s="804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  <c r="AV24" s="50" t="n"/>
      <c r="AW24" s="49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F25" s="682" t="n"/>
      <c r="G25" s="601" t="n"/>
      <c r="H25" s="755" t="n"/>
      <c r="I25" s="759" t="n"/>
      <c r="J25" s="759" t="n"/>
      <c r="K25" s="793" t="n"/>
      <c r="L25" s="29" t="n"/>
      <c r="M25" s="702" t="n"/>
      <c r="N25" s="643" t="n"/>
      <c r="P25" s="616" t="n"/>
      <c r="R25" s="146" t="n"/>
      <c r="T25" s="79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  <c r="AV25" s="50" t="n"/>
      <c r="AW25" s="49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F26" s="682" t="n"/>
      <c r="G26" s="601" t="n"/>
      <c r="H26" s="622" t="n"/>
      <c r="I26" s="622" t="n"/>
      <c r="J26" s="622" t="n"/>
      <c r="K26" s="622" t="n"/>
      <c r="L26" s="29" t="n"/>
      <c r="M26" s="172" t="n"/>
      <c r="N26" s="645" t="n"/>
      <c r="O26" s="616" t="n"/>
      <c r="P26" s="616" t="n"/>
      <c r="Q26" s="616" t="n"/>
      <c r="R26" s="616" t="n"/>
      <c r="S26" s="616" t="n"/>
      <c r="T26" s="616" t="n"/>
      <c r="U26" s="124" t="n"/>
      <c r="V26" s="616" t="n"/>
      <c r="W26" s="124" t="n"/>
      <c r="X26" s="622" t="n"/>
      <c r="Y26" s="622" t="n"/>
      <c r="Z26" s="622" t="n"/>
      <c r="AA26" s="164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  <c r="AV26" s="50" t="n"/>
      <c r="AW26" s="49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F27" s="682" t="n"/>
      <c r="G27" s="601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45" t="n"/>
      <c r="O27" s="527" t="n"/>
      <c r="P27" s="616" t="n"/>
      <c r="Q27" s="186" t="n"/>
      <c r="R27" s="146" t="n"/>
      <c r="S27" s="188" t="n"/>
      <c r="T27" s="79" t="n"/>
      <c r="U27" s="803" t="n"/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  <c r="AV27" s="50" t="n"/>
      <c r="AW27" s="49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F28" s="682" t="n"/>
      <c r="G28" s="601" t="n"/>
      <c r="H28" s="702" t="n"/>
      <c r="K28" s="619" t="n"/>
      <c r="L28" s="29" t="n"/>
      <c r="M28" s="702" t="n"/>
      <c r="N28" s="645" t="n"/>
      <c r="P28" s="616" t="n"/>
      <c r="R28" s="146" t="n"/>
      <c r="T28" s="79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  <c r="AV28" s="50" t="n"/>
      <c r="AW28" s="49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F29" s="682" t="n"/>
      <c r="G29" s="601" t="n"/>
      <c r="H29" s="702" t="n"/>
      <c r="K29" s="619" t="n"/>
      <c r="L29" s="29" t="n"/>
      <c r="M29" s="172" t="n"/>
      <c r="N29" s="645" t="n"/>
      <c r="O29" s="616" t="n"/>
      <c r="P29" s="616" t="n"/>
      <c r="Q29" s="616" t="n"/>
      <c r="R29" s="616" t="n"/>
      <c r="S29" s="616" t="n"/>
      <c r="T29" s="616" t="n"/>
      <c r="U29" s="124" t="n"/>
      <c r="V29" s="616" t="n"/>
      <c r="W29" s="124" t="n"/>
      <c r="X29" s="622" t="n"/>
      <c r="Y29" s="141" t="n"/>
      <c r="Z29" s="622" t="n"/>
      <c r="AA29" s="14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  <c r="AV29" s="50" t="n"/>
      <c r="AW29" s="49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F30" s="682" t="n"/>
      <c r="G30" s="601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643" t="n"/>
      <c r="O30" s="527" t="n"/>
      <c r="P30" s="616" t="n"/>
      <c r="Q30" s="186" t="n"/>
      <c r="R30" s="146" t="n"/>
      <c r="S30" s="188" t="n"/>
      <c r="T30" s="79" t="n"/>
      <c r="U30" s="803" t="n"/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  <c r="AV30" s="50" t="n"/>
      <c r="AW30" s="49" t="n"/>
    </row>
    <row r="31" ht="10.5" customHeight="1" s="26">
      <c r="A31" s="622" t="n"/>
      <c r="B31" s="38" t="inlineStr">
        <is>
          <t>P</t>
        </is>
      </c>
      <c r="C31" s="110" t="n"/>
      <c r="D31" s="38" t="n"/>
      <c r="E31" s="38" t="n"/>
      <c r="F31" s="682" t="n"/>
      <c r="G31" s="218" t="n"/>
      <c r="H31" s="54" t="inlineStr">
        <is>
          <t>Roster Key</t>
        </is>
      </c>
      <c r="L31" s="29" t="n"/>
      <c r="M31" s="702" t="n"/>
      <c r="N31" s="643" t="n"/>
      <c r="P31" s="616" t="n"/>
      <c r="R31" s="146" t="n"/>
      <c r="T31" s="79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  <c r="AV31" s="50" t="n"/>
      <c r="AW31" s="49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218" t="n"/>
      <c r="L32" s="29" t="n"/>
      <c r="M32" s="172" t="n"/>
      <c r="N32" s="645" t="n"/>
      <c r="O32" s="616" t="n"/>
      <c r="P32" s="616" t="n"/>
      <c r="Q32" s="146" t="n"/>
      <c r="R32" s="146" t="n"/>
      <c r="S32" s="616" t="n"/>
      <c r="T32" s="616" t="n"/>
      <c r="U32" s="124" t="n"/>
      <c r="V32" s="616" t="n"/>
      <c r="W32" s="124" t="n"/>
      <c r="X32" s="622" t="n"/>
      <c r="Y32" s="141" t="n"/>
      <c r="Z32" s="622" t="n"/>
      <c r="AA32" s="16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  <c r="AV32" s="50" t="n"/>
      <c r="AW32" s="49" t="n"/>
    </row>
    <row r="33" ht="10.5" customHeight="1" s="26">
      <c r="A33" s="622" t="n"/>
      <c r="B33" s="38" t="inlineStr">
        <is>
          <t>P</t>
        </is>
      </c>
      <c r="C33" s="38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45" t="n"/>
      <c r="O33" s="527" t="n"/>
      <c r="P33" s="616" t="n"/>
      <c r="Q33" s="186" t="n"/>
      <c r="R33" s="146" t="n"/>
      <c r="S33" s="188" t="n"/>
      <c r="T33" s="79" t="n"/>
      <c r="U33" s="803" t="n"/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  <c r="AV33" s="50" t="n"/>
      <c r="AW33" s="49" t="n"/>
    </row>
    <row r="34" ht="10.5" customHeight="1" s="26">
      <c r="A34" s="622" t="n"/>
      <c r="B34" s="38" t="inlineStr">
        <is>
          <t>SS,MI</t>
        </is>
      </c>
      <c r="C34" s="38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45" t="n"/>
      <c r="P34" s="616" t="n"/>
      <c r="R34" s="146" t="n"/>
      <c r="T34" s="79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  <c r="AV34" s="50" t="n"/>
      <c r="AW34" s="49" t="n"/>
    </row>
    <row r="35" ht="10.5" customHeight="1" s="26">
      <c r="A35" s="622" t="n"/>
      <c r="B35" s="199" t="inlineStr">
        <is>
          <t>DL 3</t>
        </is>
      </c>
      <c r="C35" s="443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208" t="n"/>
      <c r="P35" s="208" t="n"/>
      <c r="Q35" s="208" t="n"/>
      <c r="R35" s="208" t="n"/>
      <c r="S35" s="208" t="n"/>
      <c r="T35" s="208" t="n"/>
      <c r="U35" s="207" t="n"/>
      <c r="V35" s="622" t="n"/>
      <c r="W35" s="208" t="n"/>
      <c r="X35" s="622" t="n"/>
      <c r="Y35" s="622" t="n"/>
      <c r="Z35" s="622" t="n"/>
      <c r="AA35" s="164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  <c r="AV35" s="50" t="n"/>
      <c r="AW35" s="49" t="n"/>
    </row>
    <row r="36" ht="11.25" customHeight="1" s="26">
      <c r="A36" s="622" t="n"/>
      <c r="B36" s="199" t="inlineStr">
        <is>
          <t>DL 4</t>
        </is>
      </c>
      <c r="C36" s="443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695" t="n"/>
      <c r="P36" s="622" t="n"/>
      <c r="Q36" s="471" t="n"/>
      <c r="R36" s="67" t="n"/>
      <c r="S36" s="458" t="n"/>
      <c r="T36" s="215" t="n"/>
      <c r="U36" s="820" t="n"/>
      <c r="V36" s="622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  <c r="AV36" s="50" t="n"/>
      <c r="AW36" s="49" t="n"/>
    </row>
    <row r="37" ht="11.25" customHeight="1" s="26">
      <c r="A37" s="622" t="n"/>
      <c r="B37" s="199" t="inlineStr">
        <is>
          <t>DL 5</t>
        </is>
      </c>
      <c r="C37" s="559" t="n"/>
      <c r="D37" s="759" t="n"/>
      <c r="E37" s="759" t="n"/>
      <c r="F37" s="379" t="n"/>
      <c r="G37" s="873" t="inlineStr">
        <is>
          <t>Drafted</t>
        </is>
      </c>
      <c r="H37" s="759" t="n"/>
      <c r="I37" s="383" t="inlineStr">
        <is>
          <t>MLB</t>
        </is>
      </c>
      <c r="J37" s="759" t="n"/>
      <c r="K37" s="220" t="n"/>
      <c r="L37" s="29" t="n"/>
      <c r="M37" s="702" t="n"/>
      <c r="N37" s="71" t="n"/>
      <c r="P37" s="622" t="n"/>
      <c r="R37" s="67" t="n"/>
      <c r="T37" s="215" t="n"/>
      <c r="U37" s="823" t="n"/>
      <c r="V37" s="622" t="n"/>
      <c r="W37" s="823" t="n"/>
      <c r="X37" s="622" t="n"/>
      <c r="Z37" s="622" t="n"/>
      <c r="AA37" s="619" t="n"/>
      <c r="AB37" s="195" t="n"/>
      <c r="AC37" s="49" t="n"/>
      <c r="AD37" s="48" t="n"/>
      <c r="AE37" s="604" t="n"/>
      <c r="AF37" s="50" t="n"/>
      <c r="AG37" s="49" t="n"/>
      <c r="AH37" s="48" t="n"/>
      <c r="AI37" s="604" t="n"/>
      <c r="AJ37" s="50" t="n"/>
      <c r="AK37" s="49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  <c r="AV37" s="50" t="n"/>
      <c r="AW37" s="49" t="n"/>
    </row>
    <row r="38" ht="11.25" customHeight="1" s="26">
      <c r="A38" s="622" t="n"/>
      <c r="B38" s="222" t="inlineStr">
        <is>
          <t>Farm 1</t>
        </is>
      </c>
      <c r="C38" s="528" t="inlineStr">
        <is>
          <t>Colt Emerson</t>
        </is>
      </c>
      <c r="F38" s="692" t="n">
        <v>3</v>
      </c>
      <c r="G38" s="332" t="n">
        <v>2024</v>
      </c>
      <c r="I38" s="333" t="inlineStr">
        <is>
          <t>No</t>
        </is>
      </c>
      <c r="J38" s="646" t="inlineStr">
        <is>
          <t>Yes</t>
        </is>
      </c>
      <c r="K38" s="172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30" t="n"/>
      <c r="V38" s="622" t="n"/>
      <c r="W38" s="622" t="n"/>
      <c r="X38" s="622" t="n"/>
      <c r="Y38" s="622" t="n"/>
      <c r="Z38" s="622" t="n"/>
      <c r="AA38" s="164" t="n"/>
      <c r="AB38" s="195" t="n"/>
      <c r="AC38" s="49" t="n"/>
      <c r="AD38" s="48" t="n"/>
      <c r="AE38" s="604" t="n"/>
      <c r="AF38" s="50" t="n"/>
      <c r="AG38" s="49" t="n"/>
      <c r="AH38" s="48" t="n"/>
      <c r="AI38" s="604" t="n"/>
      <c r="AJ38" s="50" t="n"/>
      <c r="AK38" s="49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  <c r="AV38" s="50" t="n"/>
      <c r="AW38" s="49" t="n"/>
    </row>
    <row r="39" ht="11.25" customHeight="1" s="26">
      <c r="A39" s="622" t="n"/>
      <c r="B39" s="231" t="inlineStr">
        <is>
          <t>Farm 2</t>
        </is>
      </c>
      <c r="C39" s="530" t="n"/>
      <c r="F39" s="244" t="n"/>
      <c r="G39" s="351" t="n"/>
      <c r="I39" s="352" t="n"/>
      <c r="J39" s="529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622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C39" s="49" t="n"/>
      <c r="AD39" s="48" t="n"/>
      <c r="AE39" s="604" t="n"/>
      <c r="AF39" s="50" t="n"/>
      <c r="AG39" s="49" t="n"/>
      <c r="AH39" s="48" t="n"/>
      <c r="AI39" s="604" t="n"/>
      <c r="AJ39" s="50" t="n"/>
      <c r="AK39" s="49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  <c r="AV39" s="50" t="n"/>
      <c r="AW39" s="49" t="n"/>
    </row>
    <row r="40" ht="11.25" customHeight="1" s="26">
      <c r="A40" s="622" t="n"/>
      <c r="B40" s="231" t="inlineStr">
        <is>
          <t>Farm 3</t>
        </is>
      </c>
      <c r="C40" s="530" t="n"/>
      <c r="F40" s="244" t="n"/>
      <c r="G40" s="351" t="n"/>
      <c r="I40" s="352" t="n"/>
      <c r="J40" s="529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622" t="n"/>
      <c r="W40" s="823" t="n"/>
      <c r="X40" s="622" t="n"/>
      <c r="Z40" s="622" t="n"/>
      <c r="AA40" s="619" t="n"/>
      <c r="AB40" s="622" t="n"/>
      <c r="AF40" s="30" t="n"/>
      <c r="AJ40" s="30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  <c r="AV40" s="50" t="n"/>
      <c r="AW40" s="49" t="n"/>
    </row>
    <row r="41" ht="11.25" customHeight="1" s="26">
      <c r="A41" s="622" t="n"/>
      <c r="B41" s="231" t="inlineStr">
        <is>
          <t>Farm 4</t>
        </is>
      </c>
      <c r="C41" s="443" t="n"/>
      <c r="F41" s="309" t="n"/>
      <c r="G41" s="405" t="n"/>
      <c r="I41" s="445" t="n"/>
      <c r="J41" s="618" t="n"/>
      <c r="K41" s="172" t="n"/>
      <c r="L41" s="29" t="n"/>
      <c r="M41" s="172" t="n"/>
      <c r="N41" s="622" t="n"/>
      <c r="O41" s="685" t="n"/>
      <c r="P41" s="622" t="n"/>
      <c r="Q41" s="247" t="n"/>
      <c r="R41" s="67" t="n"/>
      <c r="S41" s="248" t="n"/>
      <c r="T41" s="215" t="n"/>
      <c r="U41" s="250" t="n"/>
      <c r="V41" s="622" t="n"/>
      <c r="W41" s="251" t="n"/>
      <c r="X41" s="622" t="n"/>
      <c r="Y41" s="141" t="n"/>
      <c r="Z41" s="622" t="n"/>
      <c r="AA41" s="143" t="n"/>
      <c r="AB41" s="622" t="n"/>
      <c r="AF41" s="30" t="n"/>
      <c r="AJ41" s="30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  <c r="AV41" s="50" t="n"/>
      <c r="AW41" s="49" t="n"/>
    </row>
    <row r="42" ht="11.25" customHeight="1" s="26">
      <c r="A42" s="622" t="n"/>
      <c r="B42" s="231" t="inlineStr">
        <is>
          <t>Farm 5</t>
        </is>
      </c>
      <c r="C42" s="443" t="n"/>
      <c r="F42" s="309" t="n"/>
      <c r="G42" s="405" t="n"/>
      <c r="I42" s="445" t="n"/>
      <c r="J42" s="558" t="n"/>
      <c r="K42" s="172" t="n"/>
      <c r="L42" s="29" t="n"/>
      <c r="M42" s="824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622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F42" s="30" t="n"/>
      <c r="AJ42" s="30" t="n"/>
      <c r="AL42" s="48" t="n"/>
      <c r="AM42" s="604" t="n"/>
      <c r="AN42" s="50" t="n"/>
      <c r="AO42" s="49" t="n"/>
      <c r="AR42" s="50" t="n"/>
      <c r="AS42" s="49" t="n"/>
      <c r="AT42" s="48" t="n"/>
      <c r="AU42" s="604" t="n"/>
      <c r="AV42" s="50" t="n"/>
      <c r="AW42" s="49" t="n"/>
    </row>
    <row r="43" ht="11.25" customHeight="1" s="26">
      <c r="A43" s="622" t="n"/>
      <c r="B43" s="231" t="inlineStr">
        <is>
          <t>Farm 6</t>
        </is>
      </c>
      <c r="C43" s="443" t="n"/>
      <c r="F43" s="309" t="n"/>
      <c r="G43" s="405" t="n"/>
      <c r="I43" s="445" t="n"/>
      <c r="J43" s="558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622" t="n"/>
      <c r="W43" s="823" t="n"/>
      <c r="X43" s="622" t="n"/>
      <c r="Z43" s="622" t="n"/>
      <c r="AA43" s="619" t="n"/>
      <c r="AB43" s="622" t="n"/>
      <c r="AF43" s="30" t="n"/>
      <c r="AJ43" s="30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  <c r="AV43" s="50" t="n"/>
      <c r="AW43" s="49" t="n"/>
    </row>
    <row r="44" ht="11.25" customHeight="1" s="26">
      <c r="A44" s="622" t="n"/>
      <c r="B44" s="231" t="inlineStr">
        <is>
          <t>Farm 7</t>
        </is>
      </c>
      <c r="C44" s="443" t="n"/>
      <c r="F44" s="309" t="n"/>
      <c r="G44" s="405" t="n"/>
      <c r="I44" s="445" t="n"/>
      <c r="J44" s="558" t="n"/>
      <c r="K44" s="17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64" t="n"/>
      <c r="AB44" s="622" t="n"/>
      <c r="AF44" s="30" t="n"/>
      <c r="AJ44" s="30" t="n"/>
      <c r="AL44" s="48" t="n"/>
      <c r="AM44" s="604" t="n"/>
      <c r="AN44" s="30" t="n"/>
      <c r="AR44" s="30" t="n"/>
      <c r="AV44" s="30" t="n"/>
    </row>
    <row r="45" ht="11.25" customHeight="1" s="26">
      <c r="A45" s="622" t="n"/>
      <c r="B45" s="231" t="inlineStr">
        <is>
          <t>Farm 8</t>
        </is>
      </c>
      <c r="C45" s="550" t="n"/>
      <c r="F45" s="367" t="n"/>
      <c r="G45" s="385" t="n"/>
      <c r="I45" s="386" t="n"/>
      <c r="J45" s="647" t="n"/>
      <c r="K45" s="172" t="n"/>
      <c r="L45" s="29" t="n"/>
      <c r="M45" s="824" t="inlineStr">
        <is>
          <t>14th player contract --&gt;&gt;</t>
        </is>
      </c>
      <c r="N45" s="71" t="n"/>
      <c r="O45" s="695" t="n"/>
      <c r="P45" s="622" t="n"/>
      <c r="Q45" s="471" t="n"/>
      <c r="R45" s="67" t="n"/>
      <c r="S45" s="458" t="n"/>
      <c r="T45" s="215" t="n"/>
      <c r="U45" s="820" t="n"/>
      <c r="V45" s="622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F45" s="30" t="n"/>
      <c r="AJ45" s="30" t="n"/>
      <c r="AL45" s="48" t="n"/>
      <c r="AM45" s="481" t="n"/>
      <c r="AN45" s="30" t="n"/>
      <c r="AR45" s="30" t="n"/>
      <c r="AV45" s="30" t="n"/>
    </row>
    <row r="46" ht="11.25" customHeight="1" s="26">
      <c r="A46" s="622" t="n"/>
      <c r="B46" s="231" t="inlineStr">
        <is>
          <t>Farm 9</t>
        </is>
      </c>
      <c r="C46" s="443" t="n"/>
      <c r="F46" s="309" t="n"/>
      <c r="G46" s="405" t="n"/>
      <c r="I46" s="445" t="n"/>
      <c r="J46" s="647" t="n"/>
      <c r="K46" s="172" t="n"/>
      <c r="L46" s="29" t="n"/>
      <c r="M46" s="702" t="n"/>
      <c r="N46" s="71" t="n"/>
      <c r="P46" s="622" t="n"/>
      <c r="R46" s="67" t="n"/>
      <c r="T46" s="215" t="n"/>
      <c r="U46" s="823" t="n"/>
      <c r="V46" s="622" t="n"/>
      <c r="W46" s="823" t="n"/>
      <c r="X46" s="622" t="n"/>
      <c r="Z46" s="622" t="n"/>
      <c r="AA46" s="619" t="n"/>
      <c r="AB46" s="622" t="n"/>
      <c r="AF46" s="30" t="n"/>
      <c r="AJ46" s="30" t="n"/>
      <c r="AL46" s="48" t="n"/>
      <c r="AM46" s="604" t="n"/>
      <c r="AN46" s="50" t="n"/>
      <c r="AO46" s="49" t="n"/>
      <c r="AR46" s="30" t="n"/>
      <c r="AV46" s="30" t="n"/>
    </row>
    <row r="47" ht="11.25" customHeight="1" s="26">
      <c r="A47" s="622" t="n"/>
      <c r="B47" s="231" t="inlineStr">
        <is>
          <t>Farm 10</t>
        </is>
      </c>
      <c r="C47" s="443" t="n"/>
      <c r="F47" s="309" t="n"/>
      <c r="G47" s="405" t="n"/>
      <c r="I47" s="445" t="n"/>
      <c r="J47" s="647" t="n"/>
      <c r="K47" s="17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F47" s="30" t="n"/>
      <c r="AJ47" s="30" t="n"/>
      <c r="AL47" s="48" t="n"/>
      <c r="AM47" s="604" t="n"/>
      <c r="AN47" s="50" t="n"/>
      <c r="AO47" s="49" t="n"/>
      <c r="AP47" s="48" t="n"/>
      <c r="AQ47" s="604" t="n"/>
      <c r="AR47" s="30" t="n"/>
      <c r="AV47" s="30" t="n"/>
    </row>
    <row r="48" ht="11.25" customHeight="1" s="26">
      <c r="A48" s="622" t="n"/>
      <c r="B48" s="231" t="inlineStr">
        <is>
          <t>Farm 11</t>
        </is>
      </c>
      <c r="C48" s="443" t="n"/>
      <c r="F48" s="309" t="n"/>
      <c r="G48" s="405" t="n"/>
      <c r="I48" s="445" t="n"/>
      <c r="J48" s="647" t="n"/>
      <c r="K48" s="172" t="n"/>
      <c r="L48" s="29" t="n"/>
      <c r="M48" s="824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622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F48" s="30" t="n"/>
      <c r="AJ48" s="30" t="n"/>
      <c r="AL48" s="48" t="n"/>
      <c r="AM48" s="604" t="n"/>
      <c r="AN48" s="50" t="n"/>
      <c r="AO48" s="49" t="n"/>
      <c r="AP48" s="48" t="n"/>
      <c r="AQ48" s="604" t="n"/>
      <c r="AR48" s="50" t="n"/>
      <c r="AS48" s="49" t="n"/>
      <c r="AT48" s="48" t="n"/>
      <c r="AU48" s="604" t="n"/>
      <c r="AV48" s="50" t="n"/>
      <c r="AW48" s="49" t="n"/>
    </row>
    <row r="49" ht="11.25" customHeight="1" s="26">
      <c r="A49" s="622" t="n"/>
      <c r="B49" s="231" t="inlineStr">
        <is>
          <t>Farm 12</t>
        </is>
      </c>
      <c r="C49" s="550" t="n"/>
      <c r="F49" s="367" t="n"/>
      <c r="G49" s="385" t="n"/>
      <c r="I49" s="386" t="n"/>
      <c r="J49" s="446" t="n"/>
      <c r="K49" s="407" t="n"/>
      <c r="L49" s="29" t="n"/>
      <c r="M49" s="702" t="n"/>
      <c r="N49" s="622" t="n"/>
      <c r="P49" s="622" t="n"/>
      <c r="R49" s="67" t="n"/>
      <c r="T49" s="215" t="n"/>
      <c r="U49" s="823" t="n"/>
      <c r="V49" s="622" t="n"/>
      <c r="W49" s="823" t="n"/>
      <c r="X49" s="622" t="n"/>
      <c r="Z49" s="622" t="n"/>
      <c r="AA49" s="619" t="n"/>
      <c r="AB49" s="622" t="n"/>
      <c r="AF49" s="30" t="n"/>
      <c r="AJ49" s="30" t="n"/>
      <c r="AL49" s="48" t="n"/>
      <c r="AM49" s="604" t="n"/>
      <c r="AN49" s="50" t="n"/>
      <c r="AO49" s="49" t="n"/>
      <c r="AP49" s="48" t="n"/>
      <c r="AQ49" s="604" t="n"/>
      <c r="AR49" s="50" t="n"/>
      <c r="AS49" s="49" t="n"/>
      <c r="AT49" s="48" t="n"/>
      <c r="AU49" s="604" t="n"/>
      <c r="AV49" s="50" t="n"/>
      <c r="AW49" s="49" t="n"/>
    </row>
    <row r="50" ht="11.25" customHeight="1" s="26">
      <c r="A50" s="622" t="n"/>
      <c r="B50" s="231" t="inlineStr">
        <is>
          <t>Farm 13</t>
        </is>
      </c>
      <c r="C50" s="443" t="n"/>
      <c r="F50" s="309" t="n"/>
      <c r="G50" s="405" t="n"/>
      <c r="I50" s="445" t="n"/>
      <c r="J50" s="446" t="n"/>
      <c r="K50" s="407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F50" s="30" t="n"/>
      <c r="AJ50" s="30" t="n"/>
      <c r="AL50" s="48" t="n"/>
      <c r="AM50" s="604" t="n"/>
      <c r="AN50" s="30" t="n"/>
      <c r="AP50" s="48" t="n"/>
      <c r="AQ50" s="604" t="n"/>
      <c r="AR50" s="50" t="n"/>
      <c r="AS50" s="49" t="n"/>
      <c r="AT50" s="48" t="n"/>
      <c r="AU50" s="604" t="n"/>
      <c r="AV50" s="50" t="n"/>
      <c r="AW50" s="49" t="n"/>
    </row>
    <row r="51" ht="11.25" customHeight="1" s="26">
      <c r="A51" s="622" t="n"/>
      <c r="B51" s="231" t="inlineStr">
        <is>
          <t>Farm 14</t>
        </is>
      </c>
      <c r="C51" s="443" t="n"/>
      <c r="F51" s="309" t="n"/>
      <c r="G51" s="405" t="n"/>
      <c r="I51" s="445" t="n"/>
      <c r="J51" s="446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622" t="n"/>
      <c r="W51" s="827" t="n"/>
      <c r="X51" s="622" t="n"/>
      <c r="Y51" s="828" t="n"/>
      <c r="Z51" s="622" t="n"/>
      <c r="AA51" s="685" t="n"/>
      <c r="AB51" s="622" t="n"/>
      <c r="AF51" s="30" t="n"/>
      <c r="AJ51" s="30" t="n"/>
      <c r="AL51" s="48" t="n"/>
      <c r="AM51" s="604" t="n"/>
      <c r="AN51" s="30" t="n"/>
      <c r="AP51" s="48" t="n"/>
      <c r="AQ51" s="604" t="n"/>
      <c r="AR51" s="50" t="n"/>
      <c r="AS51" s="49" t="n"/>
      <c r="AT51" s="48" t="n"/>
      <c r="AU51" s="604" t="n"/>
      <c r="AV51" s="50" t="n"/>
      <c r="AW51" s="49" t="n"/>
    </row>
    <row r="52" ht="11.25" customHeight="1" s="26">
      <c r="B52" s="231" t="inlineStr">
        <is>
          <t>Farm 15</t>
        </is>
      </c>
      <c r="C52" s="443" t="n"/>
      <c r="F52" s="309" t="n"/>
      <c r="G52" s="405" t="n"/>
      <c r="I52" s="445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622" t="n"/>
      <c r="X52" s="622" t="n"/>
      <c r="Z52" s="622" t="n"/>
      <c r="AB52" s="622" t="n"/>
      <c r="AF52" s="30" t="n"/>
      <c r="AJ52" s="30" t="n"/>
      <c r="AL52" s="48" t="n"/>
      <c r="AM52" s="604" t="n"/>
      <c r="AN52" s="30" t="n"/>
      <c r="AP52" s="48" t="n"/>
      <c r="AQ52" s="604" t="n"/>
      <c r="AR52" s="50" t="n"/>
      <c r="AS52" s="49" t="n"/>
      <c r="AT52" s="48" t="n"/>
      <c r="AU52" s="604" t="n"/>
      <c r="AV52" s="50" t="n"/>
      <c r="AW52" s="49" t="n"/>
    </row>
    <row r="53" ht="11.25" customHeight="1" s="26">
      <c r="A53" s="622" t="n"/>
      <c r="B53" s="231" t="inlineStr">
        <is>
          <t>Farm 16</t>
        </is>
      </c>
      <c r="C53" s="443" t="n"/>
      <c r="F53" s="309" t="n"/>
      <c r="G53" s="405" t="n"/>
      <c r="I53" s="445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622" t="n"/>
      <c r="X53" s="622" t="n"/>
      <c r="Z53" s="622" t="n"/>
      <c r="AB53" s="622" t="n"/>
      <c r="AF53" s="30" t="n"/>
      <c r="AJ53" s="30" t="n"/>
      <c r="AL53" s="48" t="n"/>
      <c r="AM53" s="604" t="n"/>
      <c r="AN53" s="30" t="n"/>
      <c r="AP53" s="48" t="n"/>
      <c r="AQ53" s="604" t="n"/>
      <c r="AR53" s="50" t="n"/>
      <c r="AS53" s="49" t="n"/>
      <c r="AT53" s="48" t="n"/>
      <c r="AU53" s="604" t="n"/>
      <c r="AV53" s="50" t="n"/>
      <c r="AW53" s="49" t="n"/>
    </row>
    <row r="54" ht="11.25" customHeight="1" s="26">
      <c r="A54" s="622" t="n"/>
      <c r="B54" s="231" t="inlineStr">
        <is>
          <t>Farm 17</t>
        </is>
      </c>
      <c r="C54" s="443" t="n"/>
      <c r="F54" s="309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8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F54" s="30" t="n"/>
      <c r="AJ54" s="30" t="n"/>
      <c r="AL54" s="48" t="n"/>
      <c r="AM54" s="604" t="n"/>
      <c r="AN54" s="30" t="n"/>
      <c r="AP54" s="48" t="n"/>
      <c r="AQ54" s="604" t="n"/>
      <c r="AR54" s="50" t="n"/>
      <c r="AS54" s="49" t="n"/>
      <c r="AT54" s="48" t="n"/>
      <c r="AU54" s="604" t="n"/>
      <c r="AV54" s="50" t="n"/>
      <c r="AW54" s="49" t="n"/>
    </row>
    <row r="55" ht="11.25" customHeight="1" s="26">
      <c r="A55" s="622" t="n"/>
      <c r="B55" s="231" t="inlineStr">
        <is>
          <t>Farm 18</t>
        </is>
      </c>
      <c r="C55" s="443" t="n"/>
      <c r="F55" s="309" t="n"/>
      <c r="G55" s="405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695" t="n"/>
      <c r="P55" s="622" t="n"/>
      <c r="Q55" s="471" t="n"/>
      <c r="R55" s="67" t="n"/>
      <c r="S55" s="458" t="n"/>
      <c r="T55" s="215" t="n"/>
      <c r="U55" s="820" t="n"/>
      <c r="V55" s="622" t="n"/>
      <c r="W55" s="821">
        <f>Y55-$B$1</f>
        <v/>
      </c>
      <c r="X55" s="622" t="n"/>
      <c r="Y55" s="86">
        <f>S55+U55</f>
        <v/>
      </c>
      <c r="Z55" s="622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F55" s="30" t="n"/>
      <c r="AJ55" s="30" t="n"/>
      <c r="AL55" s="48" t="n"/>
      <c r="AM55" s="604" t="n"/>
      <c r="AN55" s="30" t="n"/>
      <c r="AP55" s="48" t="n"/>
      <c r="AQ55" s="604" t="n"/>
      <c r="AR55" s="50" t="n"/>
      <c r="AS55" s="49" t="n"/>
      <c r="AT55" s="48" t="n"/>
      <c r="AU55" s="604" t="n"/>
      <c r="AV55" s="50" t="n"/>
      <c r="AW55" s="49" t="n"/>
    </row>
    <row r="56" ht="11.25" customHeight="1" s="26">
      <c r="A56" s="622" t="n"/>
      <c r="B56" s="231" t="inlineStr">
        <is>
          <t>Farm 19</t>
        </is>
      </c>
      <c r="C56" s="550" t="n"/>
      <c r="F56" s="367" t="n"/>
      <c r="G56" s="385" t="n"/>
      <c r="I56" s="386" t="n"/>
      <c r="J56" s="446" t="n"/>
      <c r="K56" s="293" t="n"/>
      <c r="L56" s="29" t="n"/>
      <c r="M56" s="702" t="n"/>
      <c r="N56" s="337" t="n"/>
      <c r="P56" s="622" t="n"/>
      <c r="R56" s="67" t="n"/>
      <c r="T56" s="215" t="n"/>
      <c r="U56" s="823" t="n"/>
      <c r="V56" s="622" t="n"/>
      <c r="W56" s="823" t="n"/>
      <c r="X56" s="622" t="n"/>
      <c r="Z56" s="622" t="n"/>
      <c r="AA56" s="619" t="n"/>
      <c r="AB56" s="622" t="n"/>
      <c r="AF56" s="30" t="n"/>
      <c r="AJ56" s="30" t="n"/>
      <c r="AL56" s="48" t="n"/>
      <c r="AM56" s="604" t="n"/>
      <c r="AN56" s="30" t="n"/>
      <c r="AP56" s="48" t="n"/>
      <c r="AQ56" s="604" t="n"/>
      <c r="AR56" s="50" t="n"/>
      <c r="AS56" s="49" t="n"/>
      <c r="AT56" s="48" t="n"/>
      <c r="AU56" s="604" t="n"/>
      <c r="AV56" s="50" t="n"/>
      <c r="AW56" s="49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/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F57" s="30" t="n"/>
      <c r="AJ57" s="30" t="n"/>
      <c r="AL57" s="48" t="n"/>
      <c r="AM57" s="604" t="n"/>
      <c r="AN57" s="30" t="n"/>
      <c r="AP57" s="48" t="n"/>
      <c r="AQ57" s="604" t="n"/>
      <c r="AR57" s="50" t="n"/>
      <c r="AS57" s="49" t="n"/>
      <c r="AT57" s="48" t="n"/>
      <c r="AU57" s="604" t="n"/>
      <c r="AV57" s="50" t="n"/>
      <c r="AW57" s="49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F58" s="30" t="n"/>
      <c r="AJ58" s="30" t="n"/>
      <c r="AL58" s="48" t="n"/>
      <c r="AM58" s="604" t="n"/>
      <c r="AN58" s="30" t="n"/>
      <c r="AP58" s="48" t="n"/>
      <c r="AQ58" s="604" t="n"/>
      <c r="AR58" s="50" t="n"/>
      <c r="AS58" s="49" t="n"/>
      <c r="AT58" s="48" t="n"/>
      <c r="AU58" s="604" t="n"/>
      <c r="AV58" s="50" t="n"/>
      <c r="AW58" s="49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F59" s="30" t="n"/>
      <c r="AJ59" s="30" t="n"/>
      <c r="AL59" s="48" t="n"/>
      <c r="AM59" s="604" t="n"/>
      <c r="AN59" s="30" t="n"/>
      <c r="AP59" s="48" t="n"/>
      <c r="AQ59" s="604" t="n"/>
      <c r="AR59" s="50" t="n"/>
      <c r="AS59" s="49" t="n"/>
      <c r="AT59" s="48" t="n"/>
      <c r="AU59" s="604" t="n"/>
      <c r="AV59" s="50" t="n"/>
      <c r="AW59" s="49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F60" s="30" t="n"/>
      <c r="AJ60" s="30" t="n"/>
      <c r="AL60" s="48" t="n"/>
      <c r="AM60" s="604" t="n"/>
      <c r="AN60" s="30" t="n"/>
      <c r="AP60" s="48" t="n"/>
      <c r="AQ60" s="604" t="n"/>
      <c r="AR60" s="50" t="n"/>
      <c r="AS60" s="49" t="n"/>
      <c r="AT60" s="48" t="n"/>
      <c r="AU60" s="604" t="n"/>
      <c r="AV60" s="50" t="n"/>
      <c r="AW60" s="49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F61" s="30" t="n"/>
      <c r="AJ61" s="30" t="n"/>
      <c r="AL61" s="48" t="n"/>
      <c r="AM61" s="604" t="n"/>
      <c r="AN61" s="30" t="n"/>
      <c r="AP61" s="48" t="n"/>
      <c r="AQ61" s="604" t="n"/>
      <c r="AR61" s="50" t="n"/>
      <c r="AS61" s="49" t="n"/>
      <c r="AT61" s="48" t="n"/>
      <c r="AU61" s="604" t="n"/>
      <c r="AV61" s="50" t="n"/>
      <c r="AW61" s="49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831" t="n"/>
      <c r="P62" s="323" t="n"/>
      <c r="Q62" s="832" t="n"/>
      <c r="R62" s="325" t="n"/>
      <c r="S62" s="833" t="n"/>
      <c r="T62" s="327" t="n"/>
      <c r="U62" s="834" t="n"/>
      <c r="V62" s="323" t="n"/>
      <c r="W62" s="835">
        <f>Y62-$B$1</f>
        <v/>
      </c>
      <c r="X62" s="323" t="n"/>
      <c r="Y62" s="836">
        <f>S62+U62</f>
        <v/>
      </c>
      <c r="Z62" s="335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F62" s="30" t="n"/>
      <c r="AJ62" s="30" t="n"/>
      <c r="AL62" s="48" t="n"/>
      <c r="AM62" s="604" t="n"/>
      <c r="AN62" s="30" t="n"/>
      <c r="AP62" s="48" t="n"/>
      <c r="AQ62" s="604" t="n"/>
      <c r="AR62" s="50" t="n"/>
      <c r="AS62" s="49" t="n"/>
      <c r="AT62" s="48" t="n"/>
      <c r="AU62" s="604" t="n"/>
      <c r="AV62" s="50" t="n"/>
      <c r="AW62" s="49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O63" s="779" t="n"/>
      <c r="P63" s="339" t="n"/>
      <c r="Q63" s="779" t="n"/>
      <c r="R63" s="340" t="n"/>
      <c r="S63" s="779" t="n"/>
      <c r="T63" s="341" t="n"/>
      <c r="U63" s="779" t="n"/>
      <c r="V63" s="339" t="n"/>
      <c r="W63" s="779" t="n"/>
      <c r="X63" s="339" t="n"/>
      <c r="Y63" s="779" t="n"/>
      <c r="Z63" s="342" t="n"/>
      <c r="AA63" s="619" t="n"/>
      <c r="AB63" s="622" t="n"/>
      <c r="AF63" s="30" t="n"/>
      <c r="AJ63" s="30" t="n"/>
      <c r="AL63" s="48" t="n"/>
      <c r="AM63" s="604" t="n"/>
      <c r="AN63" s="30" t="n"/>
      <c r="AP63" s="48" t="n"/>
      <c r="AQ63" s="604" t="n"/>
      <c r="AR63" s="50" t="n"/>
      <c r="AS63" s="49" t="n"/>
      <c r="AT63" s="48" t="n"/>
      <c r="AU63" s="604" t="n"/>
      <c r="AV63" s="50" t="n"/>
      <c r="AW63" s="49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/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F64" s="30" t="n"/>
      <c r="AJ64" s="30" t="n"/>
      <c r="AL64" s="48" t="n"/>
      <c r="AM64" s="604" t="n"/>
      <c r="AN64" s="30" t="n"/>
      <c r="AP64" s="48" t="n"/>
      <c r="AQ64" s="604" t="n"/>
      <c r="AR64" s="50" t="n"/>
      <c r="AS64" s="49" t="n"/>
      <c r="AT64" s="48" t="n"/>
      <c r="AU64" s="604" t="n"/>
      <c r="AV64" s="50" t="n"/>
      <c r="AW64" s="49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F65" s="30" t="n"/>
      <c r="AJ65" s="30" t="n"/>
      <c r="AL65" s="48" t="n"/>
      <c r="AM65" s="604" t="n"/>
      <c r="AN65" s="30" t="n"/>
      <c r="AR65" s="30" t="n"/>
      <c r="AV65" s="30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F66" s="30" t="n"/>
      <c r="AJ66" s="30" t="n"/>
      <c r="AL66" s="48" t="n"/>
      <c r="AM66" s="604" t="n"/>
      <c r="AN66" s="30" t="n"/>
      <c r="AR66" s="30" t="n"/>
      <c r="AV66" s="30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481" t="n"/>
      <c r="AN67" s="30" t="n"/>
      <c r="AR67" s="30" t="n"/>
      <c r="AV67" s="30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30" t="n"/>
      <c r="AR68" s="30" t="n"/>
      <c r="AV68" s="30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31" t="n"/>
      <c r="P69" s="323" t="n"/>
      <c r="Q69" s="832" t="n"/>
      <c r="R69" s="325" t="n"/>
      <c r="S69" s="833" t="n"/>
      <c r="T69" s="327" t="n"/>
      <c r="U69" s="834" t="n"/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F69" s="30" t="n"/>
      <c r="AJ69" s="30" t="n"/>
      <c r="AL69" s="48" t="n"/>
      <c r="AM69" s="604" t="n"/>
      <c r="AN69" s="30" t="n"/>
      <c r="AR69" s="30" t="n"/>
      <c r="AV69" s="30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30" t="n"/>
      <c r="AR70" s="30" t="n"/>
      <c r="AV70" s="30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</row>
    <row r="76" ht="11.25" customHeight="1" s="26"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622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A77" s="619" t="n"/>
      <c r="AB77" s="622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</row>
    <row r="83" ht="11.25" customHeight="1" s="26"/>
    <row r="84" ht="11.25" customHeight="1" s="26"/>
    <row r="85" ht="11.25" customHeight="1" s="26"/>
    <row r="86" ht="11.25" customHeight="1" s="26"/>
    <row r="87" ht="11.25" customHeight="1" s="26"/>
    <row r="88" ht="11.25" customHeight="1" s="26"/>
    <row r="89" ht="11.25" customHeight="1" s="26"/>
    <row r="90" ht="11.25" customHeight="1" s="26"/>
    <row r="91" ht="11.25" customHeight="1" s="26"/>
    <row r="92" ht="11.25" customHeight="1" s="26"/>
    <row r="93" ht="11.25" customHeight="1" s="26"/>
    <row r="94" ht="11.25" customHeight="1" s="26"/>
    <row r="95" ht="11.25" customHeight="1" s="26"/>
    <row r="96" ht="11.25" customHeight="1" s="26"/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3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U69:U70"/>
    <mergeCell ref="M9:M1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W66:Y66"/>
    <mergeCell ref="Q42:Q43"/>
    <mergeCell ref="S42:S43"/>
    <mergeCell ref="C36:E36"/>
    <mergeCell ref="M15:M16"/>
    <mergeCell ref="Y39:Y40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C35:E35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K12:K13"/>
    <mergeCell ref="Q69:Q70"/>
    <mergeCell ref="S69:S70"/>
    <mergeCell ref="G53:H53"/>
    <mergeCell ref="S9:S10"/>
    <mergeCell ref="Y6:Y7"/>
    <mergeCell ref="K14:K15"/>
    <mergeCell ref="Q66:S66"/>
    <mergeCell ref="AA64:AA65"/>
    <mergeCell ref="M42:M43"/>
    <mergeCell ref="O42:O43"/>
    <mergeCell ref="U39:U40"/>
    <mergeCell ref="W39:W40"/>
    <mergeCell ref="O6:O7"/>
    <mergeCell ref="Q62:Q63"/>
    <mergeCell ref="W24:W25"/>
    <mergeCell ref="V78:Z79"/>
    <mergeCell ref="Y24:Y25"/>
    <mergeCell ref="S62:S63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M69:M70"/>
    <mergeCell ref="Q33:Q34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J41">
    <cfRule type="expression" priority="1" dxfId="1">
      <formula>ISNUMBER(#REF!)</formula>
    </cfRule>
    <cfRule type="expression" priority="2" dxfId="1">
      <formula>ISNUMBER(#REF!)</formula>
    </cfRule>
  </conditionalFormatting>
  <conditionalFormatting sqref="J40 J43:J48">
    <cfRule type="expression" priority="3" dxfId="1">
      <formula>ISNUMBER($F36)</formula>
    </cfRule>
    <cfRule type="expression" priority="4" dxfId="1">
      <formula>ISNUMBER($F38)</formula>
    </cfRule>
  </conditionalFormatting>
  <conditionalFormatting sqref="J40">
    <cfRule type="expression" priority="5" dxfId="1">
      <formula>ISNUMBER($F40)</formula>
    </cfRule>
  </conditionalFormatting>
  <conditionalFormatting sqref="W36:W37 W39:W40 W42:W43 W45:W46 W48:W49">
    <cfRule type="cellIs" priority="6" operator="equal" dxfId="0">
      <formula>0</formula>
    </cfRule>
  </conditionalFormatting>
  <conditionalFormatting sqref="J56">
    <cfRule type="expression" priority="7" dxfId="1">
      <formula>ISNUMBER($F56)</formula>
    </cfRule>
  </conditionalFormatting>
  <conditionalFormatting sqref="J57">
    <cfRule type="expression" priority="8" dxfId="1">
      <formula>ISNUMBER($F57)</formula>
    </cfRule>
  </conditionalFormatting>
  <conditionalFormatting sqref="J52">
    <cfRule type="expression" priority="9" dxfId="1">
      <formula>ISNUMBER($F52)</formula>
    </cfRule>
  </conditionalFormatting>
  <conditionalFormatting sqref="J44 J51">
    <cfRule type="expression" priority="10" dxfId="1">
      <formula>ISNUMBER($F44)</formula>
    </cfRule>
  </conditionalFormatting>
  <conditionalFormatting sqref="J53">
    <cfRule type="expression" priority="11" dxfId="1">
      <formula>ISNUMBER($F53)</formula>
    </cfRule>
  </conditionalFormatting>
  <conditionalFormatting sqref="J54">
    <cfRule type="expression" priority="12" dxfId="1">
      <formula>ISNUMBER($F54)</formula>
    </cfRule>
  </conditionalFormatting>
  <conditionalFormatting sqref="W9:W10">
    <cfRule type="cellIs" priority="13" operator="equal" dxfId="0">
      <formula>0</formula>
    </cfRule>
  </conditionalFormatting>
  <conditionalFormatting sqref="W33:W34">
    <cfRule type="cellIs" priority="14" operator="equal" dxfId="0">
      <formula>0</formula>
    </cfRule>
  </conditionalFormatting>
  <conditionalFormatting sqref="W6:W7">
    <cfRule type="cellIs" priority="15" operator="equal" dxfId="0">
      <formula>0</formula>
    </cfRule>
  </conditionalFormatting>
  <conditionalFormatting sqref="W18:W19">
    <cfRule type="cellIs" priority="16" operator="equal" dxfId="0">
      <formula>0</formula>
    </cfRule>
  </conditionalFormatting>
  <conditionalFormatting sqref="W12:W13">
    <cfRule type="cellIs" priority="17" operator="equal" dxfId="0">
      <formula>0</formula>
    </cfRule>
  </conditionalFormatting>
  <conditionalFormatting sqref="W15:W16">
    <cfRule type="cellIs" priority="18" operator="equal" dxfId="0">
      <formula>0</formula>
    </cfRule>
    <cfRule type="cellIs" priority="19" operator="equal" dxfId="0">
      <formula>"'0'"</formula>
    </cfRule>
  </conditionalFormatting>
  <conditionalFormatting sqref="W24:W25 W27:W28 W30:W31">
    <cfRule type="cellIs" priority="20" operator="equal" dxfId="0">
      <formula>0</formula>
    </cfRule>
  </conditionalFormatting>
  <conditionalFormatting sqref="W21:W22">
    <cfRule type="cellIs" priority="21" operator="equal" dxfId="0">
      <formula>0</formula>
    </cfRule>
  </conditionalFormatting>
  <conditionalFormatting sqref="J42 J49">
    <cfRule type="expression" priority="22" dxfId="1">
      <formula>ISNUMBER($F42)</formula>
    </cfRule>
  </conditionalFormatting>
  <conditionalFormatting sqref="J43 J50">
    <cfRule type="expression" priority="23" dxfId="1">
      <formula>ISNUMBER($F43)</formula>
    </cfRule>
  </conditionalFormatting>
  <conditionalFormatting sqref="W55:W56">
    <cfRule type="cellIs" priority="24" operator="equal" dxfId="0">
      <formula>0</formula>
    </cfRule>
    <cfRule type="cellIs" priority="25" operator="equal" dxfId="0">
      <formula>"'0'"</formula>
    </cfRule>
  </conditionalFormatting>
  <conditionalFormatting sqref="J38:J44">
    <cfRule type="expression" priority="26" dxfId="1">
      <formula>ISNUMBER($F39)</formula>
    </cfRule>
    <cfRule type="expression" priority="28" dxfId="1">
      <formula>ISNUMBER($F38)</formula>
    </cfRule>
  </conditionalFormatting>
  <conditionalFormatting sqref="J41:J48">
    <cfRule type="expression" priority="27" dxfId="1">
      <formula>ISNUMBER($F41)</formula>
    </cfRule>
  </conditionalFormatting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8.140000000000001" customWidth="1" style="26" min="2" max="2"/>
    <col width="12.71" customWidth="1" style="26" min="3" max="3"/>
    <col width="3.86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CONCATENATE("Matt Becker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1B,3B,CI</t>
        </is>
      </c>
      <c r="C3" s="38" t="n"/>
      <c r="D3" s="38" t="n"/>
      <c r="E3" s="38" t="n"/>
      <c r="F3" s="682" t="n"/>
      <c r="G3" s="600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1B,3B,CI</t>
        </is>
      </c>
      <c r="C4" s="38" t="n"/>
      <c r="D4" s="38" t="n"/>
      <c r="E4" s="38" t="n"/>
      <c r="F4" s="682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</t>
        </is>
      </c>
      <c r="C5" s="110" t="n"/>
      <c r="D5" s="38" t="n"/>
      <c r="E5" s="38" t="n"/>
      <c r="F5" s="682" t="n"/>
      <c r="G5" s="600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1B,CI,OF</t>
        </is>
      </c>
      <c r="C6" s="38" t="n"/>
      <c r="D6" s="38" t="n"/>
      <c r="E6" s="38" t="n"/>
      <c r="F6" s="682" t="n"/>
      <c r="G6" s="601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Royce Lewis</t>
        </is>
      </c>
      <c r="P6" s="616" t="n"/>
      <c r="Q6" s="186" t="n">
        <v>9</v>
      </c>
      <c r="R6" s="146" t="n"/>
      <c r="S6" s="188" t="n">
        <v>2024</v>
      </c>
      <c r="T6" s="79" t="n"/>
      <c r="U6" s="803" t="n">
        <v>3</v>
      </c>
      <c r="V6" s="79" t="n"/>
      <c r="W6" s="804">
        <f>Y6-$B$1</f>
        <v/>
      </c>
      <c r="X6" s="127" t="n"/>
      <c r="Y6" s="86">
        <f>S6+U6</f>
        <v/>
      </c>
      <c r="Z6" s="71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2B,MI</t>
        </is>
      </c>
      <c r="C7" s="38" t="n"/>
      <c r="D7" s="38" t="n"/>
      <c r="E7" s="38" t="n"/>
      <c r="F7" s="682" t="n"/>
      <c r="G7" s="601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79" t="n"/>
      <c r="W7" s="771" t="n"/>
      <c r="X7" s="127" t="n"/>
      <c r="Z7" s="71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2B,MI</t>
        </is>
      </c>
      <c r="C8" s="38" t="n"/>
      <c r="D8" s="38" t="n"/>
      <c r="E8" s="38" t="n"/>
      <c r="F8" s="682" t="n"/>
      <c r="G8" s="601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124" t="n"/>
      <c r="V8" s="616" t="n"/>
      <c r="W8" s="124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3B,SS,CI,MI</t>
        </is>
      </c>
      <c r="C9" s="38" t="n"/>
      <c r="D9" s="38" t="n"/>
      <c r="E9" s="38" t="n"/>
      <c r="F9" s="682" t="n"/>
      <c r="G9" s="601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Masyn Winn</t>
        </is>
      </c>
      <c r="P9" s="616" t="n"/>
      <c r="Q9" s="186" t="n">
        <v>1</v>
      </c>
      <c r="R9" s="146" t="n"/>
      <c r="S9" s="188" t="n">
        <v>2024</v>
      </c>
      <c r="T9" s="79" t="n"/>
      <c r="U9" s="803" t="n">
        <v>3</v>
      </c>
      <c r="V9" s="79" t="n"/>
      <c r="W9" s="807">
        <f>Y9-$B$1</f>
        <v/>
      </c>
      <c r="X9" s="8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C</t>
        </is>
      </c>
      <c r="C10" s="38" t="n"/>
      <c r="D10" s="38" t="n"/>
      <c r="E10" s="38" t="n"/>
      <c r="F10" s="682" t="n"/>
      <c r="G10" s="601" t="n"/>
      <c r="H10" s="755" t="n"/>
      <c r="I10" s="759" t="n"/>
      <c r="J10" s="759" t="n"/>
      <c r="K10" s="793" t="n"/>
      <c r="L10" s="29" t="n"/>
      <c r="M10" s="702" t="n"/>
      <c r="N10" s="71" t="n"/>
      <c r="P10" s="616" t="n"/>
      <c r="R10" s="146" t="n"/>
      <c r="T10" s="79" t="n"/>
      <c r="U10" s="771" t="n"/>
      <c r="V10" s="79" t="n"/>
      <c r="W10" s="771" t="n"/>
      <c r="X10" s="8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C</t>
        </is>
      </c>
      <c r="C11" s="38" t="n"/>
      <c r="D11" s="38" t="n"/>
      <c r="E11" s="38" t="n"/>
      <c r="F11" s="682" t="n"/>
      <c r="G11" s="601" t="n"/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124" t="n"/>
      <c r="V11" s="616" t="n"/>
      <c r="W11" s="124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C,1B,3B,CI</t>
        </is>
      </c>
      <c r="C12" s="38" t="n"/>
      <c r="D12" s="38" t="n"/>
      <c r="E12" s="38" t="n"/>
      <c r="F12" s="682" t="n"/>
      <c r="G12" s="601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Mark Vientos</t>
        </is>
      </c>
      <c r="P12" s="616" t="n"/>
      <c r="Q12" s="186" t="n">
        <v>1</v>
      </c>
      <c r="R12" s="146" t="n"/>
      <c r="S12" s="188" t="n">
        <v>2024</v>
      </c>
      <c r="T12" s="79" t="n"/>
      <c r="U12" s="803" t="n">
        <v>3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OF</t>
        </is>
      </c>
      <c r="C13" s="38" t="n"/>
      <c r="D13" s="38" t="n"/>
      <c r="E13" s="38" t="n"/>
      <c r="F13" s="682" t="n"/>
      <c r="G13" s="601" t="n"/>
      <c r="H13" s="702" t="n"/>
      <c r="K13" s="619" t="n"/>
      <c r="L13" s="29" t="n"/>
      <c r="M13" s="702" t="n"/>
      <c r="N13" s="71" t="n"/>
      <c r="P13" s="616" t="n"/>
      <c r="R13" s="146" t="n"/>
      <c r="T13" s="79" t="n"/>
      <c r="U13" s="771" t="n"/>
      <c r="V13" s="79" t="n"/>
      <c r="W13" s="771" t="n"/>
      <c r="X13" s="8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F14" s="682" t="n"/>
      <c r="G14" s="601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124" t="n"/>
      <c r="V14" s="616" t="n"/>
      <c r="W14" s="124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F15" s="682" t="n"/>
      <c r="G15" s="601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Shane Baz</t>
        </is>
      </c>
      <c r="P15" s="616" t="n"/>
      <c r="Q15" s="186" t="n">
        <v>12</v>
      </c>
      <c r="R15" s="146" t="n"/>
      <c r="S15" s="188" t="n">
        <v>2025</v>
      </c>
      <c r="T15" s="79" t="n"/>
      <c r="U15" s="803" t="n">
        <v>1</v>
      </c>
      <c r="V15" s="79" t="n"/>
      <c r="W15" s="807">
        <f>Y15-$B$1</f>
        <v/>
      </c>
      <c r="X15" s="82" t="n"/>
      <c r="Y15" s="86">
        <f>S15+U15</f>
        <v/>
      </c>
      <c r="Z15" s="622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F16" s="682" t="n"/>
      <c r="G16" s="601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616" t="n"/>
      <c r="R16" s="146" t="n"/>
      <c r="T16" s="79" t="n"/>
      <c r="U16" s="771" t="n"/>
      <c r="V16" s="79" t="n"/>
      <c r="W16" s="771" t="n"/>
      <c r="X16" s="82" t="n"/>
      <c r="Z16" s="622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F17" s="682" t="n"/>
      <c r="G17" s="601" t="n"/>
      <c r="H17" s="702" t="n"/>
      <c r="K17" s="619" t="n"/>
      <c r="L17" s="29" t="n"/>
      <c r="M17" s="119" t="n"/>
      <c r="N17" s="71" t="n"/>
      <c r="O17" s="616" t="n"/>
      <c r="P17" s="616" t="n"/>
      <c r="Q17" s="146" t="n"/>
      <c r="R17" s="146" t="n"/>
      <c r="S17" s="616" t="n"/>
      <c r="T17" s="616" t="n"/>
      <c r="U17" s="124" t="n"/>
      <c r="V17" s="616" t="n"/>
      <c r="W17" s="124" t="n"/>
      <c r="X17" s="622" t="n"/>
      <c r="Y17" s="622" t="n"/>
      <c r="Z17" s="622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38" t="n"/>
      <c r="D18" s="38" t="n"/>
      <c r="E18" s="38" t="n"/>
      <c r="F18" s="682" t="n"/>
      <c r="G18" s="601" t="n"/>
      <c r="H18" s="162">
        <f>CONCATENATE($B$1+1," Auction Budget acquired by trade (Offseason Only)")</f>
        <v/>
      </c>
      <c r="K18" s="809">
        <f>'Draft budget calc'!E12</f>
        <v/>
      </c>
      <c r="L18" s="29" t="n"/>
      <c r="M18" s="802" t="inlineStr">
        <is>
          <t>5th player contract --&gt;&gt;</t>
        </is>
      </c>
      <c r="N18" s="71" t="n"/>
      <c r="O18" s="184" t="inlineStr">
        <is>
          <t>Jesus Luzardo</t>
        </is>
      </c>
      <c r="P18" s="616" t="n"/>
      <c r="Q18" s="186" t="n">
        <v>1</v>
      </c>
      <c r="R18" s="146" t="n"/>
      <c r="S18" s="188" t="n">
        <v>2024</v>
      </c>
      <c r="T18" s="79" t="n"/>
      <c r="U18" s="803" t="n">
        <v>3</v>
      </c>
      <c r="V18" s="79" t="n"/>
      <c r="W18" s="807">
        <f>Y18-$B$1</f>
        <v/>
      </c>
      <c r="X18" s="8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OF</t>
        </is>
      </c>
      <c r="C19" s="110" t="n"/>
      <c r="D19" s="38" t="n"/>
      <c r="E19" s="38" t="n"/>
      <c r="F19" s="682" t="n"/>
      <c r="G19" s="601" t="n"/>
      <c r="H19" s="702" t="n"/>
      <c r="K19" s="619" t="n"/>
      <c r="L19" s="29" t="n"/>
      <c r="M19" s="702" t="n"/>
      <c r="N19" s="71" t="n"/>
      <c r="P19" s="616" t="n"/>
      <c r="R19" s="146" t="n"/>
      <c r="T19" s="79" t="n"/>
      <c r="U19" s="771" t="n"/>
      <c r="V19" s="79" t="n"/>
      <c r="W19" s="771" t="n"/>
      <c r="X19" s="8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F20" s="682" t="n"/>
      <c r="G20" s="601" t="n"/>
      <c r="H20" s="702" t="n"/>
      <c r="K20" s="619" t="n"/>
      <c r="L20" s="29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124" t="n"/>
      <c r="V20" s="616" t="n"/>
      <c r="W20" s="124" t="n"/>
      <c r="X20" s="622" t="n"/>
      <c r="Y20" s="622" t="n"/>
      <c r="Z20" s="622" t="n"/>
      <c r="AA20" s="153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F21" s="682" t="n"/>
      <c r="G21" s="601" t="n"/>
      <c r="H21" s="171" t="inlineStr">
        <is>
          <t>Min. IP Penalties</t>
        </is>
      </c>
      <c r="K21" s="810">
        <f>SUM(D66:E71)</f>
        <v/>
      </c>
      <c r="L21" s="29" t="n"/>
      <c r="M21" s="802" t="inlineStr">
        <is>
          <t>6th player contract --&gt;&gt;</t>
        </is>
      </c>
      <c r="N21" s="71" t="n"/>
      <c r="O21" s="184" t="inlineStr">
        <is>
          <t>Matt McLain</t>
        </is>
      </c>
      <c r="P21" s="616" t="n"/>
      <c r="Q21" s="186" t="n">
        <v>7</v>
      </c>
      <c r="R21" s="146" t="n"/>
      <c r="S21" s="188" t="n">
        <v>2023</v>
      </c>
      <c r="T21" s="79" t="n"/>
      <c r="U21" s="803" t="n">
        <v>3</v>
      </c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F22" s="682" t="n"/>
      <c r="G22" s="601" t="n"/>
      <c r="H22" s="702" t="n"/>
      <c r="K22" s="619" t="n"/>
      <c r="L22" s="29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F23" s="682" t="n"/>
      <c r="G23" s="601" t="n"/>
      <c r="H23" s="811">
        <f>CONCATENATE($B$1+1," Draft Budget Spent")</f>
        <v/>
      </c>
      <c r="I23" s="753" t="n"/>
      <c r="J23" s="753" t="n"/>
      <c r="K23" s="883">
        <f>SUM(K12,K14,K16,K21,-K18)</f>
        <v/>
      </c>
      <c r="L23" s="29" t="n"/>
      <c r="M23" s="119" t="n"/>
      <c r="N23" s="71" t="n"/>
      <c r="O23" s="616" t="n"/>
      <c r="P23" s="616" t="n"/>
      <c r="Q23" s="616" t="n"/>
      <c r="R23" s="616" t="n"/>
      <c r="S23" s="616" t="n"/>
      <c r="T23" s="616" t="n"/>
      <c r="U23" s="124" t="n"/>
      <c r="V23" s="616" t="n"/>
      <c r="W23" s="124" t="n"/>
      <c r="X23" s="139" t="n"/>
      <c r="Y23" s="522" t="n"/>
      <c r="Z23" s="71" t="n"/>
      <c r="AA23" s="143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F24" s="682" t="n"/>
      <c r="G24" s="601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184" t="inlineStr">
        <is>
          <t>Kris Bubic</t>
        </is>
      </c>
      <c r="P24" s="616" t="n"/>
      <c r="Q24" s="186" t="n">
        <v>0</v>
      </c>
      <c r="R24" s="146" t="n"/>
      <c r="S24" s="188" t="n">
        <v>2025</v>
      </c>
      <c r="T24" s="79" t="n"/>
      <c r="U24" s="803" t="n">
        <v>2</v>
      </c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F25" s="682" t="n"/>
      <c r="G25" s="601" t="n"/>
      <c r="H25" s="755" t="n"/>
      <c r="I25" s="759" t="n"/>
      <c r="J25" s="759" t="n"/>
      <c r="K25" s="793" t="n"/>
      <c r="L25" s="29" t="n"/>
      <c r="M25" s="702" t="n"/>
      <c r="N25" s="71" t="n"/>
      <c r="P25" s="616" t="n"/>
      <c r="R25" s="146" t="n"/>
      <c r="T25" s="79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F26" s="682" t="n"/>
      <c r="G26" s="601" t="n"/>
      <c r="H26" s="622" t="n"/>
      <c r="I26" s="622" t="n"/>
      <c r="J26" s="622" t="n"/>
      <c r="K26" s="622" t="n"/>
      <c r="L26" s="29" t="n"/>
      <c r="M26" s="172" t="n"/>
      <c r="N26" s="622" t="n"/>
      <c r="O26" s="616" t="n"/>
      <c r="P26" s="616" t="n"/>
      <c r="Q26" s="146" t="n"/>
      <c r="R26" s="146" t="n"/>
      <c r="S26" s="616" t="n"/>
      <c r="T26" s="616" t="n"/>
      <c r="U26" s="124" t="n"/>
      <c r="V26" s="616" t="n"/>
      <c r="W26" s="124" t="n"/>
      <c r="X26" s="139" t="n"/>
      <c r="Y26" s="141" t="n"/>
      <c r="Z26" s="622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F27" s="682" t="n"/>
      <c r="G27" s="601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184" t="inlineStr">
        <is>
          <t>Daylen Lile</t>
        </is>
      </c>
      <c r="P27" s="616" t="n"/>
      <c r="Q27" s="186" t="n">
        <v>0</v>
      </c>
      <c r="R27" s="146" t="n"/>
      <c r="S27" s="188" t="n">
        <v>2025</v>
      </c>
      <c r="T27" s="79" t="n"/>
      <c r="U27" s="803" t="n">
        <v>1</v>
      </c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F28" s="682" t="n"/>
      <c r="G28" s="601" t="n"/>
      <c r="H28" s="702" t="n"/>
      <c r="K28" s="619" t="n"/>
      <c r="L28" s="29" t="n"/>
      <c r="M28" s="702" t="n"/>
      <c r="N28" s="622" t="n"/>
      <c r="P28" s="616" t="n"/>
      <c r="R28" s="146" t="n"/>
      <c r="T28" s="79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F29" s="682" t="n"/>
      <c r="G29" s="601" t="n"/>
      <c r="H29" s="702" t="n"/>
      <c r="K29" s="619" t="n"/>
      <c r="L29" s="29" t="n"/>
      <c r="M29" s="172" t="n"/>
      <c r="N29" s="622" t="n"/>
      <c r="O29" s="616" t="n"/>
      <c r="P29" s="616" t="n"/>
      <c r="Q29" s="146" t="n"/>
      <c r="R29" s="146" t="n"/>
      <c r="S29" s="616" t="n"/>
      <c r="T29" s="616" t="n"/>
      <c r="U29" s="124" t="n"/>
      <c r="V29" s="616" t="n"/>
      <c r="W29" s="124" t="n"/>
      <c r="X29" s="139" t="n"/>
      <c r="Y29" s="141" t="n"/>
      <c r="Z29" s="622" t="n"/>
      <c r="AA29" s="164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F30" s="682" t="n"/>
      <c r="G30" s="601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184" t="inlineStr">
        <is>
          <t>Jakob Marsee</t>
        </is>
      </c>
      <c r="P30" s="616" t="n"/>
      <c r="Q30" s="186" t="n">
        <v>0</v>
      </c>
      <c r="R30" s="146" t="n"/>
      <c r="S30" s="188" t="n">
        <v>2025</v>
      </c>
      <c r="T30" s="79" t="n"/>
      <c r="U30" s="803" t="n">
        <v>2</v>
      </c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F31" s="682" t="n"/>
      <c r="G31" s="218" t="n"/>
      <c r="H31" s="54" t="inlineStr">
        <is>
          <t>Roster Key</t>
        </is>
      </c>
      <c r="L31" s="29" t="n"/>
      <c r="M31" s="702" t="n"/>
      <c r="N31" s="71" t="n"/>
      <c r="P31" s="616" t="n"/>
      <c r="R31" s="146" t="n"/>
      <c r="T31" s="79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218" t="n"/>
      <c r="L32" s="29" t="n"/>
      <c r="M32" s="172" t="n"/>
      <c r="N32" s="622" t="n"/>
      <c r="O32" s="616" t="n"/>
      <c r="P32" s="616" t="n"/>
      <c r="Q32" s="146" t="n"/>
      <c r="R32" s="146" t="n"/>
      <c r="S32" s="616" t="n"/>
      <c r="T32" s="616" t="n"/>
      <c r="U32" s="124" t="n"/>
      <c r="V32" s="616" t="n"/>
      <c r="W32" s="124" t="n"/>
      <c r="X32" s="139" t="n"/>
      <c r="Y32" s="141" t="n"/>
      <c r="Z32" s="622" t="n"/>
      <c r="AA32" s="143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P</t>
        </is>
      </c>
      <c r="C33" s="38" t="n"/>
      <c r="D33" s="38" t="n"/>
      <c r="E33" s="38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184" t="inlineStr">
        <is>
          <t>Jordan Beck</t>
        </is>
      </c>
      <c r="P33" s="616" t="n"/>
      <c r="Q33" s="186" t="n">
        <v>0</v>
      </c>
      <c r="R33" s="146" t="n"/>
      <c r="S33" s="188" t="n">
        <v>2025</v>
      </c>
      <c r="T33" s="79" t="n"/>
      <c r="U33" s="803" t="n">
        <v>1</v>
      </c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P</t>
        </is>
      </c>
      <c r="C34" s="110" t="n"/>
      <c r="D34" s="38" t="n"/>
      <c r="E34" s="38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616" t="n"/>
      <c r="R34" s="146" t="n"/>
      <c r="T34" s="79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38" t="inlineStr">
        <is>
          <t>P</t>
        </is>
      </c>
      <c r="C35" s="38" t="n"/>
      <c r="D35" s="38" t="n"/>
      <c r="E35" s="38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85" t="n"/>
      <c r="P35" s="622" t="n"/>
      <c r="Q35" s="247" t="n"/>
      <c r="R35" s="67" t="n"/>
      <c r="S35" s="248" t="n"/>
      <c r="T35" s="215" t="n"/>
      <c r="U35" s="291" t="n"/>
      <c r="V35" s="622" t="n"/>
      <c r="W35" s="208" t="n"/>
      <c r="X35" s="622" t="n"/>
      <c r="Y35" s="622" t="n"/>
      <c r="Z35" s="622" t="n"/>
      <c r="AA35" s="546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8" customHeight="1" s="26">
      <c r="A36" s="622" t="n"/>
      <c r="B36" s="38" t="inlineStr">
        <is>
          <t>P</t>
        </is>
      </c>
      <c r="C36" s="38" t="n"/>
      <c r="D36" s="38" t="n"/>
      <c r="E36" s="38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695" t="n"/>
      <c r="P36" s="622" t="n"/>
      <c r="Q36" s="471" t="n"/>
      <c r="R36" s="67" t="n"/>
      <c r="S36" s="458" t="n"/>
      <c r="T36" s="215" t="n"/>
      <c r="U36" s="820" t="n"/>
      <c r="V36" s="139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</row>
    <row r="37" ht="11.25" customHeight="1" s="26">
      <c r="A37" s="622" t="n"/>
      <c r="B37" s="38" t="inlineStr">
        <is>
          <t>SS,MI</t>
        </is>
      </c>
      <c r="C37" s="38" t="n"/>
      <c r="D37" s="38" t="n"/>
      <c r="E37" s="38" t="n"/>
      <c r="F37" s="209" t="n"/>
      <c r="G37" s="822" t="inlineStr">
        <is>
          <t>Drafted</t>
        </is>
      </c>
      <c r="I37" s="220" t="inlineStr">
        <is>
          <t>MLB</t>
        </is>
      </c>
      <c r="J37" s="759" t="n"/>
      <c r="K37" s="220" t="n"/>
      <c r="L37" s="29" t="n"/>
      <c r="M37" s="702" t="n"/>
      <c r="N37" s="71" t="n"/>
      <c r="P37" s="622" t="n"/>
      <c r="R37" s="67" t="n"/>
      <c r="T37" s="215" t="n"/>
      <c r="U37" s="823" t="n"/>
      <c r="V37" s="139" t="n"/>
      <c r="W37" s="823" t="n"/>
      <c r="X37" s="622" t="n"/>
      <c r="Z37" s="622" t="n"/>
      <c r="AA37" s="619" t="n"/>
      <c r="AB37" s="195" t="n"/>
      <c r="AD37" s="48" t="n"/>
      <c r="AE37" s="604" t="n"/>
      <c r="AF37" s="50" t="n"/>
      <c r="AH37" s="48" t="n"/>
      <c r="AI37" s="604" t="n"/>
      <c r="AJ37" s="30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</row>
    <row r="38" ht="11.25" customHeight="1" s="26">
      <c r="A38" s="622" t="n"/>
      <c r="B38" s="222" t="inlineStr">
        <is>
          <t>Farm 1</t>
        </is>
      </c>
      <c r="C38" s="530" t="inlineStr">
        <is>
          <t>Josue De Paula</t>
        </is>
      </c>
      <c r="F38" s="426" t="n">
        <v>4</v>
      </c>
      <c r="G38" s="531" t="n">
        <v>2023</v>
      </c>
      <c r="I38" s="532" t="inlineStr">
        <is>
          <t>No</t>
        </is>
      </c>
      <c r="J38" s="446" t="inlineStr">
        <is>
          <t>Yes</t>
        </is>
      </c>
      <c r="K38" s="172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30" t="n"/>
      <c r="V38" s="622" t="n"/>
      <c r="W38" s="622" t="n"/>
      <c r="X38" s="622" t="n"/>
      <c r="Y38" s="622" t="n"/>
      <c r="Z38" s="622" t="n"/>
      <c r="AA38" s="125" t="n"/>
      <c r="AB38" s="195" t="n"/>
      <c r="AF38" s="50" t="n"/>
      <c r="AH38" s="48" t="n"/>
      <c r="AI38" s="604" t="n"/>
      <c r="AJ38" s="30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</row>
    <row r="39" ht="18" customHeight="1" s="26">
      <c r="A39" s="622" t="n"/>
      <c r="B39" s="231" t="inlineStr">
        <is>
          <t>Farm 2</t>
        </is>
      </c>
      <c r="C39" s="443" t="inlineStr">
        <is>
          <t>Walker Jenkins</t>
        </is>
      </c>
      <c r="F39" s="367" t="n">
        <v>3</v>
      </c>
      <c r="G39" s="385" t="n">
        <v>2024</v>
      </c>
      <c r="I39" s="386" t="inlineStr">
        <is>
          <t>No</t>
        </is>
      </c>
      <c r="J39" s="446" t="inlineStr">
        <is>
          <t>Yes</t>
        </is>
      </c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443" t="inlineStr">
        <is>
          <t>Taj Bradley</t>
        </is>
      </c>
      <c r="F40" s="367" t="n">
        <v>0</v>
      </c>
      <c r="G40" s="385" t="n">
        <v>2022</v>
      </c>
      <c r="I40" s="386" t="inlineStr">
        <is>
          <t>Yes</t>
        </is>
      </c>
      <c r="J40" s="446" t="inlineStr">
        <is>
          <t>no</t>
        </is>
      </c>
      <c r="K40" s="622" t="n"/>
      <c r="L40" s="29" t="n"/>
      <c r="M40" s="702" t="n"/>
      <c r="N40" s="71" t="n"/>
      <c r="P40" s="622" t="n"/>
      <c r="R40" s="67" t="n"/>
      <c r="T40" s="215" t="n"/>
      <c r="U40" s="823" t="n"/>
      <c r="V40" s="139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231" t="inlineStr">
        <is>
          <t>Farm 4</t>
        </is>
      </c>
      <c r="C41" s="443" t="inlineStr">
        <is>
          <t>Munetaka Murakami</t>
        </is>
      </c>
      <c r="F41" s="367" t="n">
        <v>4</v>
      </c>
      <c r="G41" s="385" t="n">
        <v>2022</v>
      </c>
      <c r="I41" s="386" t="inlineStr">
        <is>
          <t>No</t>
        </is>
      </c>
      <c r="J41" s="446" t="inlineStr">
        <is>
          <t>Yes</t>
        </is>
      </c>
      <c r="K41" s="622" t="n"/>
      <c r="L41" s="29" t="n"/>
      <c r="M41" s="172" t="n"/>
      <c r="N41" s="622" t="n"/>
      <c r="O41" s="685" t="n"/>
      <c r="P41" s="622" t="n"/>
      <c r="Q41" s="247" t="n"/>
      <c r="R41" s="67" t="n"/>
      <c r="S41" s="248" t="n"/>
      <c r="T41" s="215" t="n"/>
      <c r="U41" s="250" t="n"/>
      <c r="V41" s="622" t="n"/>
      <c r="W41" s="251" t="n"/>
      <c r="X41" s="622" t="n"/>
      <c r="Y41" s="141" t="n"/>
      <c r="Z41" s="622" t="n"/>
      <c r="AA41" s="143" t="n"/>
      <c r="AB41" s="622" t="n"/>
      <c r="AC41" s="49" t="n"/>
      <c r="AD41" s="48" t="n"/>
      <c r="AE41" s="604" t="n"/>
      <c r="AF41" s="50" t="n"/>
      <c r="AG41" s="49" t="n"/>
      <c r="AH41" s="48" t="n"/>
      <c r="AI41" s="604" t="n"/>
      <c r="AJ41" s="50" t="n"/>
      <c r="AK41" s="49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8" customHeight="1" s="26">
      <c r="A42" s="622" t="n"/>
      <c r="B42" s="231" t="inlineStr">
        <is>
          <t>Farm 5</t>
        </is>
      </c>
      <c r="C42" s="443" t="inlineStr">
        <is>
          <t>Ricky Tiedeman</t>
        </is>
      </c>
      <c r="F42" s="367" t="n">
        <v>4</v>
      </c>
      <c r="G42" s="385" t="n">
        <v>2023</v>
      </c>
      <c r="I42" s="386" t="inlineStr">
        <is>
          <t>No</t>
        </is>
      </c>
      <c r="J42" s="446" t="inlineStr">
        <is>
          <t>yes</t>
        </is>
      </c>
      <c r="K42" s="622" t="n"/>
      <c r="L42" s="29" t="n"/>
      <c r="M42" s="824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C42" s="49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443" t="inlineStr">
        <is>
          <t>Marcelo Mayer</t>
        </is>
      </c>
      <c r="F43" s="367" t="n">
        <v>6</v>
      </c>
      <c r="G43" s="385" t="n">
        <v>2022</v>
      </c>
      <c r="I43" s="386" t="inlineStr">
        <is>
          <t>Yes</t>
        </is>
      </c>
      <c r="J43" s="446" t="inlineStr">
        <is>
          <t>yes</t>
        </is>
      </c>
      <c r="K43" s="62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443" t="inlineStr">
        <is>
          <t>Zac Veen</t>
        </is>
      </c>
      <c r="F44" s="426" t="n">
        <v>6</v>
      </c>
      <c r="G44" s="531" t="n">
        <v>2021</v>
      </c>
      <c r="I44" s="683" t="inlineStr">
        <is>
          <t>No</t>
        </is>
      </c>
      <c r="J44" s="446" t="inlineStr">
        <is>
          <t>yes</t>
        </is>
      </c>
      <c r="K44" s="62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6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R44" s="50" t="n"/>
      <c r="AT44" s="48" t="n"/>
      <c r="AU44" s="604" t="n"/>
    </row>
    <row r="45" ht="18" customHeight="1" s="26">
      <c r="A45" s="622" t="n"/>
      <c r="B45" s="231" t="inlineStr">
        <is>
          <t>Farm 8</t>
        </is>
      </c>
      <c r="C45" s="443" t="inlineStr">
        <is>
          <t>Brooks Lee</t>
        </is>
      </c>
      <c r="F45" s="426" t="n">
        <v>5</v>
      </c>
      <c r="G45" s="385" t="n">
        <v>2024</v>
      </c>
      <c r="I45" s="683" t="inlineStr">
        <is>
          <t>Yes</t>
        </is>
      </c>
      <c r="J45" s="446" t="inlineStr">
        <is>
          <t>yes</t>
        </is>
      </c>
      <c r="K45" s="622" t="n"/>
      <c r="L45" s="29" t="n"/>
      <c r="M45" s="824" t="inlineStr">
        <is>
          <t>14th player contract --&gt;&gt;</t>
        </is>
      </c>
      <c r="N45" s="71" t="n"/>
      <c r="O45" s="695" t="n"/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443" t="inlineStr">
        <is>
          <t>Jac Caglianone</t>
        </is>
      </c>
      <c r="F46" s="367" t="n">
        <v>3</v>
      </c>
      <c r="G46" s="385" t="n">
        <v>2025</v>
      </c>
      <c r="I46" s="386" t="inlineStr">
        <is>
          <t>Yes</t>
        </is>
      </c>
      <c r="J46" s="446" t="inlineStr">
        <is>
          <t>yes</t>
        </is>
      </c>
      <c r="K46" s="62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50" t="n"/>
      <c r="AG46" s="49" t="n"/>
      <c r="AJ46" s="50" t="n"/>
      <c r="AK46" s="49" t="n"/>
      <c r="AL46" s="48" t="n"/>
      <c r="AM46" s="604" t="n"/>
      <c r="AN46" s="30" t="n"/>
      <c r="AP46" s="48" t="n"/>
      <c r="AQ46" s="604" t="n"/>
      <c r="AR46" s="30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443" t="inlineStr">
        <is>
          <t>Charlie Condon</t>
        </is>
      </c>
      <c r="F47" s="367" t="n">
        <v>3</v>
      </c>
      <c r="G47" s="385" t="n">
        <v>2024</v>
      </c>
      <c r="I47" s="386" t="inlineStr">
        <is>
          <t>No</t>
        </is>
      </c>
      <c r="J47" s="689" t="inlineStr">
        <is>
          <t>yes</t>
        </is>
      </c>
      <c r="K47" s="62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30" t="n"/>
      <c r="AP47" s="48" t="n"/>
      <c r="AQ47" s="604" t="n"/>
      <c r="AR47" s="30" t="n"/>
      <c r="AT47" s="48" t="n"/>
      <c r="AU47" s="604" t="n"/>
    </row>
    <row r="48" ht="18" customHeight="1" s="26">
      <c r="A48" s="622" t="n"/>
      <c r="B48" s="231" t="inlineStr">
        <is>
          <t>Farm 11</t>
        </is>
      </c>
      <c r="C48" s="443" t="inlineStr">
        <is>
          <t>Matt Shaw</t>
        </is>
      </c>
      <c r="F48" s="367" t="n">
        <v>4</v>
      </c>
      <c r="G48" s="385" t="n">
        <v>2024</v>
      </c>
      <c r="I48" s="386" t="inlineStr">
        <is>
          <t>Yes</t>
        </is>
      </c>
      <c r="J48" s="689" t="inlineStr">
        <is>
          <t>yes</t>
        </is>
      </c>
      <c r="K48" s="622" t="n"/>
      <c r="L48" s="29" t="n"/>
      <c r="M48" s="824" t="inlineStr">
        <is>
          <t>15th player contract --&gt;&gt;</t>
        </is>
      </c>
      <c r="N48" s="622" t="n"/>
      <c r="O48" s="695" t="n"/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D48" s="48" t="n"/>
      <c r="AE48" s="604" t="n"/>
      <c r="AF48" s="30" t="n"/>
      <c r="AJ48" s="30" t="n"/>
      <c r="AL48" s="48" t="n"/>
      <c r="AM48" s="604" t="n"/>
      <c r="AN48" s="30" t="n"/>
      <c r="AP48" s="48" t="n"/>
      <c r="AQ48" s="604" t="n"/>
      <c r="AR48" s="30" t="n"/>
    </row>
    <row r="49" ht="11.25" customHeight="1" s="26">
      <c r="A49" s="622" t="n"/>
      <c r="B49" s="231" t="inlineStr">
        <is>
          <t>Farm 12</t>
        </is>
      </c>
      <c r="C49" s="442" t="inlineStr">
        <is>
          <t>Christian Moore</t>
        </is>
      </c>
      <c r="F49" s="367" t="n">
        <v>3</v>
      </c>
      <c r="G49" s="385" t="n">
        <v>2025</v>
      </c>
      <c r="I49" s="386" t="inlineStr">
        <is>
          <t>Yes</t>
        </is>
      </c>
      <c r="J49" s="618" t="inlineStr">
        <is>
          <t>yes</t>
        </is>
      </c>
      <c r="K49" s="293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D49" s="48" t="n"/>
      <c r="AE49" s="604" t="n"/>
      <c r="AF49" s="30" t="n"/>
      <c r="AJ49" s="30" t="n"/>
      <c r="AL49" s="48" t="n"/>
      <c r="AM49" s="604" t="n"/>
      <c r="AN49" s="30" t="n"/>
      <c r="AP49" s="48" t="n"/>
      <c r="AQ49" s="604" t="n"/>
      <c r="AR49" s="30" t="n"/>
    </row>
    <row r="50" ht="11.25" customHeight="1" s="26">
      <c r="A50" s="622" t="n"/>
      <c r="B50" s="231" t="inlineStr">
        <is>
          <t>Farm 13</t>
        </is>
      </c>
      <c r="C50" s="443" t="inlineStr">
        <is>
          <t>Luke Keaschall</t>
        </is>
      </c>
      <c r="F50" s="367" t="n">
        <v>3</v>
      </c>
      <c r="G50" s="385" t="n">
        <v>2025</v>
      </c>
      <c r="I50" s="386" t="inlineStr">
        <is>
          <t>Yes</t>
        </is>
      </c>
      <c r="J50" s="618" t="inlineStr">
        <is>
          <t>yes</t>
        </is>
      </c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50" t="n"/>
      <c r="AG50" s="49" t="n"/>
      <c r="AJ50" s="30" t="n"/>
      <c r="AL50" s="48" t="n"/>
      <c r="AM50" s="604" t="n"/>
      <c r="AN50" s="30" t="n"/>
      <c r="AP50" s="48" t="n"/>
      <c r="AQ50" s="604" t="n"/>
      <c r="AR50" s="30" t="n"/>
    </row>
    <row r="51" ht="11.25" customHeight="1" s="26">
      <c r="A51" s="622" t="n"/>
      <c r="B51" s="231" t="inlineStr">
        <is>
          <t>Farm 14</t>
        </is>
      </c>
      <c r="C51" s="550" t="n"/>
      <c r="F51" s="367" t="n"/>
      <c r="G51" s="385" t="n"/>
      <c r="I51" s="386" t="n"/>
      <c r="J51" s="618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443" t="n"/>
      <c r="F52" s="367" t="n"/>
      <c r="G52" s="385" t="n"/>
      <c r="I52" s="386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312" t="n"/>
      <c r="AG53" s="48" t="n"/>
      <c r="AJ53" s="312" t="n"/>
      <c r="AK53" s="48" t="n"/>
      <c r="AL53" s="48" t="n"/>
      <c r="AM53" s="604" t="n"/>
      <c r="AN53" s="312" t="n"/>
      <c r="AO53" s="48" t="n"/>
      <c r="AP53" s="48" t="n"/>
      <c r="AQ53" s="604" t="n"/>
      <c r="AR53" s="312" t="n"/>
      <c r="AS53" s="48" t="n"/>
      <c r="AT53" s="48" t="n"/>
      <c r="AU53" s="48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312" t="n"/>
      <c r="AG54" s="48" t="n"/>
      <c r="AJ54" s="312" t="n"/>
      <c r="AK54" s="48" t="n"/>
      <c r="AL54" s="48" t="n"/>
      <c r="AM54" s="604" t="n"/>
      <c r="AN54" s="312" t="n"/>
      <c r="AO54" s="48" t="n"/>
      <c r="AP54" s="48" t="n"/>
      <c r="AQ54" s="604" t="n"/>
      <c r="AR54" s="312" t="n"/>
      <c r="AS54" s="48" t="n"/>
      <c r="AT54" s="48" t="n"/>
      <c r="AU54" s="48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527" t="inlineStr">
        <is>
          <t>Braxton Garrett</t>
        </is>
      </c>
      <c r="P55" s="616" t="n"/>
      <c r="Q55" s="186" t="n">
        <v>1</v>
      </c>
      <c r="R55" s="146" t="n"/>
      <c r="S55" s="188" t="n">
        <v>2023</v>
      </c>
      <c r="T55" s="79" t="n"/>
      <c r="U55" s="803" t="n">
        <v>3</v>
      </c>
      <c r="V55" s="491" t="n"/>
      <c r="W55" s="835">
        <f>Y55-$B$1</f>
        <v/>
      </c>
      <c r="X55" s="323" t="n"/>
      <c r="Y55" s="836">
        <f>S55+U55</f>
        <v/>
      </c>
      <c r="Z55" s="335" t="n"/>
      <c r="AA55" s="492">
        <f>IF(U55=1,Q55,IF(U55=2,Q55+5,IF(U55=3,Q55+10,IF(U55&gt;3,Q55+U55*3))))</f>
        <v/>
      </c>
      <c r="AB55" s="82" t="n"/>
      <c r="AC55" s="49" t="n"/>
      <c r="AD55" s="48" t="n"/>
      <c r="AE55" s="604" t="n"/>
      <c r="AF55" s="336" t="n"/>
      <c r="AG55" s="48" t="n"/>
      <c r="AJ55" s="336" t="n"/>
      <c r="AK55" s="48" t="n"/>
      <c r="AL55" s="48" t="n"/>
      <c r="AM55" s="604" t="n"/>
      <c r="AN55" s="336" t="n"/>
      <c r="AO55" s="48" t="n"/>
      <c r="AP55" s="48" t="n"/>
      <c r="AQ55" s="604" t="n"/>
      <c r="AR55" s="336" t="n"/>
      <c r="AS55" s="48" t="n"/>
      <c r="AT55" s="48" t="n"/>
      <c r="AU55" s="312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616" t="n"/>
      <c r="R56" s="146" t="n"/>
      <c r="T56" s="79" t="n"/>
      <c r="U56" s="771" t="n"/>
      <c r="V56" s="493" t="n"/>
      <c r="W56" s="779" t="n"/>
      <c r="X56" s="339" t="n"/>
      <c r="Y56" s="779" t="n"/>
      <c r="Z56" s="342" t="n"/>
      <c r="AB56" s="82" t="n"/>
      <c r="AC56" s="49" t="n"/>
      <c r="AD56" s="48" t="n"/>
      <c r="AE56" s="604" t="n"/>
      <c r="AF56" s="336" t="n"/>
      <c r="AG56" s="48" t="n"/>
      <c r="AJ56" s="336" t="n"/>
      <c r="AK56" s="48" t="n"/>
      <c r="AL56" s="48" t="n"/>
      <c r="AM56" s="604" t="n"/>
      <c r="AN56" s="336" t="n"/>
      <c r="AO56" s="48" t="n"/>
      <c r="AP56" s="48" t="n"/>
      <c r="AQ56" s="604" t="n"/>
      <c r="AR56" s="336" t="n"/>
      <c r="AS56" s="48" t="n"/>
      <c r="AT56" s="48" t="n"/>
      <c r="AU56" s="312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J57" s="336" t="n"/>
      <c r="AK57" s="48" t="n"/>
      <c r="AL57" s="48" t="n"/>
      <c r="AM57" s="604" t="n"/>
      <c r="AN57" s="336" t="n"/>
      <c r="AO57" s="48" t="n"/>
      <c r="AP57" s="48" t="n"/>
      <c r="AQ57" s="604" t="n"/>
      <c r="AR57" s="336" t="n"/>
      <c r="AS57" s="48" t="n"/>
      <c r="AT57" s="48" t="n"/>
      <c r="AU57" s="312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H58" s="48" t="n"/>
      <c r="AI58" s="604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436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527" t="inlineStr">
        <is>
          <t>Brayan Bello</t>
        </is>
      </c>
      <c r="P62" s="616" t="n"/>
      <c r="Q62" s="186" t="n">
        <v>0</v>
      </c>
      <c r="R62" s="146" t="n"/>
      <c r="S62" s="188" t="n">
        <v>2023</v>
      </c>
      <c r="T62" s="79" t="n"/>
      <c r="U62" s="803" t="n">
        <v>3</v>
      </c>
      <c r="V62" s="491" t="n"/>
      <c r="W62" s="835">
        <f>Y62-$B$1</f>
        <v/>
      </c>
      <c r="X62" s="323" t="n"/>
      <c r="Y62" s="836">
        <f>S62+U62</f>
        <v/>
      </c>
      <c r="Z62" s="335" t="n"/>
      <c r="AA62" s="492">
        <f>IF(U62=1,Q62,IF(U62=2,Q62+5,IF(U62=3,Q62+10,IF(U62&gt;3,Q62+U62*3))))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P63" s="616" t="n"/>
      <c r="R63" s="146" t="n"/>
      <c r="T63" s="79" t="n"/>
      <c r="U63" s="771" t="n"/>
      <c r="V63" s="493" t="n"/>
      <c r="W63" s="779" t="n"/>
      <c r="X63" s="339" t="n"/>
      <c r="Y63" s="779" t="n"/>
      <c r="Z63" s="342" t="n"/>
      <c r="AB63" s="622" t="n"/>
      <c r="AC63" s="49" t="n"/>
      <c r="AD63" s="48" t="n"/>
      <c r="AE63" s="604" t="n"/>
      <c r="AF63" s="50" t="n"/>
      <c r="AG63" s="49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>
        <v>2024</v>
      </c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H66" s="48" t="n"/>
      <c r="AI66" s="604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31" t="inlineStr">
        <is>
          <t>Jurickson Profar</t>
        </is>
      </c>
      <c r="P69" s="323" t="n"/>
      <c r="Q69" s="832" t="n">
        <v>1</v>
      </c>
      <c r="R69" s="325" t="n"/>
      <c r="S69" s="833" t="n">
        <v>2024</v>
      </c>
      <c r="T69" s="327" t="n"/>
      <c r="U69" s="834" t="n">
        <v>2</v>
      </c>
      <c r="V69" s="323" t="n"/>
      <c r="W69" s="835">
        <f>Y69-$B$1</f>
        <v/>
      </c>
      <c r="X69" s="323" t="n"/>
      <c r="Y69" s="836">
        <f>S69+U69</f>
        <v/>
      </c>
      <c r="Z69" s="335" t="n"/>
      <c r="AA69" s="492">
        <f>IF(U69=1,Q69,IF(U69=2,Q69+5,IF(U69=3,Q69+10,IF(U69&gt;3,Q69+U69*3))))</f>
        <v/>
      </c>
      <c r="AB69" s="622" t="n"/>
      <c r="AF69" s="30" t="n"/>
      <c r="AJ69" s="30" t="n"/>
      <c r="AL69" s="48" t="n"/>
      <c r="AM69" s="604" t="n"/>
      <c r="AN69" s="50" t="n"/>
      <c r="AO69" s="49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>
        <v>2025</v>
      </c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30" t="n"/>
      <c r="AR71" s="30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481" t="n"/>
      <c r="AN72" s="30" t="n"/>
      <c r="AR72" s="30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R73" s="30" t="n"/>
    </row>
    <row r="74" ht="11.25" customHeight="1" s="26">
      <c r="C74" t="inlineStr">
        <is>
          <t>2016 Farm Picks: 1</t>
        </is>
      </c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50" t="n"/>
      <c r="AO74" s="49" t="n"/>
      <c r="AP74" s="48" t="n"/>
      <c r="AQ74" s="604" t="n"/>
      <c r="AR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604" t="n"/>
      <c r="AN75" s="50" t="n"/>
      <c r="AO75" s="49" t="n"/>
      <c r="AP75" s="48" t="n"/>
      <c r="AQ75" s="604" t="n"/>
      <c r="AR75" s="50" t="n"/>
      <c r="AS75" s="49" t="n"/>
      <c r="AT75" s="48" t="n"/>
      <c r="AU75" s="604" t="n"/>
    </row>
    <row r="76" ht="11.25" customHeight="1" s="26">
      <c r="L76" s="622" t="n"/>
      <c r="M76" s="853" t="inlineStr">
        <is>
          <t>4th dropped contract</t>
        </is>
      </c>
      <c r="N76" s="321" t="n"/>
      <c r="O76" s="184" t="inlineStr">
        <is>
          <t>Gavin Lux</t>
        </is>
      </c>
      <c r="P76" s="323" t="n"/>
      <c r="Q76" s="832" t="n">
        <v>3</v>
      </c>
      <c r="R76" s="325" t="n"/>
      <c r="S76" s="833" t="n">
        <v>2023</v>
      </c>
      <c r="T76" s="327" t="n"/>
      <c r="U76" s="834" t="n">
        <v>3</v>
      </c>
      <c r="V76" s="323" t="n"/>
      <c r="W76" s="835">
        <f>Y76-$B$1</f>
        <v/>
      </c>
      <c r="X76" s="323" t="n"/>
      <c r="Y76" s="836">
        <f>S76+U76</f>
        <v/>
      </c>
      <c r="Z76" s="335" t="n"/>
      <c r="AA76" s="492">
        <f>IF(U76=1,Q76,IF(U76=2,Q76+5,IF(U76=3,Q76+10,IF(U76&gt;3,Q76+U76*3))))</f>
        <v/>
      </c>
      <c r="AB76" s="622" t="n"/>
      <c r="AF76" s="30" t="n"/>
      <c r="AJ76" s="30" t="n"/>
      <c r="AL76" s="48" t="n"/>
      <c r="AM76" s="604" t="n"/>
      <c r="AN76" s="50" t="n"/>
      <c r="AO76" s="49" t="n"/>
      <c r="AP76" s="48" t="n"/>
      <c r="AQ76" s="604" t="n"/>
      <c r="AR76" s="50" t="n"/>
      <c r="AS76" s="49" t="n"/>
      <c r="AT76" s="48" t="n"/>
      <c r="AU76" s="604" t="n"/>
    </row>
    <row r="77" ht="11.25" customHeight="1" s="26">
      <c r="L77" s="622" t="n"/>
      <c r="M77" s="702" t="n"/>
      <c r="N77" s="337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B77" s="62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</row>
    <row r="78" ht="11.25" customHeight="1" s="26">
      <c r="L78" s="622" t="n"/>
      <c r="M78" s="344" t="inlineStr">
        <is>
          <t>Year Dropped</t>
        </is>
      </c>
      <c r="N78" s="768" t="n"/>
      <c r="O78" s="363" t="n">
        <v>2025</v>
      </c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R92" s="30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481" t="n"/>
      <c r="AN93" s="30" t="n"/>
      <c r="AR93" s="30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604" t="n"/>
      <c r="AN96" s="30" t="n"/>
      <c r="AR96" s="30" t="n"/>
    </row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0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M9:M10"/>
    <mergeCell ref="U69:U7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Q42:Q43"/>
    <mergeCell ref="W66:Y66"/>
    <mergeCell ref="S42:S43"/>
    <mergeCell ref="Y39:Y40"/>
    <mergeCell ref="M15:M16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F63:H63"/>
    <mergeCell ref="C62:E62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3:G4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AA6:AA7"/>
    <mergeCell ref="Q55:Q56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Q69:Q70"/>
    <mergeCell ref="S9:S10"/>
    <mergeCell ref="K12:K13"/>
    <mergeCell ref="S69:S70"/>
    <mergeCell ref="G53:H53"/>
    <mergeCell ref="AA69:AA70"/>
    <mergeCell ref="Y6:Y7"/>
    <mergeCell ref="K14:K15"/>
    <mergeCell ref="Q66:S66"/>
    <mergeCell ref="M42:M43"/>
    <mergeCell ref="AA64:AA65"/>
    <mergeCell ref="O42:O43"/>
    <mergeCell ref="U39:U40"/>
    <mergeCell ref="W39:W40"/>
    <mergeCell ref="O6:O7"/>
    <mergeCell ref="Q62:Q63"/>
    <mergeCell ref="W24:W25"/>
    <mergeCell ref="S62:S63"/>
    <mergeCell ref="Y24:Y25"/>
    <mergeCell ref="V78:Z79"/>
    <mergeCell ref="C44:E44"/>
    <mergeCell ref="M48:M49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Q33:Q34"/>
    <mergeCell ref="M69:M70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O48:O49"/>
    <mergeCell ref="Y48:Y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J49:J51">
    <cfRule type="expression" priority="1" dxfId="1">
      <formula>ISNUMBER(#REF!)</formula>
    </cfRule>
  </conditionalFormatting>
  <conditionalFormatting sqref="J49">
    <cfRule type="expression" priority="2" dxfId="1">
      <formula>ISNUMBER(#REF!)</formula>
    </cfRule>
  </conditionalFormatting>
  <conditionalFormatting sqref="J38:J48">
    <cfRule type="expression" priority="3" dxfId="1">
      <formula>ISNUMBER($F39)</formula>
    </cfRule>
    <cfRule type="expression" priority="4" dxfId="1">
      <formula>ISNUMBER($F39)</formula>
    </cfRule>
  </conditionalFormatting>
  <conditionalFormatting sqref="W45:W46 W48:W49">
    <cfRule type="cellIs" priority="5" operator="equal" dxfId="0">
      <formula>0</formula>
    </cfRule>
  </conditionalFormatting>
  <conditionalFormatting sqref="W39:W40">
    <cfRule type="cellIs" priority="6" operator="equal" dxfId="0">
      <formula>0</formula>
    </cfRule>
  </conditionalFormatting>
  <conditionalFormatting sqref="W42:W43">
    <cfRule type="cellIs" priority="7" operator="equal" dxfId="0">
      <formula>0</formula>
    </cfRule>
  </conditionalFormatting>
  <conditionalFormatting sqref="J40 J42 J45 J50">
    <cfRule type="expression" priority="8" dxfId="1">
      <formula>ISNUMBER($F40)</formula>
    </cfRule>
  </conditionalFormatting>
  <conditionalFormatting sqref="J50 J57">
    <cfRule type="expression" priority="9" dxfId="1">
      <formula>ISNUMBER($F50)</formula>
    </cfRule>
  </conditionalFormatting>
  <conditionalFormatting sqref="J56">
    <cfRule type="expression" priority="10" dxfId="1">
      <formula>ISNUMBER($F56)</formula>
    </cfRule>
  </conditionalFormatting>
  <conditionalFormatting sqref="J52">
    <cfRule type="expression" priority="11" dxfId="1">
      <formula>ISNUMBER($F52)</formula>
    </cfRule>
  </conditionalFormatting>
  <conditionalFormatting sqref="J51">
    <cfRule type="expression" priority="12" dxfId="1">
      <formula>ISNUMBER($F51)</formula>
    </cfRule>
  </conditionalFormatting>
  <conditionalFormatting sqref="J53">
    <cfRule type="expression" priority="13" dxfId="1">
      <formula>ISNUMBER($F53)</formula>
    </cfRule>
  </conditionalFormatting>
  <conditionalFormatting sqref="J54">
    <cfRule type="expression" priority="14" dxfId="1">
      <formula>ISNUMBER($F54)</formula>
    </cfRule>
  </conditionalFormatting>
  <conditionalFormatting sqref="W36:W37">
    <cfRule type="cellIs" priority="15" operator="equal" dxfId="0">
      <formula>0</formula>
    </cfRule>
  </conditionalFormatting>
  <conditionalFormatting sqref="W6:W7">
    <cfRule type="cellIs" priority="16" operator="equal" dxfId="0">
      <formula>0</formula>
    </cfRule>
  </conditionalFormatting>
  <conditionalFormatting sqref="W12:W13">
    <cfRule type="cellIs" priority="17" operator="equal" dxfId="0">
      <formula>0</formula>
    </cfRule>
    <cfRule type="cellIs" priority="18" operator="equal" dxfId="0">
      <formula>"'0'"</formula>
    </cfRule>
  </conditionalFormatting>
  <conditionalFormatting sqref="J47 J49">
    <cfRule type="expression" priority="19" dxfId="1">
      <formula>ISNUMBER($F47)</formula>
    </cfRule>
  </conditionalFormatting>
  <conditionalFormatting sqref="W9:W10">
    <cfRule type="cellIs" priority="20" operator="equal" dxfId="0">
      <formula>0</formula>
    </cfRule>
    <cfRule type="cellIs" priority="21" operator="equal" dxfId="0">
      <formula>"'0'"</formula>
    </cfRule>
    <cfRule type="cellIs" priority="22" operator="equal" dxfId="0">
      <formula>0</formula>
    </cfRule>
  </conditionalFormatting>
  <conditionalFormatting sqref="W18:W19">
    <cfRule type="cellIs" priority="23" operator="equal" dxfId="0">
      <formula>0</formula>
    </cfRule>
  </conditionalFormatting>
  <conditionalFormatting sqref="W15:W16">
    <cfRule type="cellIs" priority="24" operator="equal" dxfId="0">
      <formula>0</formula>
    </cfRule>
  </conditionalFormatting>
  <conditionalFormatting sqref="W30:W31">
    <cfRule type="cellIs" priority="25" operator="equal" dxfId="0">
      <formula>0</formula>
    </cfRule>
  </conditionalFormatting>
  <conditionalFormatting sqref="W33:W34">
    <cfRule type="cellIs" priority="26" operator="equal" dxfId="0">
      <formula>0</formula>
    </cfRule>
  </conditionalFormatting>
  <conditionalFormatting sqref="W21:W22">
    <cfRule type="cellIs" priority="27" operator="equal" dxfId="0">
      <formula>0</formula>
    </cfRule>
  </conditionalFormatting>
  <conditionalFormatting sqref="W24:W25">
    <cfRule type="cellIs" priority="28" operator="equal" dxfId="0">
      <formula>0</formula>
    </cfRule>
  </conditionalFormatting>
  <conditionalFormatting sqref="W27:W28">
    <cfRule type="cellIs" priority="29" operator="equal" dxfId="0">
      <formula>0</formula>
    </cfRule>
  </conditionalFormatting>
  <conditionalFormatting sqref="J40:J45">
    <cfRule type="expression" priority="30" dxfId="1">
      <formula>ISNUMBER($F40)</formula>
    </cfRule>
    <cfRule type="expression" priority="32" dxfId="1">
      <formula>ISNUMBER($F40)</formula>
    </cfRule>
  </conditionalFormatting>
  <conditionalFormatting sqref="J41">
    <cfRule type="expression" priority="31" dxfId="1">
      <formula>ISNUMBER($F41)</formula>
    </cfRule>
  </conditionalFormatting>
  <conditionalFormatting sqref="J44">
    <cfRule type="expression" priority="33" dxfId="1">
      <formula>ISNUMBER($F44)</formula>
    </cfRule>
  </conditionalFormatting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9.43" customWidth="1" style="26" min="2" max="2"/>
    <col width="11.14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648" t="n"/>
      <c r="H1" s="884" t="inlineStr">
        <is>
          <t>BUDGET INFO.</t>
        </is>
      </c>
      <c r="I1" s="753" t="n"/>
      <c r="J1" s="753" t="n"/>
      <c r="K1" s="816" t="n"/>
      <c r="L1" s="650" t="n"/>
      <c r="M1" s="797">
        <f>CONCATENATE("Mu Huang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651" t="n"/>
      <c r="K2" s="619" t="n"/>
      <c r="L2" s="650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1B,2B,CI,MI,OF</t>
        </is>
      </c>
      <c r="C3" s="38" t="n"/>
      <c r="D3" s="38" t="n"/>
      <c r="E3" s="38" t="n"/>
      <c r="G3" s="652" t="n"/>
      <c r="H3" s="653">
        <f>CONCATENATE($B$1," Base Draft Budget")</f>
        <v/>
      </c>
      <c r="K3" s="654" t="n">
        <v>400</v>
      </c>
      <c r="L3" s="98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</t>
        </is>
      </c>
      <c r="C4" s="38" t="n"/>
      <c r="D4" s="38" t="n"/>
      <c r="E4" s="38" t="n"/>
      <c r="G4" s="655" t="n"/>
      <c r="K4" s="619" t="n"/>
      <c r="L4" s="98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1B,CI</t>
        </is>
      </c>
      <c r="C5" s="110" t="n"/>
      <c r="D5" s="38" t="n"/>
      <c r="E5" s="38" t="n"/>
      <c r="G5" s="702" t="n"/>
      <c r="H5" s="656" t="n"/>
      <c r="K5" s="654" t="n"/>
      <c r="L5" s="98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1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2B,MI</t>
        </is>
      </c>
      <c r="C6" s="38" t="n"/>
      <c r="D6" s="38" t="n"/>
      <c r="E6" s="38" t="n"/>
      <c r="G6" s="655" t="n"/>
      <c r="K6" s="619" t="n"/>
      <c r="L6" s="98" t="n"/>
      <c r="M6" s="802" t="inlineStr">
        <is>
          <t>1st player contract --&gt;&gt;</t>
        </is>
      </c>
      <c r="N6" s="71" t="n"/>
      <c r="O6" s="527" t="inlineStr">
        <is>
          <t>Julio Rodriguez</t>
        </is>
      </c>
      <c r="P6" s="616" t="n"/>
      <c r="Q6" s="186" t="n">
        <v>5</v>
      </c>
      <c r="R6" s="146" t="n"/>
      <c r="S6" s="188" t="n">
        <v>2023</v>
      </c>
      <c r="T6" s="79" t="n"/>
      <c r="U6" s="857" t="n">
        <v>6</v>
      </c>
      <c r="V6" s="127" t="n"/>
      <c r="W6" s="821">
        <f>Y6-$B$1</f>
        <v/>
      </c>
      <c r="X6" s="62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2B,MI</t>
        </is>
      </c>
      <c r="C7" s="38" t="n"/>
      <c r="D7" s="38" t="n"/>
      <c r="E7" s="38" t="n"/>
      <c r="G7" s="657" t="n"/>
      <c r="H7" s="658" t="n"/>
      <c r="I7" s="658" t="n"/>
      <c r="J7" s="658" t="n"/>
      <c r="K7" s="659" t="n"/>
      <c r="L7" s="98" t="n"/>
      <c r="M7" s="702" t="n"/>
      <c r="N7" s="71" t="n"/>
      <c r="P7" s="616" t="n"/>
      <c r="R7" s="146" t="n"/>
      <c r="T7" s="79" t="n"/>
      <c r="U7" s="771" t="n"/>
      <c r="V7" s="127" t="n"/>
      <c r="W7" s="823" t="n"/>
      <c r="X7" s="62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3B,CI</t>
        </is>
      </c>
      <c r="C8" s="38" t="n"/>
      <c r="D8" s="38" t="n"/>
      <c r="E8" s="38" t="n"/>
      <c r="G8" s="657" t="n"/>
      <c r="H8" s="660">
        <f>CONCATENATE("Starting ",$B$1+1," Draft Budget")</f>
        <v/>
      </c>
      <c r="K8" s="661">
        <f>K3+K5</f>
        <v/>
      </c>
      <c r="L8" s="98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538" t="n"/>
      <c r="V8" s="139" t="n"/>
      <c r="W8" s="251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3B,CI</t>
        </is>
      </c>
      <c r="C9" s="38" t="n"/>
      <c r="D9" s="38" t="n"/>
      <c r="E9" s="38" t="n"/>
      <c r="G9" s="657" t="n"/>
      <c r="K9" s="619" t="n"/>
      <c r="L9" s="98" t="n"/>
      <c r="M9" s="802" t="inlineStr">
        <is>
          <t>2nd player contract --&gt;&gt;</t>
        </is>
      </c>
      <c r="N9" s="71" t="n"/>
      <c r="O9" s="527" t="inlineStr">
        <is>
          <t>Yoshinobu Yamamoto</t>
        </is>
      </c>
      <c r="P9" s="523" t="n"/>
      <c r="Q9" s="186" t="n">
        <v>2</v>
      </c>
      <c r="R9" s="75" t="n"/>
      <c r="S9" s="188" t="n">
        <v>2024</v>
      </c>
      <c r="T9" s="77" t="n"/>
      <c r="U9" s="803" t="n">
        <v>4</v>
      </c>
      <c r="V9" s="127" t="n"/>
      <c r="W9" s="821">
        <f>Y9-$B$1</f>
        <v/>
      </c>
      <c r="X9" s="62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C</t>
        </is>
      </c>
      <c r="C10" s="38" t="n"/>
      <c r="D10" s="38" t="n"/>
      <c r="E10" s="38" t="n"/>
      <c r="G10" s="657" t="n"/>
      <c r="K10" s="619" t="n"/>
      <c r="L10" s="98" t="n"/>
      <c r="M10" s="702" t="n"/>
      <c r="N10" s="71" t="n"/>
      <c r="P10" s="523" t="n"/>
      <c r="R10" s="75" t="n"/>
      <c r="T10" s="77" t="n"/>
      <c r="U10" s="771" t="n"/>
      <c r="V10" s="127" t="n"/>
      <c r="W10" s="823" t="n"/>
      <c r="X10" s="62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C,1B,CI</t>
        </is>
      </c>
      <c r="C11" s="38" t="n"/>
      <c r="D11" s="38" t="n"/>
      <c r="E11" s="38" t="n"/>
      <c r="G11" s="657" t="n"/>
      <c r="H11" s="662" t="n"/>
      <c r="I11" s="662" t="n"/>
      <c r="J11" s="662" t="n"/>
      <c r="K11" s="663" t="n"/>
      <c r="L11" s="98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538" t="n"/>
      <c r="V11" s="139" t="n"/>
      <c r="W11" s="251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OF</t>
        </is>
      </c>
      <c r="C12" s="38" t="n"/>
      <c r="D12" s="38" t="n"/>
      <c r="E12" s="38" t="n"/>
      <c r="G12" s="657" t="n"/>
      <c r="H12" s="664" t="inlineStr">
        <is>
          <t>Regular Contracts</t>
        </is>
      </c>
      <c r="K12" s="665">
        <f>SUM(AA6:AA49)</f>
        <v/>
      </c>
      <c r="L12" s="98" t="n"/>
      <c r="M12" s="802" t="inlineStr">
        <is>
          <t>3rd player contract --&gt;&gt;</t>
        </is>
      </c>
      <c r="N12" s="71" t="n"/>
      <c r="O12" s="527" t="n"/>
      <c r="P12" s="616" t="n"/>
      <c r="Q12" s="186" t="n"/>
      <c r="R12" s="146" t="n"/>
      <c r="S12" s="188" t="n"/>
      <c r="T12" s="79" t="n"/>
      <c r="U12" s="803" t="n"/>
      <c r="V12" s="127" t="n"/>
      <c r="W12" s="821">
        <f>Y12-$B$1</f>
        <v/>
      </c>
      <c r="X12" s="62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OF</t>
        </is>
      </c>
      <c r="C13" s="38" t="n"/>
      <c r="D13" s="38" t="n"/>
      <c r="E13" s="38" t="n"/>
      <c r="G13" s="657" t="n"/>
      <c r="K13" s="619" t="n"/>
      <c r="L13" s="98" t="n"/>
      <c r="M13" s="702" t="n"/>
      <c r="N13" s="71" t="n"/>
      <c r="P13" s="616" t="n"/>
      <c r="R13" s="146" t="n"/>
      <c r="T13" s="79" t="n"/>
      <c r="U13" s="771" t="n"/>
      <c r="V13" s="127" t="n"/>
      <c r="W13" s="823" t="n"/>
      <c r="X13" s="62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110" t="n"/>
      <c r="D14" s="38" t="n"/>
      <c r="E14" s="38" t="n"/>
      <c r="G14" s="657" t="n"/>
      <c r="H14" s="666" t="inlineStr">
        <is>
          <t>Bad Contracts</t>
        </is>
      </c>
      <c r="K14" s="665">
        <f>SUM(AA57,AA64,AA71,AA78)</f>
        <v/>
      </c>
      <c r="L14" s="98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538" t="n"/>
      <c r="V14" s="139" t="n"/>
      <c r="W14" s="620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G15" s="657" t="n"/>
      <c r="K15" s="619" t="n"/>
      <c r="L15" s="98" t="n"/>
      <c r="M15" s="802" t="inlineStr">
        <is>
          <t>4th player contract --&gt;&gt;</t>
        </is>
      </c>
      <c r="N15" s="71" t="n"/>
      <c r="O15" s="527" t="n"/>
      <c r="P15" s="616" t="n"/>
      <c r="Q15" s="186" t="n"/>
      <c r="R15" s="146" t="n"/>
      <c r="S15" s="188" t="n"/>
      <c r="T15" s="79" t="n"/>
      <c r="U15" s="857" t="n"/>
      <c r="V15" s="79" t="n"/>
      <c r="W15" s="804">
        <f>Y15-$B$1</f>
        <v/>
      </c>
      <c r="X15" s="127" t="n"/>
      <c r="Y15" s="86">
        <f>S15+U15</f>
        <v/>
      </c>
      <c r="Z15" s="71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G16" s="657" t="n"/>
      <c r="H16" s="664" t="inlineStr">
        <is>
          <t>Farm Contracts</t>
        </is>
      </c>
      <c r="K16" s="665">
        <f>SUM(F38:F57)</f>
        <v/>
      </c>
      <c r="L16" s="98" t="n"/>
      <c r="M16" s="702" t="n"/>
      <c r="N16" s="71" t="n"/>
      <c r="P16" s="616" t="n"/>
      <c r="R16" s="146" t="n"/>
      <c r="T16" s="79" t="n"/>
      <c r="U16" s="771" t="n"/>
      <c r="V16" s="79" t="n"/>
      <c r="W16" s="771" t="n"/>
      <c r="X16" s="127" t="n"/>
      <c r="Z16" s="71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G17" s="657" t="n"/>
      <c r="K17" s="619" t="n"/>
      <c r="L17" s="98" t="n"/>
      <c r="M17" s="119" t="n"/>
      <c r="N17" s="71" t="n"/>
      <c r="O17" s="616" t="n"/>
      <c r="P17" s="616" t="n"/>
      <c r="Q17" s="616" t="n"/>
      <c r="R17" s="616" t="n"/>
      <c r="S17" s="616" t="n"/>
      <c r="T17" s="616" t="n"/>
      <c r="U17" s="124" t="n"/>
      <c r="V17" s="616" t="n"/>
      <c r="W17" s="124" t="n"/>
      <c r="X17" s="622" t="n"/>
      <c r="Y17" s="622" t="n"/>
      <c r="Z17" s="622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38" t="n"/>
      <c r="D18" s="38" t="n"/>
      <c r="E18" s="38" t="n"/>
      <c r="G18" s="657" t="n"/>
      <c r="H18" s="667">
        <f>CONCATENATE($B$1+1," Auction Budget acquired by trade (Offseason Only)")</f>
        <v/>
      </c>
      <c r="K18" s="665">
        <f>'Draft budget calc'!E13</f>
        <v/>
      </c>
      <c r="L18" s="98" t="n"/>
      <c r="M18" s="802" t="inlineStr">
        <is>
          <t>5th player contract --&gt;&gt;</t>
        </is>
      </c>
      <c r="N18" s="71" t="n"/>
      <c r="O18" s="527" t="n"/>
      <c r="P18" s="523" t="n"/>
      <c r="Q18" s="186" t="n"/>
      <c r="R18" s="75" t="n"/>
      <c r="S18" s="188" t="n"/>
      <c r="T18" s="77" t="n"/>
      <c r="U18" s="803" t="n"/>
      <c r="V18" s="79" t="n"/>
      <c r="W18" s="807">
        <f>Y18-$B$1</f>
        <v/>
      </c>
      <c r="X18" s="127" t="n"/>
      <c r="Y18" s="86">
        <f>S18+U18</f>
        <v/>
      </c>
      <c r="Z18" s="71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P</t>
        </is>
      </c>
      <c r="C19" s="38" t="n"/>
      <c r="D19" s="38" t="n"/>
      <c r="E19" s="38" t="n"/>
      <c r="G19" s="657" t="n"/>
      <c r="K19" s="619" t="n"/>
      <c r="L19" s="98" t="n"/>
      <c r="M19" s="702" t="n"/>
      <c r="N19" s="71" t="n"/>
      <c r="P19" s="523" t="n"/>
      <c r="R19" s="75" t="n"/>
      <c r="T19" s="77" t="n"/>
      <c r="U19" s="771" t="n"/>
      <c r="V19" s="79" t="n"/>
      <c r="W19" s="771" t="n"/>
      <c r="X19" s="127" t="n"/>
      <c r="Z19" s="71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G20" s="657" t="n"/>
      <c r="K20" s="619" t="n"/>
      <c r="L20" s="98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124" t="n"/>
      <c r="V20" s="616" t="n"/>
      <c r="W20" s="124" t="n"/>
      <c r="X20" s="622" t="n"/>
      <c r="Y20" s="141" t="n"/>
      <c r="Z20" s="622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G21" s="657" t="n"/>
      <c r="H21" s="668" t="inlineStr">
        <is>
          <t>Min. IP Penalties</t>
        </is>
      </c>
      <c r="K21" s="669" t="n"/>
      <c r="L21" s="98" t="n"/>
      <c r="M21" s="802" t="inlineStr">
        <is>
          <t>6th player contract --&gt;&gt;</t>
        </is>
      </c>
      <c r="N21" s="71" t="n"/>
      <c r="O21" s="527" t="n"/>
      <c r="P21" s="616" t="n"/>
      <c r="Q21" s="186" t="n"/>
      <c r="R21" s="146" t="n"/>
      <c r="S21" s="188" t="n"/>
      <c r="T21" s="79" t="n"/>
      <c r="U21" s="803" t="n"/>
      <c r="V21" s="79" t="n"/>
      <c r="W21" s="807">
        <f>Y21-$B$1</f>
        <v/>
      </c>
      <c r="X21" s="127" t="n"/>
      <c r="Y21" s="86">
        <f>S21+U21</f>
        <v/>
      </c>
      <c r="Z21" s="71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G22" s="657" t="n"/>
      <c r="K22" s="619" t="n"/>
      <c r="L22" s="98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127" t="n"/>
      <c r="Z22" s="71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G23" s="657" t="n"/>
      <c r="H23" s="660">
        <f>CONCATENATE($B$1+1," Draft Budget Spent")</f>
        <v/>
      </c>
      <c r="K23" s="661">
        <f>SUM(K12,K14,K16,K21,-K18)</f>
        <v/>
      </c>
      <c r="L23" s="98" t="n"/>
      <c r="M23" s="119" t="n"/>
      <c r="N23" s="71" t="n"/>
      <c r="O23" s="616" t="n"/>
      <c r="P23" s="616" t="n"/>
      <c r="Q23" s="616" t="n"/>
      <c r="R23" s="616" t="n"/>
      <c r="S23" s="616" t="n"/>
      <c r="T23" s="616" t="n"/>
      <c r="U23" s="124" t="n"/>
      <c r="V23" s="616" t="n"/>
      <c r="W23" s="124" t="n"/>
      <c r="X23" s="139" t="n"/>
      <c r="Y23" s="141" t="n"/>
      <c r="Z23" s="71" t="n"/>
      <c r="AA23" s="143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G24" s="657" t="n"/>
      <c r="K24" s="619" t="n"/>
      <c r="L24" s="98" t="n"/>
      <c r="M24" s="802" t="inlineStr">
        <is>
          <t>7th player contract --&gt;&gt;</t>
        </is>
      </c>
      <c r="N24" s="71" t="n"/>
      <c r="O24" s="527" t="n"/>
      <c r="P24" s="541" t="n"/>
      <c r="Q24" s="186" t="n"/>
      <c r="R24" s="542" t="n"/>
      <c r="S24" s="188" t="n"/>
      <c r="T24" s="543" t="n"/>
      <c r="U24" s="803" t="n"/>
      <c r="V24" s="79" t="n"/>
      <c r="W24" s="807">
        <f>Y24-$B$1</f>
        <v/>
      </c>
      <c r="X24" s="127" t="n"/>
      <c r="Y24" s="86">
        <f>S24+U24</f>
        <v/>
      </c>
      <c r="Z24" s="71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G25" s="657" t="n"/>
      <c r="K25" s="619" t="n"/>
      <c r="L25" s="98" t="n"/>
      <c r="M25" s="702" t="n"/>
      <c r="N25" s="71" t="n"/>
      <c r="P25" s="541" t="n"/>
      <c r="R25" s="542" t="n"/>
      <c r="T25" s="543" t="n"/>
      <c r="U25" s="771" t="n"/>
      <c r="V25" s="79" t="n"/>
      <c r="W25" s="771" t="n"/>
      <c r="X25" s="127" t="n"/>
      <c r="Z25" s="71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G26" s="657" t="n"/>
      <c r="H26" s="258" t="n"/>
      <c r="I26" s="258" t="n"/>
      <c r="J26" s="258" t="n"/>
      <c r="K26" s="672" t="n"/>
      <c r="L26" s="98" t="n"/>
      <c r="M26" s="172" t="n"/>
      <c r="N26" s="622" t="n"/>
      <c r="O26" s="616" t="n"/>
      <c r="P26" s="616" t="n"/>
      <c r="Q26" s="616" t="n"/>
      <c r="R26" s="616" t="n"/>
      <c r="S26" s="616" t="n"/>
      <c r="T26" s="616" t="n"/>
      <c r="U26" s="124" t="n"/>
      <c r="V26" s="616" t="n"/>
      <c r="W26" s="124" t="n"/>
      <c r="X26" s="139" t="n"/>
      <c r="Y26" s="141" t="n"/>
      <c r="Z26" s="71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G27" s="657" t="n"/>
      <c r="H27" s="673">
        <f>CONCATENATE("Remaining ",$B$1+1," Auction Budget")</f>
        <v/>
      </c>
      <c r="K27" s="674">
        <f>K8-K23</f>
        <v/>
      </c>
      <c r="L27" s="98" t="n"/>
      <c r="M27" s="802" t="inlineStr">
        <is>
          <t>8th player contract --&gt;&gt;</t>
        </is>
      </c>
      <c r="N27" s="622" t="n"/>
      <c r="O27" s="527" t="n"/>
      <c r="P27" s="523" t="n"/>
      <c r="Q27" s="186" t="n"/>
      <c r="R27" s="75" t="n"/>
      <c r="S27" s="188" t="n"/>
      <c r="T27" s="77" t="n"/>
      <c r="U27" s="803" t="n"/>
      <c r="V27" s="79" t="n"/>
      <c r="W27" s="807">
        <f>Y27-$B$1</f>
        <v/>
      </c>
      <c r="X27" s="127" t="n"/>
      <c r="Y27" s="86">
        <f>S27+U27</f>
        <v/>
      </c>
      <c r="Z27" s="71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G28" s="657" t="n"/>
      <c r="K28" s="619" t="n"/>
      <c r="L28" s="98" t="n"/>
      <c r="M28" s="702" t="n"/>
      <c r="N28" s="622" t="n"/>
      <c r="P28" s="523" t="n"/>
      <c r="R28" s="75" t="n"/>
      <c r="T28" s="77" t="n"/>
      <c r="U28" s="771" t="n"/>
      <c r="V28" s="79" t="n"/>
      <c r="W28" s="771" t="n"/>
      <c r="X28" s="127" t="n"/>
      <c r="Z28" s="71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G29" s="657" t="n"/>
      <c r="K29" s="619" t="n"/>
      <c r="L29" s="98" t="n"/>
      <c r="M29" s="172" t="n"/>
      <c r="N29" s="622" t="n"/>
      <c r="O29" s="523" t="n"/>
      <c r="P29" s="523" t="n"/>
      <c r="Q29" s="523" t="n"/>
      <c r="R29" s="523" t="n"/>
      <c r="S29" s="523" t="n"/>
      <c r="T29" s="523" t="n"/>
      <c r="U29" s="121" t="n"/>
      <c r="V29" s="616" t="n"/>
      <c r="W29" s="124" t="n"/>
      <c r="X29" s="139" t="n"/>
      <c r="Y29" s="141" t="n"/>
      <c r="Z29" s="71" t="n"/>
      <c r="AA29" s="14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G30" s="657" t="n"/>
      <c r="K30" s="619" t="n"/>
      <c r="L30" s="98" t="n"/>
      <c r="M30" s="802" t="inlineStr">
        <is>
          <t>9th player contract --&gt;&gt;</t>
        </is>
      </c>
      <c r="N30" s="71" t="n"/>
      <c r="O30" s="527" t="n"/>
      <c r="P30" s="523" t="n"/>
      <c r="Q30" s="186" t="n"/>
      <c r="R30" s="75" t="n"/>
      <c r="S30" s="188" t="n"/>
      <c r="T30" s="77" t="n"/>
      <c r="U30" s="803" t="n"/>
      <c r="V30" s="79" t="n"/>
      <c r="W30" s="807">
        <f>Y30-$B$1</f>
        <v/>
      </c>
      <c r="X30" s="127" t="n"/>
      <c r="Y30" s="86">
        <f>S30+U30</f>
        <v/>
      </c>
      <c r="Z30" s="71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G31" s="657" t="n"/>
      <c r="H31" s="885" t="inlineStr">
        <is>
          <t>Roster Key</t>
        </is>
      </c>
      <c r="K31" s="619" t="n"/>
      <c r="L31" s="98" t="n"/>
      <c r="M31" s="702" t="n"/>
      <c r="N31" s="71" t="n"/>
      <c r="P31" s="523" t="n"/>
      <c r="R31" s="75" t="n"/>
      <c r="T31" s="77" t="n"/>
      <c r="U31" s="771" t="n"/>
      <c r="V31" s="79" t="n"/>
      <c r="W31" s="771" t="n"/>
      <c r="X31" s="127" t="n"/>
      <c r="Z31" s="71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P</t>
        </is>
      </c>
      <c r="C32" s="38" t="n"/>
      <c r="D32" s="38" t="n"/>
      <c r="E32" s="38" t="n"/>
      <c r="G32" s="657" t="n"/>
      <c r="K32" s="619" t="n"/>
      <c r="L32" s="98" t="n"/>
      <c r="M32" s="172" t="n"/>
      <c r="N32" s="622" t="n"/>
      <c r="O32" s="523" t="n"/>
      <c r="P32" s="523" t="n"/>
      <c r="Q32" s="523" t="n"/>
      <c r="R32" s="523" t="n"/>
      <c r="S32" s="523" t="n"/>
      <c r="T32" s="523" t="n"/>
      <c r="U32" s="121" t="n"/>
      <c r="V32" s="616" t="n"/>
      <c r="W32" s="124" t="n"/>
      <c r="X32" s="622" t="n"/>
      <c r="Y32" s="141" t="n"/>
      <c r="Z32" s="622" t="n"/>
      <c r="AA32" s="16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P</t>
        </is>
      </c>
      <c r="C33" s="38" t="n"/>
      <c r="D33" s="38" t="n"/>
      <c r="E33" s="38" t="n"/>
      <c r="G33" s="657" t="n"/>
      <c r="H33" s="886" t="inlineStr">
        <is>
          <t>Red = Under contract</t>
        </is>
      </c>
      <c r="K33" s="619" t="n"/>
      <c r="L33" s="98" t="n"/>
      <c r="M33" s="802" t="inlineStr">
        <is>
          <t>10th player contract --&gt;&gt;</t>
        </is>
      </c>
      <c r="N33" s="622" t="n"/>
      <c r="O33" s="527" t="n"/>
      <c r="P33" s="523" t="n"/>
      <c r="Q33" s="186" t="n"/>
      <c r="R33" s="75" t="n"/>
      <c r="S33" s="188" t="n"/>
      <c r="T33" s="77" t="n"/>
      <c r="U33" s="803" t="n"/>
      <c r="V33" s="79" t="n"/>
      <c r="W33" s="807">
        <f>Y33-$B$1</f>
        <v/>
      </c>
      <c r="X33" s="127" t="n"/>
      <c r="Y33" s="86">
        <f>S33+U33</f>
        <v/>
      </c>
      <c r="Z33" s="71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P</t>
        </is>
      </c>
      <c r="C34" s="38" t="n"/>
      <c r="D34" s="38" t="n"/>
      <c r="E34" s="38" t="n"/>
      <c r="G34" s="657" t="n"/>
      <c r="H34" s="887">
        <f>CONCATENATE("Blue =  Free Agent - Not signable")</f>
        <v/>
      </c>
      <c r="K34" s="619" t="n"/>
      <c r="L34" s="98" t="n"/>
      <c r="M34" s="702" t="n"/>
      <c r="N34" s="622" t="n"/>
      <c r="P34" s="523" t="n"/>
      <c r="R34" s="75" t="n"/>
      <c r="T34" s="77" t="n"/>
      <c r="U34" s="771" t="n"/>
      <c r="V34" s="79" t="n"/>
      <c r="W34" s="771" t="n"/>
      <c r="X34" s="127" t="n"/>
      <c r="Z34" s="71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38" t="inlineStr">
        <is>
          <t>P</t>
        </is>
      </c>
      <c r="C35" s="38" t="n"/>
      <c r="D35" s="38" t="n"/>
      <c r="E35" s="38" t="n"/>
      <c r="G35" s="657" t="n"/>
      <c r="H35" s="888" t="inlineStr">
        <is>
          <t>White = Signable</t>
        </is>
      </c>
      <c r="K35" s="619" t="n"/>
      <c r="L35" s="98" t="n"/>
      <c r="M35" s="172" t="n"/>
      <c r="N35" s="622" t="n"/>
      <c r="O35" s="622" t="n"/>
      <c r="P35" s="622" t="n"/>
      <c r="Q35" s="266" t="n"/>
      <c r="R35" s="266" t="n"/>
      <c r="S35" s="622" t="n"/>
      <c r="T35" s="622" t="n"/>
      <c r="U35" s="526" t="n"/>
      <c r="V35" s="622" t="n"/>
      <c r="W35" s="208" t="n"/>
      <c r="X35" s="622" t="n"/>
      <c r="Y35" s="622" t="n"/>
      <c r="Z35" s="622" t="n"/>
      <c r="AA35" s="546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0.5" customHeight="1" s="26">
      <c r="A36" s="622" t="n"/>
      <c r="B36" s="38" t="inlineStr">
        <is>
          <t>P</t>
        </is>
      </c>
      <c r="C36" s="110" t="n"/>
      <c r="D36" s="38" t="n"/>
      <c r="E36" s="38" t="n"/>
      <c r="F36" s="367" t="n"/>
      <c r="G36" s="657" t="n"/>
      <c r="H36" s="258" t="n"/>
      <c r="I36" s="258" t="n"/>
      <c r="J36" s="860">
        <f>CONCATENATE("Keep ",M3+1,"?")</f>
        <v/>
      </c>
      <c r="K36" s="672" t="n"/>
      <c r="L36" s="98" t="n"/>
      <c r="M36" s="802" t="inlineStr">
        <is>
          <t>11th player contract --&gt;&gt;</t>
        </is>
      </c>
      <c r="N36" s="71" t="n"/>
      <c r="O36" s="527" t="n"/>
      <c r="P36" s="616" t="n"/>
      <c r="Q36" s="186" t="n"/>
      <c r="R36" s="146" t="n"/>
      <c r="S36" s="188" t="n"/>
      <c r="T36" s="79" t="n"/>
      <c r="U36" s="803" t="n"/>
      <c r="V36" s="127" t="n"/>
      <c r="W36" s="821">
        <f>Y36-$B$1</f>
        <v/>
      </c>
      <c r="X36" s="139" t="n"/>
      <c r="Y36" s="86">
        <f>S36+U36</f>
        <v/>
      </c>
      <c r="Z36" s="71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G36" s="49" t="n"/>
      <c r="AH36" s="48" t="n"/>
      <c r="AI36" s="604" t="n"/>
      <c r="AJ36" s="50" t="n"/>
      <c r="AK36" s="49" t="n"/>
      <c r="AL36" s="48" t="n"/>
      <c r="AM36" s="604" t="n"/>
      <c r="AN36" s="50" t="n"/>
      <c r="AO36" s="49" t="n"/>
      <c r="AR36" s="30" t="n"/>
      <c r="AS36" s="49" t="n"/>
      <c r="AT36" s="48" t="n"/>
      <c r="AU36" s="604" t="n"/>
    </row>
    <row r="37" ht="10.5" customHeight="1" s="26">
      <c r="A37" s="622" t="n"/>
      <c r="B37" s="276" t="n"/>
      <c r="C37" s="276" t="n"/>
      <c r="D37" s="276" t="n"/>
      <c r="E37" s="276" t="n"/>
      <c r="F37" s="560" t="n"/>
      <c r="G37" s="680" t="inlineStr">
        <is>
          <t>Drafted</t>
        </is>
      </c>
      <c r="H37" s="759" t="n"/>
      <c r="I37" s="282" t="inlineStr">
        <is>
          <t>MLB</t>
        </is>
      </c>
      <c r="J37" s="759" t="n"/>
      <c r="K37" s="681" t="n"/>
      <c r="L37" s="98" t="n"/>
      <c r="M37" s="702" t="n"/>
      <c r="N37" s="71" t="n"/>
      <c r="P37" s="616" t="n"/>
      <c r="R37" s="146" t="n"/>
      <c r="T37" s="79" t="n"/>
      <c r="U37" s="771" t="n"/>
      <c r="V37" s="127" t="n"/>
      <c r="W37" s="823" t="n"/>
      <c r="X37" s="139" t="n"/>
      <c r="Z37" s="71" t="n"/>
      <c r="AA37" s="619" t="n"/>
      <c r="AB37" s="195" t="n"/>
      <c r="AC37" s="49" t="n"/>
      <c r="AD37" s="48" t="n"/>
      <c r="AE37" s="604" t="n"/>
      <c r="AF37" s="50" t="n"/>
      <c r="AG37" s="49" t="n"/>
      <c r="AH37" s="48" t="n"/>
      <c r="AI37" s="604" t="n"/>
      <c r="AJ37" s="50" t="n"/>
      <c r="AK37" s="49" t="n"/>
      <c r="AL37" s="48" t="n"/>
      <c r="AM37" s="604" t="n"/>
      <c r="AN37" s="50" t="n"/>
      <c r="AO37" s="49" t="n"/>
      <c r="AR37" s="30" t="n"/>
      <c r="AS37" s="49" t="n"/>
      <c r="AT37" s="48" t="n"/>
      <c r="AU37" s="604" t="n"/>
    </row>
    <row r="38" ht="10.5" customHeight="1" s="26">
      <c r="A38" s="67" t="n"/>
      <c r="B38" s="222" t="inlineStr">
        <is>
          <t>Farm 1</t>
        </is>
      </c>
      <c r="C38" s="443" t="inlineStr">
        <is>
          <t>Dalton Rushing</t>
        </is>
      </c>
      <c r="F38" s="309" t="n">
        <v>3</v>
      </c>
      <c r="G38" s="405" t="n">
        <v>2025</v>
      </c>
      <c r="I38" s="445" t="inlineStr">
        <is>
          <t>Yes</t>
        </is>
      </c>
      <c r="J38" s="446" t="n"/>
      <c r="K38" s="208" t="n"/>
      <c r="L38" s="29" t="n"/>
      <c r="M38" s="172" t="n"/>
      <c r="N38" s="622" t="n"/>
      <c r="O38" s="622" t="n"/>
      <c r="P38" s="622" t="n"/>
      <c r="Q38" s="622" t="n"/>
      <c r="R38" s="622" t="n"/>
      <c r="S38" s="622" t="n"/>
      <c r="T38" s="622" t="n"/>
      <c r="U38" s="207" t="n"/>
      <c r="V38" s="622" t="n"/>
      <c r="W38" s="622" t="n"/>
      <c r="X38" s="622" t="n"/>
      <c r="Y38" s="622" t="n"/>
      <c r="Z38" s="622" t="n"/>
      <c r="AA38" s="125" t="n"/>
      <c r="AB38" s="195" t="n"/>
      <c r="AC38" s="49" t="n"/>
      <c r="AD38" s="48" t="n"/>
      <c r="AE38" s="604" t="n"/>
      <c r="AF38" s="50" t="n"/>
      <c r="AG38" s="49" t="n"/>
      <c r="AH38" s="48" t="n"/>
      <c r="AI38" s="604" t="n"/>
      <c r="AJ38" s="50" t="n"/>
      <c r="AK38" s="49" t="n"/>
      <c r="AL38" s="48" t="n"/>
      <c r="AM38" s="604" t="n"/>
      <c r="AN38" s="50" t="n"/>
      <c r="AO38" s="49" t="n"/>
      <c r="AR38" s="30" t="n"/>
      <c r="AS38" s="49" t="n"/>
      <c r="AT38" s="48" t="n"/>
      <c r="AU38" s="604" t="n"/>
    </row>
    <row r="39" ht="11.25" customHeight="1" s="26">
      <c r="A39" s="622" t="n"/>
      <c r="B39" s="329" t="inlineStr">
        <is>
          <t>Farm 2</t>
        </is>
      </c>
      <c r="C39" s="443" t="inlineStr">
        <is>
          <t>Curtis Mead</t>
        </is>
      </c>
      <c r="F39" s="309" t="n">
        <v>7</v>
      </c>
      <c r="G39" s="405" t="n">
        <v>2023</v>
      </c>
      <c r="I39" s="617" t="inlineStr">
        <is>
          <t>Yes</t>
        </is>
      </c>
      <c r="J39" s="446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139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139" t="n"/>
      <c r="Y39" s="86">
        <f>S39+U39</f>
        <v/>
      </c>
      <c r="Z39" s="71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C39" s="49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329" t="inlineStr">
        <is>
          <t>Farm 3</t>
        </is>
      </c>
      <c r="C40" s="528" t="inlineStr">
        <is>
          <t>Tyler Black</t>
        </is>
      </c>
      <c r="F40" s="692" t="n">
        <v>5</v>
      </c>
      <c r="G40" s="332" t="n">
        <v>2024</v>
      </c>
      <c r="I40" s="333" t="inlineStr">
        <is>
          <t>Yes</t>
        </is>
      </c>
      <c r="J40" s="446" t="n"/>
      <c r="K40" s="172" t="n"/>
      <c r="L40" s="29" t="n"/>
      <c r="M40" s="702" t="n"/>
      <c r="N40" s="71" t="n"/>
      <c r="P40" s="139" t="n"/>
      <c r="R40" s="67" t="n"/>
      <c r="T40" s="215" t="n"/>
      <c r="U40" s="823" t="n"/>
      <c r="V40" s="139" t="n"/>
      <c r="W40" s="823" t="n"/>
      <c r="X40" s="139" t="n"/>
      <c r="Z40" s="71" t="n"/>
      <c r="AA40" s="619" t="n"/>
      <c r="AB40" s="622" t="n"/>
      <c r="AD40" s="48" t="n"/>
      <c r="AE40" s="604" t="n"/>
      <c r="AF40" s="50" t="n"/>
      <c r="AH40" s="48" t="n"/>
      <c r="AI40" s="604" t="n"/>
      <c r="AJ40" s="30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329" t="inlineStr">
        <is>
          <t>Farm 4</t>
        </is>
      </c>
      <c r="C41" s="528" t="inlineStr">
        <is>
          <t>Jackson Jobe</t>
        </is>
      </c>
      <c r="F41" s="692" t="n">
        <v>5</v>
      </c>
      <c r="G41" s="332" t="n">
        <v>2024</v>
      </c>
      <c r="I41" s="333" t="inlineStr">
        <is>
          <t>Yes</t>
        </is>
      </c>
      <c r="J41" s="446" t="n"/>
      <c r="K41" s="172" t="n"/>
      <c r="L41" s="29" t="n"/>
      <c r="M41" s="172" t="n"/>
      <c r="N41" s="622" t="n"/>
      <c r="O41" s="685" t="n"/>
      <c r="P41" s="622" t="n"/>
      <c r="Q41" s="424" t="n"/>
      <c r="R41" s="425" t="n"/>
      <c r="S41" s="248" t="n"/>
      <c r="T41" s="215" t="n"/>
      <c r="U41" s="250" t="n"/>
      <c r="V41" s="622" t="n"/>
      <c r="W41" s="251" t="n"/>
      <c r="X41" s="622" t="n"/>
      <c r="Y41" s="141" t="n"/>
      <c r="Z41" s="622" t="n"/>
      <c r="AA41" s="153" t="n"/>
      <c r="AB41" s="622" t="n"/>
      <c r="AF41" s="50" t="n"/>
      <c r="AH41" s="48" t="n"/>
      <c r="AI41" s="604" t="n"/>
      <c r="AJ41" s="30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329" t="inlineStr">
        <is>
          <t>Farm 5</t>
        </is>
      </c>
      <c r="C42" s="530" t="inlineStr">
        <is>
          <t>Thomas White</t>
        </is>
      </c>
      <c r="F42" s="309" t="n">
        <v>2</v>
      </c>
      <c r="G42" s="405" t="n">
        <v>2025</v>
      </c>
      <c r="I42" s="445" t="inlineStr">
        <is>
          <t>No</t>
        </is>
      </c>
      <c r="J42" s="618" t="n"/>
      <c r="K42" s="172" t="n"/>
      <c r="L42" s="29" t="n"/>
      <c r="M42" s="824" t="inlineStr">
        <is>
          <t>13th player contract --&gt;&gt;</t>
        </is>
      </c>
      <c r="N42" s="622" t="n"/>
      <c r="O42" s="695" t="n"/>
      <c r="P42" s="139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139" t="n"/>
      <c r="Y42" s="86">
        <f>S42+U42</f>
        <v/>
      </c>
      <c r="Z42" s="71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D42" s="48" t="n"/>
      <c r="AE42" s="604" t="n"/>
      <c r="AF42" s="50" t="n"/>
      <c r="AH42" s="48" t="n"/>
      <c r="AI42" s="604" t="n"/>
      <c r="AJ42" s="30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329" t="inlineStr">
        <is>
          <t>Farm 6</t>
        </is>
      </c>
      <c r="C43" s="442" t="inlineStr">
        <is>
          <t>Alex Freeland</t>
        </is>
      </c>
      <c r="F43" s="309" t="n">
        <v>3</v>
      </c>
      <c r="G43" s="405" t="n">
        <v>2025</v>
      </c>
      <c r="I43" s="445" t="inlineStr">
        <is>
          <t>Yes</t>
        </is>
      </c>
      <c r="J43" s="618" t="n"/>
      <c r="K43" s="82" t="n"/>
      <c r="L43" s="29" t="n"/>
      <c r="M43" s="702" t="n"/>
      <c r="N43" s="622" t="n"/>
      <c r="P43" s="139" t="n"/>
      <c r="R43" s="67" t="n"/>
      <c r="T43" s="215" t="n"/>
      <c r="U43" s="823" t="n"/>
      <c r="V43" s="139" t="n"/>
      <c r="W43" s="823" t="n"/>
      <c r="X43" s="139" t="n"/>
      <c r="Z43" s="71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443" t="inlineStr">
        <is>
          <t>Dustin Harris</t>
        </is>
      </c>
      <c r="F44" s="309" t="n">
        <v>7</v>
      </c>
      <c r="G44" s="405" t="n">
        <v>2022</v>
      </c>
      <c r="I44" s="617" t="inlineStr">
        <is>
          <t>Yes</t>
        </is>
      </c>
      <c r="J44" s="682" t="n"/>
      <c r="K44" s="8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6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P44" s="48" t="n"/>
      <c r="AQ44" s="604" t="n"/>
      <c r="AR44" s="50" t="n"/>
      <c r="AS44" s="49" t="n"/>
      <c r="AT44" s="48" t="n"/>
      <c r="AU44" s="604" t="n"/>
    </row>
    <row r="45" ht="11.25" customHeight="1" s="26">
      <c r="A45" s="622" t="n"/>
      <c r="B45" s="231" t="inlineStr">
        <is>
          <t>Farm 8</t>
        </is>
      </c>
      <c r="C45" s="443" t="inlineStr">
        <is>
          <t xml:space="preserve">Max Clark </t>
        </is>
      </c>
      <c r="F45" s="367" t="n">
        <v>3</v>
      </c>
      <c r="G45" s="385" t="n">
        <v>2024</v>
      </c>
      <c r="I45" s="553" t="inlineStr">
        <is>
          <t>No</t>
        </is>
      </c>
      <c r="J45" s="682" t="n"/>
      <c r="K45" s="82" t="n"/>
      <c r="L45" s="29" t="n"/>
      <c r="M45" s="824" t="inlineStr">
        <is>
          <t>14th player contract --&gt;&gt;</t>
        </is>
      </c>
      <c r="N45" s="71" t="n"/>
      <c r="O45" s="695" t="n"/>
      <c r="P45" s="139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139" t="n"/>
      <c r="Y45" s="86">
        <f>S45+U45</f>
        <v/>
      </c>
      <c r="Z45" s="71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S45" s="49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443" t="n"/>
      <c r="F46" s="367" t="n"/>
      <c r="G46" s="405" t="n"/>
      <c r="I46" s="445" t="n"/>
      <c r="J46" s="446" t="n"/>
      <c r="K46" s="82" t="n"/>
      <c r="L46" s="29" t="n"/>
      <c r="M46" s="702" t="n"/>
      <c r="N46" s="71" t="n"/>
      <c r="P46" s="139" t="n"/>
      <c r="R46" s="67" t="n"/>
      <c r="T46" s="215" t="n"/>
      <c r="U46" s="823" t="n"/>
      <c r="V46" s="139" t="n"/>
      <c r="W46" s="823" t="n"/>
      <c r="X46" s="139" t="n"/>
      <c r="Z46" s="71" t="n"/>
      <c r="AA46" s="619" t="n"/>
      <c r="AB46" s="622" t="n"/>
      <c r="AC46" s="49" t="n"/>
      <c r="AD46" s="48" t="n"/>
      <c r="AE46" s="604" t="n"/>
      <c r="AF46" s="50" t="n"/>
      <c r="AG46" s="49" t="n"/>
      <c r="AH46" s="48" t="n"/>
      <c r="AI46" s="604" t="n"/>
      <c r="AJ46" s="50" t="n"/>
      <c r="AK46" s="49" t="n"/>
      <c r="AL46" s="48" t="n"/>
      <c r="AM46" s="604" t="n"/>
      <c r="AN46" s="50" t="n"/>
      <c r="AO46" s="49" t="n"/>
      <c r="AP46" s="48" t="n"/>
      <c r="AQ46" s="604" t="n"/>
      <c r="AR46" s="50" t="n"/>
      <c r="AS46" s="49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684" t="n"/>
      <c r="F47" s="367" t="n"/>
      <c r="G47" s="405" t="n"/>
      <c r="I47" s="445" t="n"/>
      <c r="J47" s="682" t="n"/>
      <c r="K47" s="8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C47" s="49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50" t="n"/>
      <c r="AO47" s="49" t="n"/>
      <c r="AR47" s="5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443" t="n"/>
      <c r="F48" s="367" t="n"/>
      <c r="G48" s="405" t="n"/>
      <c r="I48" s="617" t="n"/>
      <c r="J48" s="682" t="n"/>
      <c r="K48" s="82" t="n"/>
      <c r="L48" s="29" t="n"/>
      <c r="M48" s="824" t="inlineStr">
        <is>
          <t>15th player contract --&gt;&gt;</t>
        </is>
      </c>
      <c r="N48" s="622" t="n"/>
      <c r="O48" s="695" t="n"/>
      <c r="P48" s="139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139" t="n"/>
      <c r="Y48" s="86">
        <f>S48+U48</f>
        <v/>
      </c>
      <c r="Z48" s="71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C48" s="49" t="n"/>
      <c r="AD48" s="48" t="n"/>
      <c r="AE48" s="604" t="n"/>
      <c r="AF48" s="50" t="n"/>
      <c r="AG48" s="49" t="n"/>
      <c r="AH48" s="48" t="n"/>
      <c r="AI48" s="604" t="n"/>
      <c r="AJ48" s="50" t="n"/>
      <c r="AK48" s="49" t="n"/>
      <c r="AL48" s="48" t="n"/>
      <c r="AM48" s="604" t="n"/>
      <c r="AN48" s="50" t="n"/>
      <c r="AO48" s="49" t="n"/>
      <c r="AP48" s="48" t="n"/>
      <c r="AQ48" s="604" t="n"/>
      <c r="AR48" s="50" t="n"/>
      <c r="AT48" s="48" t="n"/>
      <c r="AU48" s="604" t="n"/>
    </row>
    <row r="49" ht="11.25" customHeight="1" s="26">
      <c r="A49" s="622" t="n"/>
      <c r="B49" s="231" t="inlineStr">
        <is>
          <t>Farm 12</t>
        </is>
      </c>
      <c r="C49" s="443" t="n"/>
      <c r="F49" s="367" t="n"/>
      <c r="G49" s="405" t="n"/>
      <c r="I49" s="617" t="n"/>
      <c r="J49" s="682" t="n"/>
      <c r="K49" s="415" t="n"/>
      <c r="L49" s="29" t="n"/>
      <c r="M49" s="702" t="n"/>
      <c r="N49" s="622" t="n"/>
      <c r="P49" s="139" t="n"/>
      <c r="R49" s="67" t="n"/>
      <c r="T49" s="215" t="n"/>
      <c r="U49" s="823" t="n"/>
      <c r="V49" s="139" t="n"/>
      <c r="W49" s="823" t="n"/>
      <c r="X49" s="139" t="n"/>
      <c r="Z49" s="71" t="n"/>
      <c r="AA49" s="619" t="n"/>
      <c r="AB49" s="622" t="n"/>
      <c r="AD49" s="48" t="n"/>
      <c r="AE49" s="604" t="n"/>
      <c r="AF49" s="50" t="n"/>
      <c r="AG49" s="49" t="n"/>
      <c r="AJ49" s="50" t="n"/>
      <c r="AK49" s="49" t="n"/>
      <c r="AL49" s="48" t="n"/>
      <c r="AM49" s="604" t="n"/>
      <c r="AN49" s="30" t="n"/>
      <c r="AP49" s="48" t="n"/>
      <c r="AQ49" s="604" t="n"/>
      <c r="AR49" s="30" t="n"/>
      <c r="AT49" s="48" t="n"/>
      <c r="AU49" s="604" t="n"/>
    </row>
    <row r="50" ht="11.25" customHeight="1" s="26">
      <c r="A50" s="622" t="n"/>
      <c r="B50" s="231" t="inlineStr">
        <is>
          <t>Farm 13</t>
        </is>
      </c>
      <c r="C50" s="443" t="n"/>
      <c r="F50" s="367" t="n"/>
      <c r="G50" s="405" t="n"/>
      <c r="I50" s="445" t="n"/>
      <c r="J50" s="446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D50" s="48" t="n"/>
      <c r="AE50" s="604" t="n"/>
      <c r="AF50" s="50" t="n"/>
      <c r="AG50" s="49" t="n"/>
      <c r="AH50" s="48" t="n"/>
      <c r="AI50" s="604" t="n"/>
      <c r="AJ50" s="50" t="n"/>
      <c r="AK50" s="49" t="n"/>
      <c r="AL50" s="48" t="n"/>
      <c r="AM50" s="604" t="n"/>
      <c r="AN50" s="30" t="n"/>
      <c r="AP50" s="48" t="n"/>
      <c r="AQ50" s="604" t="n"/>
      <c r="AR50" s="30" t="n"/>
      <c r="AT50" s="48" t="n"/>
      <c r="AU50" s="604" t="n"/>
    </row>
    <row r="51" ht="11.25" customHeight="1" s="26">
      <c r="A51" s="622" t="n"/>
      <c r="B51" s="231" t="inlineStr">
        <is>
          <t>Farm 14</t>
        </is>
      </c>
      <c r="C51" s="684" t="n"/>
      <c r="F51" s="367" t="n"/>
      <c r="G51" s="405" t="n"/>
      <c r="I51" s="445" t="n"/>
      <c r="J51" s="446" t="n"/>
      <c r="K51" s="293" t="n"/>
      <c r="L51" s="29" t="n"/>
      <c r="M51" s="300" t="n"/>
      <c r="N51" s="71" t="n"/>
      <c r="O51" s="685" t="n"/>
      <c r="P51" s="139" t="n"/>
      <c r="Q51" s="825" t="n"/>
      <c r="R51" s="67" t="n"/>
      <c r="S51" s="826" t="n"/>
      <c r="T51" s="215" t="n"/>
      <c r="U51" s="827" t="n"/>
      <c r="V51" s="139" t="n"/>
      <c r="W51" s="827" t="n"/>
      <c r="X51" s="139" t="n"/>
      <c r="Y51" s="828" t="n"/>
      <c r="Z51" s="71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443" t="n"/>
      <c r="F52" s="367" t="n"/>
      <c r="G52" s="405" t="n"/>
      <c r="I52" s="445" t="n"/>
      <c r="J52" s="446" t="n"/>
      <c r="K52" s="622" t="n"/>
      <c r="L52" s="29" t="n"/>
      <c r="M52" s="829" t="inlineStr">
        <is>
          <t>Buyouts</t>
        </is>
      </c>
      <c r="N52" s="71" t="n"/>
      <c r="P52" s="139" t="n"/>
      <c r="R52" s="67" t="n"/>
      <c r="T52" s="215" t="n"/>
      <c r="V52" s="139" t="n"/>
      <c r="X52" s="139" t="n"/>
      <c r="Z52" s="71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139" t="n"/>
      <c r="R53" s="67" t="n"/>
      <c r="T53" s="215" t="n"/>
      <c r="V53" s="139" t="n"/>
      <c r="X53" s="139" t="n"/>
      <c r="Z53" s="71" t="n"/>
      <c r="AB53" s="622" t="n"/>
      <c r="AD53" s="48" t="n"/>
      <c r="AE53" s="604" t="n"/>
      <c r="AF53" s="30" t="n"/>
      <c r="AJ53" s="30" t="n"/>
      <c r="AL53" s="48" t="n"/>
      <c r="AM53" s="604" t="n"/>
      <c r="AN53" s="30" t="n"/>
      <c r="AP53" s="48" t="n"/>
      <c r="AQ53" s="604" t="n"/>
      <c r="AR53" s="30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8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50" t="n"/>
      <c r="AG54" s="49" t="n"/>
      <c r="AJ54" s="30" t="n"/>
      <c r="AL54" s="48" t="n"/>
      <c r="AM54" s="604" t="n"/>
      <c r="AN54" s="30" t="n"/>
      <c r="AP54" s="48" t="n"/>
      <c r="AQ54" s="604" t="n"/>
      <c r="AR54" s="30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695" t="inlineStr">
        <is>
          <t>Evan Carter</t>
        </is>
      </c>
      <c r="P55" s="622" t="n"/>
      <c r="Q55" s="471" t="n">
        <v>0</v>
      </c>
      <c r="R55" s="67" t="n"/>
      <c r="S55" s="458" t="n">
        <v>2023</v>
      </c>
      <c r="T55" s="215" t="n"/>
      <c r="U55" s="820" t="n">
        <v>4</v>
      </c>
      <c r="V55" s="139" t="n"/>
      <c r="W55" s="835">
        <f>Y55-$B$1</f>
        <v/>
      </c>
      <c r="X55" s="139" t="n"/>
      <c r="Y55" s="86">
        <f>S55+U55</f>
        <v/>
      </c>
      <c r="Z55" s="71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D55" s="48" t="n"/>
      <c r="AE55" s="604" t="n"/>
      <c r="AF55" s="30" t="n"/>
      <c r="AJ55" s="30" t="n"/>
      <c r="AL55" s="48" t="n"/>
      <c r="AM55" s="604" t="n"/>
      <c r="AN55" s="30" t="n"/>
      <c r="AP55" s="48" t="n"/>
      <c r="AQ55" s="604" t="n"/>
      <c r="AR55" s="30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53" t="n"/>
      <c r="I56" s="445" t="n"/>
      <c r="J56" s="454" t="n"/>
      <c r="K56" s="293" t="n"/>
      <c r="L56" s="29" t="n"/>
      <c r="M56" s="702" t="n"/>
      <c r="N56" s="337" t="n"/>
      <c r="P56" s="622" t="n"/>
      <c r="R56" s="67" t="n"/>
      <c r="T56" s="215" t="n"/>
      <c r="U56" s="823" t="n"/>
      <c r="V56" s="139" t="n"/>
      <c r="W56" s="779" t="n"/>
      <c r="X56" s="139" t="n"/>
      <c r="Z56" s="71" t="n"/>
      <c r="AA56" s="619" t="n"/>
      <c r="AB56" s="622" t="n"/>
      <c r="AC56" s="49" t="n"/>
      <c r="AD56" s="48" t="n"/>
      <c r="AE56" s="604" t="n"/>
      <c r="AF56" s="312" t="n"/>
      <c r="AG56" s="48" t="n"/>
      <c r="AJ56" s="312" t="n"/>
      <c r="AK56" s="48" t="n"/>
      <c r="AL56" s="48" t="n"/>
      <c r="AM56" s="604" t="n"/>
      <c r="AN56" s="312" t="n"/>
      <c r="AO56" s="48" t="n"/>
      <c r="AP56" s="48" t="n"/>
      <c r="AQ56" s="604" t="n"/>
      <c r="AR56" s="312" t="n"/>
      <c r="AS56" s="48" t="n"/>
      <c r="AT56" s="48" t="n"/>
      <c r="AU56" s="48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2025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312" t="n"/>
      <c r="AG57" s="48" t="n"/>
      <c r="AJ57" s="312" t="n"/>
      <c r="AK57" s="48" t="n"/>
      <c r="AL57" s="48" t="n"/>
      <c r="AM57" s="604" t="n"/>
      <c r="AN57" s="312" t="n"/>
      <c r="AO57" s="48" t="n"/>
      <c r="AP57" s="48" t="n"/>
      <c r="AQ57" s="604" t="n"/>
      <c r="AR57" s="312" t="n"/>
      <c r="AS57" s="48" t="n"/>
      <c r="AT57" s="48" t="n"/>
      <c r="AU57" s="48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336" t="n"/>
      <c r="AG58" s="48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336" t="n"/>
      <c r="AG59" s="48" t="n"/>
      <c r="AJ59" s="336" t="n"/>
      <c r="AK59" s="48" t="n"/>
      <c r="AL59" s="48" t="n"/>
      <c r="AM59" s="604" t="n"/>
      <c r="AN59" s="336" t="n"/>
      <c r="AO59" s="48" t="n"/>
      <c r="AP59" s="48" t="n"/>
      <c r="AQ59" s="604" t="n"/>
      <c r="AR59" s="336" t="n"/>
      <c r="AS59" s="48" t="n"/>
      <c r="AT59" s="48" t="n"/>
      <c r="AU59" s="312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J60" s="336" t="n"/>
      <c r="AK60" s="48" t="n"/>
      <c r="AL60" s="48" t="n"/>
      <c r="AM60" s="604" t="n"/>
      <c r="AN60" s="336" t="n"/>
      <c r="AO60" s="48" t="n"/>
      <c r="AP60" s="48" t="n"/>
      <c r="AQ60" s="604" t="n"/>
      <c r="AR60" s="336" t="n"/>
      <c r="AS60" s="48" t="n"/>
      <c r="AT60" s="48" t="n"/>
      <c r="AU60" s="312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336" t="n"/>
      <c r="AK61" s="48" t="n"/>
      <c r="AL61" s="48" t="n"/>
      <c r="AM61" s="604" t="n"/>
      <c r="AN61" s="336" t="n"/>
      <c r="AO61" s="48" t="n"/>
      <c r="AP61" s="48" t="n"/>
      <c r="AQ61" s="604" t="n"/>
      <c r="AR61" s="336" t="n"/>
      <c r="AS61" s="48" t="n"/>
      <c r="AT61" s="48" t="n"/>
      <c r="AU61" s="312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695" t="inlineStr">
        <is>
          <t>Christian Encarnacion-Strand</t>
        </is>
      </c>
      <c r="P62" s="622" t="n"/>
      <c r="Q62" s="471" t="n">
        <v>1</v>
      </c>
      <c r="R62" s="67" t="n"/>
      <c r="S62" s="458" t="n">
        <v>2023</v>
      </c>
      <c r="T62" s="215" t="n"/>
      <c r="U62" s="820" t="n">
        <v>5</v>
      </c>
      <c r="V62" s="323" t="n"/>
      <c r="W62" s="835">
        <f>Y62-$B$1</f>
        <v/>
      </c>
      <c r="X62" s="323" t="n"/>
      <c r="Y62" s="836">
        <f>S62+U62</f>
        <v/>
      </c>
      <c r="Z62" s="335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P63" s="622" t="n"/>
      <c r="R63" s="67" t="n"/>
      <c r="T63" s="215" t="n"/>
      <c r="U63" s="823" t="n"/>
      <c r="V63" s="339" t="n"/>
      <c r="W63" s="779" t="n"/>
      <c r="X63" s="339" t="n"/>
      <c r="Y63" s="779" t="n"/>
      <c r="Z63" s="342" t="n"/>
      <c r="AA63" s="619" t="n"/>
      <c r="AB63" s="622" t="n"/>
      <c r="AC63" s="49" t="n"/>
      <c r="AD63" s="48" t="n"/>
      <c r="AE63" s="604" t="n"/>
      <c r="AF63" s="50" t="n"/>
      <c r="AG63" s="49" t="n"/>
      <c r="AH63" s="48" t="n"/>
      <c r="AI63" s="604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>
        <v>2025</v>
      </c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C67" s="49" t="n"/>
      <c r="AD67" s="48" t="n"/>
      <c r="AE67" s="604" t="n"/>
      <c r="AF67" s="50" t="n"/>
      <c r="AG67" s="49" t="n"/>
      <c r="AH67" s="48" t="n"/>
      <c r="AI67" s="604" t="n"/>
      <c r="AJ67" s="50" t="n"/>
      <c r="AK67" s="49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C68" s="49" t="n"/>
      <c r="AD68" s="48" t="n"/>
      <c r="AE68" s="604" t="n"/>
      <c r="AF68" s="50" t="n"/>
      <c r="AG68" s="49" t="n"/>
      <c r="AH68" s="48" t="n"/>
      <c r="AI68" s="604" t="n"/>
      <c r="AJ68" s="50" t="n"/>
      <c r="AK68" s="49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695" t="n"/>
      <c r="P69" s="139" t="n"/>
      <c r="Q69" s="471" t="n"/>
      <c r="R69" s="67" t="n"/>
      <c r="S69" s="458" t="n"/>
      <c r="T69" s="215" t="n"/>
      <c r="U69" s="820" t="n"/>
      <c r="V69" s="139" t="n"/>
      <c r="W69" s="835">
        <f>Y69-$B$1</f>
        <v/>
      </c>
      <c r="X69" s="139" t="n"/>
      <c r="Y69" s="8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C69" s="49" t="n"/>
      <c r="AD69" s="48" t="n"/>
      <c r="AE69" s="604" t="n"/>
      <c r="AF69" s="50" t="n"/>
      <c r="AG69" s="49" t="n"/>
      <c r="AH69" s="48" t="n"/>
      <c r="AI69" s="604" t="n"/>
      <c r="AJ69" s="50" t="n"/>
      <c r="AK69" s="49" t="n"/>
      <c r="AL69" s="48" t="n"/>
      <c r="AM69" s="604" t="n"/>
      <c r="AN69" s="50" t="n"/>
      <c r="AO69" s="49" t="n"/>
      <c r="AP69" s="48" t="n"/>
      <c r="AQ69" s="604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P70" s="139" t="n"/>
      <c r="R70" s="67" t="n"/>
      <c r="T70" s="215" t="n"/>
      <c r="U70" s="823" t="n"/>
      <c r="V70" s="139" t="n"/>
      <c r="W70" s="779" t="n"/>
      <c r="X70" s="13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/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50" t="n"/>
      <c r="AO71" s="49" t="n"/>
      <c r="AP71" s="48" t="n"/>
      <c r="AQ71" s="604" t="n"/>
      <c r="AR71" s="50" t="n"/>
      <c r="AS71" s="49" t="n"/>
      <c r="AT71" s="48" t="n"/>
      <c r="AU71" s="604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604" t="n"/>
      <c r="AN72" s="50" t="n"/>
      <c r="AO72" s="49" t="n"/>
      <c r="AR72" s="50" t="n"/>
      <c r="AS72" s="49" t="n"/>
      <c r="AT72" s="48" t="n"/>
      <c r="AU72" s="604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P73" s="48" t="n"/>
      <c r="AQ73" s="604" t="n"/>
      <c r="AR73" s="50" t="n"/>
      <c r="AS73" s="49" t="n"/>
      <c r="AT73" s="48" t="n"/>
      <c r="AU73" s="604" t="n"/>
    </row>
    <row r="74" ht="11.25" customHeight="1" s="26"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30" t="n"/>
      <c r="AR74" s="30" t="n"/>
    </row>
    <row r="75" ht="11.25" customHeight="1" s="26">
      <c r="L75" s="622" t="n"/>
      <c r="M75" s="622" t="n"/>
      <c r="N75" s="622" t="n"/>
      <c r="O75" s="622" t="n"/>
      <c r="P75" s="622" t="n"/>
      <c r="Q75" s="622" t="n"/>
      <c r="R75" s="622" t="n"/>
      <c r="S75" s="622" t="n"/>
      <c r="T75" s="622" t="n"/>
      <c r="U75" s="622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481" t="n"/>
      <c r="AN75" s="30" t="n"/>
      <c r="AR75" s="30" t="n"/>
    </row>
    <row r="76" ht="11.25" customHeight="1" s="26">
      <c r="L76" s="622" t="n"/>
      <c r="M76" s="853" t="inlineStr">
        <is>
          <t>4th dropped contract</t>
        </is>
      </c>
      <c r="N76" s="321" t="n"/>
      <c r="O76" s="831" t="n"/>
      <c r="P76" s="323" t="n"/>
      <c r="Q76" s="832" t="n"/>
      <c r="R76" s="325" t="n"/>
      <c r="S76" s="833" t="n"/>
      <c r="T76" s="327" t="n"/>
      <c r="U76" s="834" t="n"/>
      <c r="V76" s="323" t="n"/>
      <c r="W76" s="835">
        <f>Y76-$B$1</f>
        <v/>
      </c>
      <c r="X76" s="323" t="n"/>
      <c r="Y76" s="836">
        <f>S76+U76</f>
        <v/>
      </c>
      <c r="Z76" s="335" t="n"/>
      <c r="AA76" s="492">
        <f>IF(U76=1,Q76,IF(U76=2,Q76+5,IF(U76=3,Q76+10,IF(U76&gt;3,Q76+U76*3))))</f>
        <v/>
      </c>
      <c r="AB76" s="622" t="n"/>
      <c r="AF76" s="30" t="n"/>
      <c r="AJ76" s="30" t="n"/>
      <c r="AL76" s="48" t="n"/>
      <c r="AM76" s="604" t="n"/>
      <c r="AN76" s="50" t="n"/>
      <c r="AO76" s="49" t="n"/>
      <c r="AR76" s="30" t="n"/>
    </row>
    <row r="77" ht="11.25" customHeight="1" s="26">
      <c r="L77" s="622" t="n"/>
      <c r="M77" s="702" t="n"/>
      <c r="N77" s="337" t="n"/>
      <c r="O77" s="779" t="n"/>
      <c r="P77" s="339" t="n"/>
      <c r="Q77" s="779" t="n"/>
      <c r="R77" s="340" t="n"/>
      <c r="S77" s="779" t="n"/>
      <c r="T77" s="341" t="n"/>
      <c r="U77" s="779" t="n"/>
      <c r="V77" s="339" t="n"/>
      <c r="W77" s="779" t="n"/>
      <c r="X77" s="339" t="n"/>
      <c r="Y77" s="779" t="n"/>
      <c r="Z77" s="342" t="n"/>
      <c r="AB77" s="622" t="n"/>
      <c r="AF77" s="30" t="n"/>
      <c r="AJ77" s="30" t="n"/>
      <c r="AL77" s="48" t="n"/>
      <c r="AM77" s="604" t="n"/>
      <c r="AN77" s="50" t="n"/>
      <c r="AO77" s="49" t="n"/>
      <c r="AP77" s="48" t="n"/>
      <c r="AQ77" s="604" t="n"/>
      <c r="AR77" s="30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50" t="n"/>
      <c r="AO78" s="49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50" t="n"/>
      <c r="AO79" s="49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P91" s="48" t="n"/>
      <c r="AQ91" s="604" t="n"/>
      <c r="AR91" s="50" t="n"/>
      <c r="AS91" s="49" t="n"/>
      <c r="AT91" s="48" t="n"/>
      <c r="AU91" s="604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P92" s="48" t="n"/>
      <c r="AQ92" s="604" t="n"/>
      <c r="AR92" s="50" t="n"/>
      <c r="AS92" s="49" t="n"/>
      <c r="AT92" s="48" t="n"/>
      <c r="AU92" s="604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604" t="n"/>
      <c r="AN93" s="30" t="n"/>
      <c r="AP93" s="48" t="n"/>
      <c r="AQ93" s="604" t="n"/>
      <c r="AR93" s="50" t="n"/>
      <c r="AS93" s="49" t="n"/>
      <c r="AT93" s="48" t="n"/>
      <c r="AU93" s="604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481" t="n"/>
      <c r="AN96" s="30" t="n"/>
      <c r="AR96" s="30" t="n"/>
    </row>
    <row r="97" ht="11.25" customHeight="1" s="26">
      <c r="P97" s="30" t="n"/>
      <c r="U97" s="30" t="n"/>
      <c r="V97" s="30" t="n"/>
      <c r="W97" s="30" t="n"/>
      <c r="X97" s="30" t="n"/>
      <c r="AF97" s="30" t="n"/>
      <c r="AJ97" s="30" t="n"/>
      <c r="AL97" s="48" t="n"/>
      <c r="AM97" s="604" t="n"/>
      <c r="AN97" s="30" t="n"/>
      <c r="AR97" s="30" t="n"/>
    </row>
    <row r="98" ht="11.25" customHeight="1" s="26">
      <c r="P98" s="30" t="n"/>
      <c r="U98" s="30" t="n"/>
      <c r="V98" s="30" t="n"/>
      <c r="W98" s="30" t="n"/>
      <c r="X98" s="30" t="n"/>
      <c r="AF98" s="30" t="n"/>
      <c r="AJ98" s="30" t="n"/>
      <c r="AL98" s="48" t="n"/>
      <c r="AM98" s="604" t="n"/>
      <c r="AN98" s="30" t="n"/>
      <c r="AR98" s="30" t="n"/>
    </row>
    <row r="99" ht="11.25" customHeight="1" s="26">
      <c r="P99" s="30" t="n"/>
      <c r="U99" s="30" t="n"/>
      <c r="V99" s="30" t="n"/>
      <c r="W99" s="30" t="n"/>
      <c r="X99" s="30" t="n"/>
      <c r="AF99" s="30" t="n"/>
      <c r="AJ99" s="30" t="n"/>
      <c r="AL99" s="48" t="n"/>
      <c r="AM99" s="604" t="n"/>
      <c r="AN99" s="30" t="n"/>
      <c r="AR99" s="30" t="n"/>
    </row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0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W42:W43"/>
    <mergeCell ref="Y33:Y34"/>
    <mergeCell ref="M9:M10"/>
    <mergeCell ref="U69:U7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O39:O40"/>
    <mergeCell ref="S3:S4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Q42:Q43"/>
    <mergeCell ref="W66:Y66"/>
    <mergeCell ref="S42:S43"/>
    <mergeCell ref="Y39:Y40"/>
    <mergeCell ref="M15:M16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57:H57"/>
    <mergeCell ref="O76:O77"/>
    <mergeCell ref="I63:K63"/>
    <mergeCell ref="Q27:Q28"/>
    <mergeCell ref="S33:S34"/>
    <mergeCell ref="G58:H58"/>
    <mergeCell ref="U33:U34"/>
    <mergeCell ref="U78:U79"/>
    <mergeCell ref="Y42:Y43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M52:M53"/>
    <mergeCell ref="Y3:Y4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S9:S10"/>
    <mergeCell ref="K12:K13"/>
    <mergeCell ref="Q69:Q70"/>
    <mergeCell ref="G53:H53"/>
    <mergeCell ref="S69:S70"/>
    <mergeCell ref="Y6:Y7"/>
    <mergeCell ref="K14:K15"/>
    <mergeCell ref="Q66:S66"/>
    <mergeCell ref="M42:M43"/>
    <mergeCell ref="AA64:AA65"/>
    <mergeCell ref="O42:O43"/>
    <mergeCell ref="U39:U40"/>
    <mergeCell ref="W39:W40"/>
    <mergeCell ref="O6:O7"/>
    <mergeCell ref="Q62:Q63"/>
    <mergeCell ref="W24:W25"/>
    <mergeCell ref="S62:S63"/>
    <mergeCell ref="Y24:Y25"/>
    <mergeCell ref="V78:Z79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Q33:Q34"/>
    <mergeCell ref="M69:M70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G4:G5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J42:J43">
    <cfRule type="expression" priority="1" dxfId="1">
      <formula>ISNUMBER(#REF!)</formula>
    </cfRule>
  </conditionalFormatting>
  <conditionalFormatting sqref="J42">
    <cfRule type="expression" priority="2" dxfId="1">
      <formula>ISNUMBER(#REF!)</formula>
    </cfRule>
    <cfRule type="expression" priority="36" dxfId="1">
      <formula>ISNUMBER($F42)</formula>
    </cfRule>
  </conditionalFormatting>
  <conditionalFormatting sqref="W39:W40 W42:W43 W45:W46 W48:W49">
    <cfRule type="cellIs" priority="3" operator="equal" dxfId="0">
      <formula>0</formula>
    </cfRule>
  </conditionalFormatting>
  <conditionalFormatting sqref="J39">
    <cfRule type="expression" priority="4" dxfId="1">
      <formula>ISNUMBER($F39)</formula>
    </cfRule>
  </conditionalFormatting>
  <conditionalFormatting sqref="J57">
    <cfRule type="expression" priority="5" dxfId="1">
      <formula>ISNUMBER($F57)</formula>
    </cfRule>
  </conditionalFormatting>
  <conditionalFormatting sqref="J53">
    <cfRule type="expression" priority="6" dxfId="1">
      <formula>ISNUMBER($F53)</formula>
    </cfRule>
  </conditionalFormatting>
  <conditionalFormatting sqref="J52">
    <cfRule type="expression" priority="7" dxfId="1">
      <formula>ISNUMBER($F52)</formula>
    </cfRule>
  </conditionalFormatting>
  <conditionalFormatting sqref="J54">
    <cfRule type="expression" priority="8" dxfId="1">
      <formula>ISNUMBER($F54)</formula>
    </cfRule>
  </conditionalFormatting>
  <conditionalFormatting sqref="W70">
    <cfRule type="cellIs" priority="9" operator="equal" dxfId="0">
      <formula>0</formula>
    </cfRule>
  </conditionalFormatting>
  <conditionalFormatting sqref="W56">
    <cfRule type="cellIs" priority="10" operator="equal" dxfId="0">
      <formula>0</formula>
    </cfRule>
  </conditionalFormatting>
  <conditionalFormatting sqref="J38:J41">
    <cfRule type="expression" priority="11" dxfId="1">
      <formula>ISNUMBER($F38)</formula>
    </cfRule>
  </conditionalFormatting>
  <conditionalFormatting sqref="W36:W37">
    <cfRule type="cellIs" priority="12" operator="equal" dxfId="0">
      <formula>0</formula>
    </cfRule>
  </conditionalFormatting>
  <conditionalFormatting sqref="W12:W13">
    <cfRule type="cellIs" priority="13" operator="equal" dxfId="0">
      <formula>0</formula>
    </cfRule>
  </conditionalFormatting>
  <conditionalFormatting sqref="W9:W10">
    <cfRule type="cellIs" priority="14" operator="equal" dxfId="0">
      <formula>0</formula>
    </cfRule>
  </conditionalFormatting>
  <conditionalFormatting sqref="J50">
    <cfRule type="expression" priority="15" dxfId="1">
      <formula>ISNUMBER($F50)</formula>
    </cfRule>
  </conditionalFormatting>
  <conditionalFormatting sqref="W6:W7">
    <cfRule type="cellIs" priority="16" operator="equal" dxfId="0">
      <formula>0</formula>
    </cfRule>
  </conditionalFormatting>
  <conditionalFormatting sqref="W30:W31">
    <cfRule type="cellIs" priority="17" operator="equal" dxfId="0">
      <formula>0</formula>
    </cfRule>
  </conditionalFormatting>
  <conditionalFormatting sqref="W27:W28">
    <cfRule type="cellIs" priority="18" operator="equal" dxfId="0">
      <formula>0</formula>
    </cfRule>
  </conditionalFormatting>
  <conditionalFormatting sqref="W24:W25">
    <cfRule type="cellIs" priority="19" operator="equal" dxfId="0">
      <formula>0</formula>
    </cfRule>
  </conditionalFormatting>
  <conditionalFormatting sqref="W18:W19">
    <cfRule type="cellIs" priority="20" operator="equal" dxfId="0">
      <formula>0</formula>
    </cfRule>
  </conditionalFormatting>
  <conditionalFormatting sqref="W15:W16">
    <cfRule type="cellIs" priority="21" operator="equal" dxfId="0">
      <formula>0</formula>
    </cfRule>
  </conditionalFormatting>
  <conditionalFormatting sqref="W21:W22">
    <cfRule type="cellIs" priority="22" operator="equal" dxfId="0">
      <formula>0</formula>
    </cfRule>
  </conditionalFormatting>
  <conditionalFormatting sqref="W33:W34">
    <cfRule type="cellIs" priority="23" operator="equal" dxfId="0">
      <formula>0</formula>
    </cfRule>
  </conditionalFormatting>
  <conditionalFormatting sqref="J43">
    <cfRule type="expression" priority="24" dxfId="1">
      <formula>ISNUMBER($F43)</formula>
    </cfRule>
    <cfRule type="expression" priority="25" dxfId="1">
      <formula>ISNUMBER($F43)</formula>
    </cfRule>
    <cfRule type="expression" priority="26" dxfId="1">
      <formula>ISNUMBER($F43)</formula>
    </cfRule>
    <cfRule type="expression" priority="27" dxfId="1">
      <formula>ISNUMBER($F43)</formula>
    </cfRule>
    <cfRule type="expression" priority="28" dxfId="1">
      <formula>ISNUMBER($F43)</formula>
    </cfRule>
  </conditionalFormatting>
  <conditionalFormatting sqref="J51">
    <cfRule type="expression" priority="29" dxfId="1">
      <formula>ISNUMBER($F51)</formula>
    </cfRule>
    <cfRule type="expression" priority="30" dxfId="1">
      <formula>ISNUMBER($F51)</formula>
    </cfRule>
    <cfRule type="expression" priority="31" dxfId="1">
      <formula>ISNUMBER($F51)</formula>
    </cfRule>
    <cfRule type="expression" priority="32" dxfId="1">
      <formula>ISNUMBER($F51)</formula>
    </cfRule>
    <cfRule type="expression" priority="33" dxfId="1">
      <formula>ISNUMBER($F51)</formula>
    </cfRule>
  </conditionalFormatting>
  <conditionalFormatting sqref="J40">
    <cfRule type="expression" priority="34" dxfId="1">
      <formula>ISNUMBER($F40)</formula>
    </cfRule>
  </conditionalFormatting>
  <conditionalFormatting sqref="J46">
    <cfRule type="expression" priority="35" dxfId="1">
      <formula>ISNUMBER($F46)</formula>
    </cfRule>
  </conditionalFormatting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8.140000000000001" customWidth="1" style="26" min="2" max="2"/>
    <col width="11.43" customWidth="1" style="26" min="3" max="3"/>
    <col width="4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CONCATENATE("Cosmo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1B,CI</t>
        </is>
      </c>
      <c r="C3" s="38" t="n"/>
      <c r="D3" s="38" t="n"/>
      <c r="E3" s="38" t="n"/>
      <c r="F3" s="682" t="n"/>
      <c r="G3" s="598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</t>
        </is>
      </c>
      <c r="C4" s="110" t="n"/>
      <c r="D4" s="38" t="n"/>
      <c r="E4" s="38" t="n"/>
      <c r="F4" s="682" t="n"/>
      <c r="G4" s="855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2B,MI</t>
        </is>
      </c>
      <c r="C5" s="38" t="n"/>
      <c r="D5" s="38" t="n"/>
      <c r="E5" s="38" t="n"/>
      <c r="F5" s="682" t="n"/>
      <c r="G5" s="856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2B,MI</t>
        </is>
      </c>
      <c r="C6" s="110" t="n"/>
      <c r="D6" s="38" t="n"/>
      <c r="E6" s="38" t="n"/>
      <c r="F6" s="682" t="n"/>
      <c r="G6" s="600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Justin Steele</t>
        </is>
      </c>
      <c r="P6" s="523" t="n"/>
      <c r="Q6" s="186" t="n">
        <v>1</v>
      </c>
      <c r="R6" s="75" t="n"/>
      <c r="S6" s="188" t="n">
        <v>2023</v>
      </c>
      <c r="T6" s="77" t="n"/>
      <c r="U6" s="803" t="n">
        <v>3</v>
      </c>
      <c r="V6" s="79" t="n"/>
      <c r="W6" s="804">
        <f>Y6-$B$1</f>
        <v/>
      </c>
      <c r="X6" s="127" t="n"/>
      <c r="Y6" s="86">
        <f>S6+U6</f>
        <v/>
      </c>
      <c r="Z6" s="71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3B,CI</t>
        </is>
      </c>
      <c r="C7" s="38" t="n"/>
      <c r="D7" s="38" t="n"/>
      <c r="E7" s="38" t="n"/>
      <c r="F7" s="682" t="n"/>
      <c r="G7" s="601" t="n"/>
      <c r="H7" s="99" t="n"/>
      <c r="I7" s="100" t="n"/>
      <c r="J7" s="100" t="n"/>
      <c r="K7" s="102" t="n"/>
      <c r="L7" s="29" t="n"/>
      <c r="M7" s="702" t="n"/>
      <c r="N7" s="71" t="n"/>
      <c r="P7" s="523" t="n"/>
      <c r="R7" s="75" t="n"/>
      <c r="T7" s="77" t="n"/>
      <c r="U7" s="771" t="n"/>
      <c r="V7" s="79" t="n"/>
      <c r="W7" s="771" t="n"/>
      <c r="X7" s="127" t="n"/>
      <c r="Z7" s="71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3B,CI</t>
        </is>
      </c>
      <c r="C8" s="38" t="n"/>
      <c r="D8" s="38" t="n"/>
      <c r="E8" s="38" t="n"/>
      <c r="F8" s="682" t="n"/>
      <c r="G8" s="601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523" t="n"/>
      <c r="P8" s="523" t="n"/>
      <c r="Q8" s="523" t="n"/>
      <c r="R8" s="523" t="n"/>
      <c r="S8" s="523" t="n"/>
      <c r="T8" s="523" t="n"/>
      <c r="U8" s="621" t="n"/>
      <c r="V8" s="616" t="n"/>
      <c r="W8" s="124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C</t>
        </is>
      </c>
      <c r="C9" s="110" t="n"/>
      <c r="D9" s="38" t="n"/>
      <c r="E9" s="38" t="n"/>
      <c r="F9" s="682" t="n"/>
      <c r="G9" s="601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184" t="inlineStr">
        <is>
          <t>Jack Flaherty</t>
        </is>
      </c>
      <c r="P9" s="523" t="n"/>
      <c r="Q9" s="228" t="n">
        <v>0</v>
      </c>
      <c r="R9" s="75" t="n"/>
      <c r="S9" s="188" t="n">
        <v>2024</v>
      </c>
      <c r="T9" s="77" t="n"/>
      <c r="U9" s="803" t="n">
        <v>2</v>
      </c>
      <c r="V9" s="79" t="n"/>
      <c r="W9" s="807">
        <f>Y9-$B$1</f>
        <v/>
      </c>
      <c r="X9" s="8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C,1B,CI</t>
        </is>
      </c>
      <c r="C10" s="38" t="n"/>
      <c r="D10" s="38" t="n"/>
      <c r="E10" s="38" t="n"/>
      <c r="F10" s="682" t="n"/>
      <c r="G10" s="601" t="n"/>
      <c r="H10" s="755" t="n"/>
      <c r="I10" s="759" t="n"/>
      <c r="J10" s="759" t="n"/>
      <c r="K10" s="793" t="n"/>
      <c r="L10" s="29" t="n"/>
      <c r="M10" s="702" t="n"/>
      <c r="N10" s="71" t="n"/>
      <c r="P10" s="523" t="n"/>
      <c r="R10" s="75" t="n"/>
      <c r="T10" s="77" t="n"/>
      <c r="U10" s="771" t="n"/>
      <c r="V10" s="79" t="n"/>
      <c r="W10" s="771" t="n"/>
      <c r="X10" s="8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OF</t>
        </is>
      </c>
      <c r="C11" s="38" t="n"/>
      <c r="D11" s="38" t="n"/>
      <c r="E11" s="38" t="n"/>
      <c r="F11" s="682" t="n"/>
      <c r="G11" s="601" t="n"/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541" t="n"/>
      <c r="U11" s="670" t="n"/>
      <c r="V11" s="616" t="n"/>
      <c r="W11" s="124" t="n"/>
      <c r="X11" s="139" t="n"/>
      <c r="Y11" s="522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OF</t>
        </is>
      </c>
      <c r="C12" s="38" t="n"/>
      <c r="D12" s="38" t="n"/>
      <c r="E12" s="38" t="n"/>
      <c r="F12" s="682" t="n"/>
      <c r="G12" s="601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Zach Neto</t>
        </is>
      </c>
      <c r="P12" s="616" t="n"/>
      <c r="Q12" s="186" t="n">
        <v>6</v>
      </c>
      <c r="R12" s="146" t="n"/>
      <c r="S12" s="188" t="n">
        <v>2024</v>
      </c>
      <c r="T12" s="79" t="n"/>
      <c r="U12" s="803" t="n">
        <v>2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OF</t>
        </is>
      </c>
      <c r="C13" s="38" t="n"/>
      <c r="D13" s="38" t="n"/>
      <c r="E13" s="38" t="n"/>
      <c r="F13" s="682" t="n"/>
      <c r="G13" s="601" t="n"/>
      <c r="H13" s="702" t="n"/>
      <c r="K13" s="619" t="n"/>
      <c r="L13" s="29" t="n"/>
      <c r="M13" s="702" t="n"/>
      <c r="N13" s="71" t="n"/>
      <c r="P13" s="616" t="n"/>
      <c r="R13" s="146" t="n"/>
      <c r="T13" s="79" t="n"/>
      <c r="U13" s="771" t="n"/>
      <c r="V13" s="79" t="n"/>
      <c r="W13" s="771" t="n"/>
      <c r="X13" s="8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F14" s="682" t="n"/>
      <c r="G14" s="601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124" t="n"/>
      <c r="V14" s="616" t="n"/>
      <c r="W14" s="124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F15" s="682" t="n"/>
      <c r="G15" s="601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Juan Soto</t>
        </is>
      </c>
      <c r="P15" s="616" t="n"/>
      <c r="Q15" s="186" t="n">
        <v>3</v>
      </c>
      <c r="R15" s="146" t="n"/>
      <c r="S15" s="188" t="n">
        <v>2019</v>
      </c>
      <c r="T15" s="79" t="n"/>
      <c r="U15" s="803" t="n">
        <v>7</v>
      </c>
      <c r="V15" s="79" t="n"/>
      <c r="W15" s="807">
        <f>Y15-$B$1</f>
        <v/>
      </c>
      <c r="X15" s="127" t="n"/>
      <c r="Y15" s="86">
        <f>S15+U15</f>
        <v/>
      </c>
      <c r="Z15" s="71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110" t="n"/>
      <c r="D16" s="38" t="n"/>
      <c r="E16" s="38" t="n"/>
      <c r="F16" s="682" t="n"/>
      <c r="G16" s="601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616" t="n"/>
      <c r="R16" s="146" t="n"/>
      <c r="T16" s="79" t="n"/>
      <c r="U16" s="771" t="n"/>
      <c r="V16" s="79" t="n"/>
      <c r="W16" s="771" t="n"/>
      <c r="X16" s="127" t="n"/>
      <c r="Z16" s="71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P</t>
        </is>
      </c>
      <c r="C17" s="38" t="n"/>
      <c r="D17" s="38" t="n"/>
      <c r="E17" s="38" t="n"/>
      <c r="F17" s="682" t="n"/>
      <c r="G17" s="601" t="n"/>
      <c r="H17" s="702" t="n"/>
      <c r="K17" s="619" t="n"/>
      <c r="L17" s="29" t="n"/>
      <c r="M17" s="119" t="n"/>
      <c r="N17" s="71" t="n"/>
      <c r="O17" s="616" t="n"/>
      <c r="P17" s="616" t="n"/>
      <c r="Q17" s="146" t="n"/>
      <c r="R17" s="146" t="n"/>
      <c r="S17" s="616" t="n"/>
      <c r="T17" s="616" t="n"/>
      <c r="U17" s="538" t="n"/>
      <c r="V17" s="616" t="n"/>
      <c r="W17" s="124" t="n"/>
      <c r="X17" s="139" t="n"/>
      <c r="Y17" s="141" t="n"/>
      <c r="Z17" s="71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P</t>
        </is>
      </c>
      <c r="C18" s="38" t="n"/>
      <c r="D18" s="38" t="n"/>
      <c r="E18" s="38" t="n"/>
      <c r="F18" s="682" t="n"/>
      <c r="G18" s="601" t="n"/>
      <c r="H18" s="162">
        <f>CONCATENATE($B$1+1," Auction Budget acquired by trade (Offseason Only)")</f>
        <v/>
      </c>
      <c r="K18" s="809">
        <f>'Draft budget calc'!E14</f>
        <v/>
      </c>
      <c r="L18" s="29" t="n"/>
      <c r="M18" s="802" t="inlineStr">
        <is>
          <t>5th player contract --&gt;&gt;</t>
        </is>
      </c>
      <c r="N18" s="71" t="n"/>
      <c r="O18" s="184" t="inlineStr">
        <is>
          <t>Vinnie Pasquantino</t>
        </is>
      </c>
      <c r="P18" s="616" t="n"/>
      <c r="Q18" s="186" t="n">
        <v>0</v>
      </c>
      <c r="R18" s="146" t="n"/>
      <c r="S18" s="188" t="n">
        <v>2022</v>
      </c>
      <c r="T18" s="79" t="n"/>
      <c r="U18" s="857" t="n">
        <v>4</v>
      </c>
      <c r="V18" s="79" t="n"/>
      <c r="W18" s="807">
        <f>Y18-$B$1</f>
        <v/>
      </c>
      <c r="X18" s="127" t="n"/>
      <c r="Y18" s="86">
        <f>S18+U18</f>
        <v/>
      </c>
      <c r="Z18" s="71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P</t>
        </is>
      </c>
      <c r="C19" s="38" t="n"/>
      <c r="D19" s="38" t="n"/>
      <c r="E19" s="38" t="n"/>
      <c r="F19" s="682" t="n"/>
      <c r="G19" s="601" t="n"/>
      <c r="H19" s="702" t="n"/>
      <c r="K19" s="619" t="n"/>
      <c r="L19" s="29" t="n"/>
      <c r="M19" s="702" t="n"/>
      <c r="N19" s="71" t="n"/>
      <c r="P19" s="616" t="n"/>
      <c r="R19" s="146" t="n"/>
      <c r="T19" s="79" t="n"/>
      <c r="U19" s="771" t="n"/>
      <c r="V19" s="79" t="n"/>
      <c r="W19" s="771" t="n"/>
      <c r="X19" s="127" t="n"/>
      <c r="Z19" s="71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F20" s="682" t="n"/>
      <c r="G20" s="601" t="n"/>
      <c r="H20" s="702" t="n"/>
      <c r="K20" s="619" t="n"/>
      <c r="L20" s="29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538" t="n"/>
      <c r="V20" s="616" t="n"/>
      <c r="W20" s="124" t="n"/>
      <c r="X20" s="139" t="n"/>
      <c r="Y20" s="141" t="n"/>
      <c r="Z20" s="71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F21" s="682" t="n"/>
      <c r="G21" s="601" t="n"/>
      <c r="H21" s="171" t="inlineStr">
        <is>
          <t>Min. IP Penalties</t>
        </is>
      </c>
      <c r="K21" s="810" t="n"/>
      <c r="L21" s="29" t="n"/>
      <c r="M21" s="802" t="inlineStr">
        <is>
          <t>6th player contract --&gt;&gt;</t>
        </is>
      </c>
      <c r="N21" s="71" t="n"/>
      <c r="O21" s="184" t="inlineStr">
        <is>
          <t>Yordan Alvarez</t>
        </is>
      </c>
      <c r="P21" s="541" t="n"/>
      <c r="Q21" s="186" t="n">
        <v>7</v>
      </c>
      <c r="R21" s="542" t="n"/>
      <c r="S21" s="188" t="n">
        <v>2022</v>
      </c>
      <c r="T21" s="543" t="n"/>
      <c r="U21" s="889" t="n">
        <v>7</v>
      </c>
      <c r="V21" s="79" t="n"/>
      <c r="W21" s="807">
        <f>Y21-$B$1</f>
        <v/>
      </c>
      <c r="X21" s="127" t="n"/>
      <c r="Y21" s="86">
        <f>S21+U21</f>
        <v/>
      </c>
      <c r="Z21" s="71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F22" s="682" t="n"/>
      <c r="G22" s="601" t="n"/>
      <c r="H22" s="702" t="n"/>
      <c r="K22" s="619" t="n"/>
      <c r="L22" s="29" t="n"/>
      <c r="M22" s="702" t="n"/>
      <c r="N22" s="71" t="n"/>
      <c r="P22" s="541" t="n"/>
      <c r="R22" s="542" t="n"/>
      <c r="T22" s="543" t="n"/>
      <c r="U22" s="771" t="n"/>
      <c r="V22" s="79" t="n"/>
      <c r="W22" s="771" t="n"/>
      <c r="X22" s="127" t="n"/>
      <c r="Z22" s="71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F23" s="682" t="n"/>
      <c r="G23" s="601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616" t="n"/>
      <c r="P23" s="616" t="n"/>
      <c r="Q23" s="146" t="n"/>
      <c r="R23" s="146" t="n"/>
      <c r="S23" s="616" t="n"/>
      <c r="T23" s="616" t="n"/>
      <c r="U23" s="538" t="n"/>
      <c r="V23" s="616" t="n"/>
      <c r="W23" s="124" t="n"/>
      <c r="X23" s="139" t="n"/>
      <c r="Y23" s="141" t="n"/>
      <c r="Z23" s="71" t="n"/>
      <c r="AA23" s="125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F24" s="682" t="n"/>
      <c r="G24" s="601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184" t="inlineStr">
        <is>
          <t xml:space="preserve">Ronald Acuna Jr. </t>
        </is>
      </c>
      <c r="P24" s="616" t="n"/>
      <c r="Q24" s="186" t="n">
        <v>4</v>
      </c>
      <c r="R24" s="146" t="n"/>
      <c r="S24" s="188" t="n">
        <v>2019</v>
      </c>
      <c r="T24" s="79" t="n"/>
      <c r="U24" s="857" t="n">
        <v>8</v>
      </c>
      <c r="V24" s="79" t="n"/>
      <c r="W24" s="807">
        <f>Y24-$B$1</f>
        <v/>
      </c>
      <c r="X24" s="127" t="n"/>
      <c r="Y24" s="86">
        <f>S24+U24</f>
        <v/>
      </c>
      <c r="Z24" s="71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F25" s="682" t="n"/>
      <c r="G25" s="601" t="n"/>
      <c r="H25" s="755" t="n"/>
      <c r="I25" s="759" t="n"/>
      <c r="J25" s="759" t="n"/>
      <c r="K25" s="793" t="n"/>
      <c r="L25" s="29" t="n"/>
      <c r="M25" s="702" t="n"/>
      <c r="N25" s="71" t="n"/>
      <c r="P25" s="616" t="n"/>
      <c r="R25" s="146" t="n"/>
      <c r="T25" s="79" t="n"/>
      <c r="U25" s="771" t="n"/>
      <c r="V25" s="79" t="n"/>
      <c r="W25" s="771" t="n"/>
      <c r="X25" s="127" t="n"/>
      <c r="Z25" s="71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F26" s="682" t="n"/>
      <c r="G26" s="601" t="n"/>
      <c r="H26" s="622" t="n"/>
      <c r="I26" s="622" t="n"/>
      <c r="J26" s="622" t="n"/>
      <c r="K26" s="622" t="n"/>
      <c r="L26" s="29" t="n"/>
      <c r="M26" s="172" t="n"/>
      <c r="N26" s="622" t="n"/>
      <c r="O26" s="616" t="n"/>
      <c r="P26" s="616" t="n"/>
      <c r="Q26" s="146" t="n"/>
      <c r="R26" s="146" t="n"/>
      <c r="S26" s="616" t="n"/>
      <c r="T26" s="541" t="n"/>
      <c r="U26" s="183" t="n"/>
      <c r="V26" s="616" t="n"/>
      <c r="W26" s="124" t="n"/>
      <c r="X26" s="622" t="n"/>
      <c r="Y26" s="141" t="n"/>
      <c r="Z26" s="622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F27" s="682" t="n"/>
      <c r="G27" s="601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184" t="inlineStr">
        <is>
          <t>Bobby Witt Jr</t>
        </is>
      </c>
      <c r="P27" s="616" t="n"/>
      <c r="Q27" s="186" t="n">
        <v>3</v>
      </c>
      <c r="R27" s="146" t="n"/>
      <c r="S27" s="188" t="n">
        <v>2022</v>
      </c>
      <c r="T27" s="79" t="n"/>
      <c r="U27" s="857" t="n">
        <v>5</v>
      </c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F28" s="682" t="n"/>
      <c r="G28" s="601" t="n"/>
      <c r="H28" s="702" t="n"/>
      <c r="K28" s="619" t="n"/>
      <c r="L28" s="29" t="n"/>
      <c r="M28" s="702" t="n"/>
      <c r="N28" s="622" t="n"/>
      <c r="P28" s="616" t="n"/>
      <c r="R28" s="146" t="n"/>
      <c r="T28" s="79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F29" s="682" t="n"/>
      <c r="G29" s="601" t="n"/>
      <c r="H29" s="702" t="n"/>
      <c r="K29" s="619" t="n"/>
      <c r="L29" s="29" t="n"/>
      <c r="M29" s="172" t="n"/>
      <c r="N29" s="622" t="n"/>
      <c r="O29" s="616" t="n"/>
      <c r="P29" s="616" t="n"/>
      <c r="Q29" s="616" t="n"/>
      <c r="R29" s="616" t="n"/>
      <c r="S29" s="616" t="n"/>
      <c r="T29" s="616" t="n"/>
      <c r="U29" s="538" t="n"/>
      <c r="V29" s="616" t="n"/>
      <c r="W29" s="124" t="n"/>
      <c r="X29" s="622" t="n"/>
      <c r="Y29" s="622" t="n"/>
      <c r="Z29" s="622" t="n"/>
      <c r="AA29" s="125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F30" s="682" t="n"/>
      <c r="G30" s="601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184" t="inlineStr">
        <is>
          <t>Oneil Cruz</t>
        </is>
      </c>
      <c r="P30" s="616" t="n"/>
      <c r="Q30" s="186" t="n">
        <v>8</v>
      </c>
      <c r="R30" s="75" t="n"/>
      <c r="S30" s="188" t="n">
        <v>2024</v>
      </c>
      <c r="T30" s="77" t="n"/>
      <c r="U30" s="803" t="n">
        <v>3</v>
      </c>
      <c r="V30" s="79" t="n"/>
      <c r="W30" s="807">
        <f>Y30-$B$1</f>
        <v/>
      </c>
      <c r="X30" s="127" t="n"/>
      <c r="Y30" s="86">
        <f>S30+U30</f>
        <v/>
      </c>
      <c r="Z30" s="71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F31" s="682" t="n"/>
      <c r="G31" s="218" t="n"/>
      <c r="H31" s="54" t="inlineStr">
        <is>
          <t>Roster Key</t>
        </is>
      </c>
      <c r="L31" s="29" t="n"/>
      <c r="M31" s="702" t="n"/>
      <c r="N31" s="71" t="n"/>
      <c r="P31" s="616" t="n"/>
      <c r="R31" s="75" t="n"/>
      <c r="T31" s="77" t="n"/>
      <c r="U31" s="771" t="n"/>
      <c r="V31" s="79" t="n"/>
      <c r="W31" s="771" t="n"/>
      <c r="X31" s="127" t="n"/>
      <c r="Z31" s="71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SS,MI</t>
        </is>
      </c>
      <c r="C32" s="38" t="n"/>
      <c r="D32" s="38" t="n"/>
      <c r="E32" s="38" t="n"/>
      <c r="G32" s="218" t="n"/>
      <c r="L32" s="29" t="n"/>
      <c r="M32" s="172" t="n"/>
      <c r="N32" s="622" t="n"/>
      <c r="O32" s="616" t="n"/>
      <c r="P32" s="616" t="n"/>
      <c r="Q32" s="146" t="n"/>
      <c r="R32" s="146" t="n"/>
      <c r="S32" s="616" t="n"/>
      <c r="T32" s="541" t="n"/>
      <c r="U32" s="670" t="n"/>
      <c r="V32" s="616" t="n"/>
      <c r="W32" s="124" t="n"/>
      <c r="X32" s="622" t="n"/>
      <c r="Y32" s="141" t="n"/>
      <c r="Z32" s="622" t="n"/>
      <c r="AA32" s="16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199" t="inlineStr">
        <is>
          <t>DL 1</t>
        </is>
      </c>
      <c r="C33" s="443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184" t="inlineStr">
        <is>
          <t>Michael Harris</t>
        </is>
      </c>
      <c r="P33" s="616" t="n"/>
      <c r="Q33" s="186" t="n">
        <v>8</v>
      </c>
      <c r="R33" s="146" t="n"/>
      <c r="S33" s="188" t="n">
        <v>2022</v>
      </c>
      <c r="T33" s="79" t="n"/>
      <c r="U33" s="857" t="n">
        <v>4</v>
      </c>
      <c r="V33" s="79" t="n"/>
      <c r="W33" s="807">
        <f>Y33-$B$1</f>
        <v/>
      </c>
      <c r="X33" s="8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199" t="inlineStr">
        <is>
          <t>DL 2</t>
        </is>
      </c>
      <c r="C34" s="443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616" t="n"/>
      <c r="R34" s="146" t="n"/>
      <c r="T34" s="79" t="n"/>
      <c r="U34" s="771" t="n"/>
      <c r="V34" s="79" t="n"/>
      <c r="W34" s="771" t="n"/>
      <c r="X34" s="8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199" t="inlineStr">
        <is>
          <t>DL 3</t>
        </is>
      </c>
      <c r="C35" s="443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526" t="n"/>
      <c r="V35" s="622" t="n"/>
      <c r="W35" s="208" t="n"/>
      <c r="X35" s="622" t="n"/>
      <c r="Y35" s="622" t="n"/>
      <c r="Z35" s="622" t="n"/>
      <c r="AA35" s="164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0.5" customHeight="1" s="26">
      <c r="A36" s="622" t="n"/>
      <c r="B36" s="199" t="inlineStr">
        <is>
          <t>DL 4</t>
        </is>
      </c>
      <c r="C36" s="443" t="n"/>
      <c r="F36" s="209" t="n"/>
      <c r="G36" s="218" t="n"/>
      <c r="H36" s="622" t="n"/>
      <c r="I36" s="622" t="n"/>
      <c r="J36" s="872">
        <f>CONCATENATE("Keep ",M3+1,"?")</f>
        <v/>
      </c>
      <c r="K36" s="622" t="n"/>
      <c r="L36" s="29" t="n"/>
      <c r="M36" s="802" t="inlineStr">
        <is>
          <t>11th player contract --&gt;&gt;</t>
        </is>
      </c>
      <c r="N36" s="71" t="n"/>
      <c r="O36" s="527" t="n"/>
      <c r="P36" s="616" t="n"/>
      <c r="Q36" s="186" t="n"/>
      <c r="R36" s="146" t="n"/>
      <c r="S36" s="188" t="n"/>
      <c r="T36" s="79" t="n"/>
      <c r="U36" s="803" t="n"/>
      <c r="V36" s="127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G36" s="49" t="n"/>
      <c r="AH36" s="48" t="n"/>
      <c r="AI36" s="604" t="n"/>
      <c r="AJ36" s="50" t="n"/>
      <c r="AK36" s="49" t="n"/>
      <c r="AL36" s="48" t="n"/>
      <c r="AM36" s="604" t="n"/>
      <c r="AN36" s="50" t="n"/>
      <c r="AO36" s="49" t="n"/>
      <c r="AR36" s="30" t="n"/>
      <c r="AS36" s="49" t="n"/>
      <c r="AT36" s="48" t="n"/>
      <c r="AU36" s="604" t="n"/>
    </row>
    <row r="37" ht="10.5" customHeight="1" s="26">
      <c r="A37" s="622" t="n"/>
      <c r="B37" s="199" t="inlineStr">
        <is>
          <t>DL 5</t>
        </is>
      </c>
      <c r="C37" s="443" t="n"/>
      <c r="F37" s="209" t="n"/>
      <c r="G37" s="822" t="inlineStr">
        <is>
          <t>Drafted</t>
        </is>
      </c>
      <c r="I37" s="220" t="inlineStr">
        <is>
          <t>MLB</t>
        </is>
      </c>
      <c r="J37" s="759" t="n"/>
      <c r="K37" s="220" t="n"/>
      <c r="L37" s="29" t="n"/>
      <c r="M37" s="702" t="n"/>
      <c r="N37" s="71" t="n"/>
      <c r="P37" s="616" t="n"/>
      <c r="R37" s="146" t="n"/>
      <c r="T37" s="79" t="n"/>
      <c r="U37" s="771" t="n"/>
      <c r="V37" s="127" t="n"/>
      <c r="W37" s="823" t="n"/>
      <c r="X37" s="622" t="n"/>
      <c r="Z37" s="622" t="n"/>
      <c r="AA37" s="619" t="n"/>
      <c r="AB37" s="195" t="n"/>
      <c r="AC37" s="49" t="n"/>
      <c r="AD37" s="48" t="n"/>
      <c r="AE37" s="604" t="n"/>
      <c r="AF37" s="50" t="n"/>
      <c r="AG37" s="49" t="n"/>
      <c r="AH37" s="48" t="n"/>
      <c r="AI37" s="604" t="n"/>
      <c r="AJ37" s="50" t="n"/>
      <c r="AK37" s="49" t="n"/>
      <c r="AL37" s="48" t="n"/>
      <c r="AM37" s="604" t="n"/>
      <c r="AN37" s="50" t="n"/>
      <c r="AO37" s="49" t="n"/>
      <c r="AR37" s="30" t="n"/>
      <c r="AS37" s="49" t="n"/>
      <c r="AT37" s="48" t="n"/>
      <c r="AU37" s="604" t="n"/>
    </row>
    <row r="38" ht="10.5" customHeight="1" s="26">
      <c r="A38" s="67" t="n"/>
      <c r="B38" s="222" t="inlineStr">
        <is>
          <t>Farm 1</t>
        </is>
      </c>
      <c r="C38" s="528" t="inlineStr">
        <is>
          <t>Travis Bazzana</t>
        </is>
      </c>
      <c r="F38" s="692" t="n">
        <v>3</v>
      </c>
      <c r="G38" s="332" t="n">
        <v>2024</v>
      </c>
      <c r="I38" s="333" t="inlineStr">
        <is>
          <t>No</t>
        </is>
      </c>
      <c r="J38" s="444" t="n"/>
      <c r="K38" s="172" t="n"/>
      <c r="L38" s="29" t="n"/>
      <c r="M38" s="172" t="n"/>
      <c r="N38" s="622" t="n"/>
      <c r="O38" s="685" t="n"/>
      <c r="P38" s="622" t="n"/>
      <c r="Q38" s="247" t="n"/>
      <c r="R38" s="67" t="n"/>
      <c r="S38" s="248" t="n"/>
      <c r="T38" s="215" t="n"/>
      <c r="U38" s="254" t="n"/>
      <c r="V38" s="622" t="n"/>
      <c r="W38" s="251" t="n"/>
      <c r="X38" s="622" t="n"/>
      <c r="Y38" s="141" t="n"/>
      <c r="Z38" s="622" t="n"/>
      <c r="AA38" s="143" t="n"/>
      <c r="AB38" s="195" t="n"/>
      <c r="AC38" s="49" t="n"/>
      <c r="AD38" s="48" t="n"/>
      <c r="AE38" s="604" t="n"/>
      <c r="AF38" s="50" t="n"/>
      <c r="AG38" s="49" t="n"/>
      <c r="AH38" s="48" t="n"/>
      <c r="AI38" s="604" t="n"/>
      <c r="AJ38" s="50" t="n"/>
      <c r="AK38" s="49" t="n"/>
      <c r="AL38" s="48" t="n"/>
      <c r="AM38" s="604" t="n"/>
      <c r="AN38" s="50" t="n"/>
      <c r="AO38" s="49" t="n"/>
      <c r="AR38" s="30" t="n"/>
      <c r="AS38" s="49" t="n"/>
      <c r="AT38" s="48" t="n"/>
      <c r="AU38" s="604" t="n"/>
    </row>
    <row r="39" ht="11.25" customHeight="1" s="26">
      <c r="A39" s="622" t="n"/>
      <c r="B39" s="329" t="inlineStr">
        <is>
          <t>Farm 2</t>
        </is>
      </c>
      <c r="C39" s="528" t="inlineStr">
        <is>
          <t>Roderick Arias</t>
        </is>
      </c>
      <c r="F39" s="692" t="n">
        <v>5</v>
      </c>
      <c r="G39" s="332" t="n">
        <v>2022</v>
      </c>
      <c r="I39" s="288" t="inlineStr">
        <is>
          <t>No</t>
        </is>
      </c>
      <c r="J39" s="444" t="n"/>
      <c r="K39" s="172" t="n"/>
      <c r="L39" s="29" t="n"/>
      <c r="M39" s="824" t="inlineStr">
        <is>
          <t>12th player contract --&gt;&gt;</t>
        </is>
      </c>
      <c r="N39" s="71" t="n"/>
      <c r="O39" s="527" t="n"/>
      <c r="P39" s="747" t="n"/>
      <c r="Q39" s="186" t="n"/>
      <c r="R39" s="687" t="n"/>
      <c r="S39" s="188" t="n"/>
      <c r="T39" s="688" t="n"/>
      <c r="U39" s="803" t="n"/>
      <c r="V39" s="127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C39" s="49" t="n"/>
      <c r="AD39" s="48" t="n"/>
      <c r="AE39" s="604" t="n"/>
      <c r="AF39" s="50" t="n"/>
      <c r="AH39" s="48" t="n"/>
      <c r="AI39" s="604" t="n"/>
      <c r="AJ39" s="30" t="n"/>
      <c r="AL39" s="48" t="n"/>
      <c r="AM39" s="604" t="n"/>
      <c r="AN39" s="50" t="n"/>
      <c r="AO39" s="49" t="n"/>
      <c r="AP39" s="48" t="n"/>
      <c r="AQ39" s="604" t="n"/>
      <c r="AR39" s="50" t="n"/>
      <c r="AS39" s="49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690" t="inlineStr">
        <is>
          <t>Zyhir Hope</t>
        </is>
      </c>
      <c r="F40" s="309" t="n">
        <v>2</v>
      </c>
      <c r="G40" s="405" t="n">
        <v>2025</v>
      </c>
      <c r="I40" s="445" t="inlineStr">
        <is>
          <t>No</t>
        </is>
      </c>
      <c r="J40" s="444" t="n"/>
      <c r="K40" s="172" t="n"/>
      <c r="L40" s="29" t="n"/>
      <c r="M40" s="702" t="n"/>
      <c r="N40" s="71" t="n"/>
      <c r="P40" s="747" t="n"/>
      <c r="R40" s="687" t="n"/>
      <c r="T40" s="688" t="n"/>
      <c r="U40" s="771" t="n"/>
      <c r="V40" s="127" t="n"/>
      <c r="W40" s="823" t="n"/>
      <c r="X40" s="622" t="n"/>
      <c r="Z40" s="622" t="n"/>
      <c r="AA40" s="619" t="n"/>
      <c r="AB40" s="622" t="n"/>
      <c r="AD40" s="48" t="n"/>
      <c r="AE40" s="604" t="n"/>
      <c r="AF40" s="50" t="n"/>
      <c r="AH40" s="48" t="n"/>
      <c r="AI40" s="604" t="n"/>
      <c r="AJ40" s="30" t="n"/>
      <c r="AL40" s="48" t="n"/>
      <c r="AM40" s="604" t="n"/>
      <c r="AN40" s="50" t="n"/>
      <c r="AO40" s="49" t="n"/>
      <c r="AP40" s="48" t="n"/>
      <c r="AQ40" s="604" t="n"/>
      <c r="AR40" s="50" t="n"/>
      <c r="AS40" s="49" t="n"/>
      <c r="AT40" s="48" t="n"/>
      <c r="AU40" s="604" t="n"/>
    </row>
    <row r="41" ht="11.25" customHeight="1" s="26">
      <c r="A41" s="622" t="n"/>
      <c r="B41" s="231" t="inlineStr">
        <is>
          <t>Farm 4</t>
        </is>
      </c>
      <c r="C41" s="550" t="inlineStr">
        <is>
          <t>Kevin McGonigle</t>
        </is>
      </c>
      <c r="F41" s="309" t="n">
        <v>2</v>
      </c>
      <c r="G41" s="405" t="n">
        <v>2025</v>
      </c>
      <c r="I41" s="445" t="inlineStr">
        <is>
          <t>No</t>
        </is>
      </c>
      <c r="J41" s="444" t="n"/>
      <c r="K41" s="172" t="n"/>
      <c r="L41" s="29" t="n"/>
      <c r="M41" s="172" t="n"/>
      <c r="N41" s="622" t="n"/>
      <c r="O41" s="523" t="n"/>
      <c r="P41" s="523" t="n"/>
      <c r="Q41" s="523" t="n"/>
      <c r="R41" s="523" t="n"/>
      <c r="S41" s="523" t="n"/>
      <c r="T41" s="523" t="n"/>
      <c r="U41" s="621" t="n"/>
      <c r="V41" s="622" t="n"/>
      <c r="W41" s="251" t="n"/>
      <c r="X41" s="622" t="n"/>
      <c r="Y41" s="141" t="n"/>
      <c r="Z41" s="622" t="n"/>
      <c r="AA41" s="143" t="n"/>
      <c r="AB41" s="622" t="n"/>
      <c r="AF41" s="50" t="n"/>
      <c r="AH41" s="48" t="n"/>
      <c r="AI41" s="604" t="n"/>
      <c r="AJ41" s="30" t="n"/>
      <c r="AL41" s="48" t="n"/>
      <c r="AM41" s="604" t="n"/>
      <c r="AN41" s="50" t="n"/>
      <c r="AO41" s="49" t="n"/>
      <c r="AP41" s="48" t="n"/>
      <c r="AQ41" s="604" t="n"/>
      <c r="AR41" s="50" t="n"/>
      <c r="AS41" s="49" t="n"/>
      <c r="AT41" s="48" t="n"/>
      <c r="AU41" s="604" t="n"/>
    </row>
    <row r="42" ht="11.25" customHeight="1" s="26">
      <c r="A42" s="622" t="n"/>
      <c r="B42" s="231" t="inlineStr">
        <is>
          <t>Farm 5</t>
        </is>
      </c>
      <c r="C42" s="691" t="inlineStr">
        <is>
          <t>Leodalis De Vries</t>
        </is>
      </c>
      <c r="F42" s="692" t="n">
        <v>2</v>
      </c>
      <c r="G42" s="332" t="n">
        <v>2024</v>
      </c>
      <c r="I42" s="333" t="inlineStr">
        <is>
          <t>No</t>
        </is>
      </c>
      <c r="J42" s="444" t="n"/>
      <c r="K42" s="622" t="n"/>
      <c r="L42" s="29" t="n"/>
      <c r="M42" s="824" t="inlineStr">
        <is>
          <t>13th player contract --&gt;&gt;</t>
        </is>
      </c>
      <c r="N42" s="622" t="n"/>
      <c r="O42" s="527" t="n"/>
      <c r="P42" s="616" t="n"/>
      <c r="Q42" s="186" t="n"/>
      <c r="R42" s="146" t="n"/>
      <c r="S42" s="188" t="n"/>
      <c r="T42" s="79" t="n"/>
      <c r="U42" s="803" t="n"/>
      <c r="V42" s="127" t="n"/>
      <c r="W42" s="821">
        <f>Y42-$B$1</f>
        <v/>
      </c>
      <c r="X42" s="139" t="n"/>
      <c r="Y42" s="86">
        <f>S42+U42</f>
        <v/>
      </c>
      <c r="Z42" s="71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D42" s="48" t="n"/>
      <c r="AE42" s="604" t="n"/>
      <c r="AF42" s="50" t="n"/>
      <c r="AH42" s="48" t="n"/>
      <c r="AI42" s="604" t="n"/>
      <c r="AJ42" s="30" t="n"/>
      <c r="AL42" s="48" t="n"/>
      <c r="AM42" s="604" t="n"/>
      <c r="AN42" s="50" t="n"/>
      <c r="AO42" s="49" t="n"/>
      <c r="AP42" s="48" t="n"/>
      <c r="AQ42" s="604" t="n"/>
      <c r="AR42" s="50" t="n"/>
      <c r="AS42" s="49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693" t="n"/>
      <c r="F43" s="309" t="n"/>
      <c r="G43" s="405" t="n"/>
      <c r="I43" s="445" t="n"/>
      <c r="J43" s="444" t="n"/>
      <c r="K43" s="622" t="n"/>
      <c r="L43" s="29" t="n"/>
      <c r="M43" s="702" t="n"/>
      <c r="N43" s="622" t="n"/>
      <c r="P43" s="616" t="n"/>
      <c r="R43" s="146" t="n"/>
      <c r="T43" s="79" t="n"/>
      <c r="U43" s="771" t="n"/>
      <c r="V43" s="127" t="n"/>
      <c r="W43" s="823" t="n"/>
      <c r="X43" s="139" t="n"/>
      <c r="Z43" s="71" t="n"/>
      <c r="AA43" s="619" t="n"/>
      <c r="AB43" s="622" t="n"/>
      <c r="AC43" s="49" t="n"/>
      <c r="AD43" s="48" t="n"/>
      <c r="AE43" s="604" t="n"/>
      <c r="AF43" s="50" t="n"/>
      <c r="AG43" s="49" t="n"/>
      <c r="AH43" s="48" t="n"/>
      <c r="AI43" s="604" t="n"/>
      <c r="AJ43" s="50" t="n"/>
      <c r="AK43" s="49" t="n"/>
      <c r="AL43" s="48" t="n"/>
      <c r="AM43" s="604" t="n"/>
      <c r="AN43" s="50" t="n"/>
      <c r="AO43" s="49" t="n"/>
      <c r="AP43" s="48" t="n"/>
      <c r="AQ43" s="604" t="n"/>
      <c r="AR43" s="50" t="n"/>
      <c r="AS43" s="49" t="n"/>
      <c r="AT43" s="48" t="n"/>
      <c r="AU43" s="604" t="n"/>
    </row>
    <row r="44" ht="11.25" customHeight="1" s="26">
      <c r="A44" s="622" t="n"/>
      <c r="B44" s="231" t="inlineStr">
        <is>
          <t>Farm 7</t>
        </is>
      </c>
      <c r="C44" s="550" t="n"/>
      <c r="F44" s="367" t="n"/>
      <c r="G44" s="405" t="n"/>
      <c r="I44" s="445" t="n"/>
      <c r="J44" s="444" t="n"/>
      <c r="K44" s="62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526" t="n"/>
      <c r="V44" s="622" t="n"/>
      <c r="W44" s="622" t="n"/>
      <c r="X44" s="622" t="n"/>
      <c r="Y44" s="622" t="n"/>
      <c r="Z44" s="622" t="n"/>
      <c r="AA44" s="164" t="n"/>
      <c r="AB44" s="622" t="n"/>
      <c r="AC44" s="49" t="n"/>
      <c r="AD44" s="48" t="n"/>
      <c r="AE44" s="604" t="n"/>
      <c r="AF44" s="50" t="n"/>
      <c r="AG44" s="49" t="n"/>
      <c r="AH44" s="48" t="n"/>
      <c r="AI44" s="604" t="n"/>
      <c r="AJ44" s="50" t="n"/>
      <c r="AK44" s="49" t="n"/>
      <c r="AL44" s="48" t="n"/>
      <c r="AM44" s="604" t="n"/>
      <c r="AN44" s="50" t="n"/>
      <c r="AO44" s="49" t="n"/>
      <c r="AP44" s="48" t="n"/>
      <c r="AQ44" s="604" t="n"/>
      <c r="AR44" s="50" t="n"/>
      <c r="AS44" s="49" t="n"/>
      <c r="AT44" s="48" t="n"/>
      <c r="AU44" s="604" t="n"/>
    </row>
    <row r="45" ht="11.25" customHeight="1" s="26">
      <c r="A45" s="622" t="n"/>
      <c r="B45" s="231" t="inlineStr">
        <is>
          <t>Farm 8</t>
        </is>
      </c>
      <c r="C45" s="550" t="n"/>
      <c r="F45" s="367" t="n"/>
      <c r="G45" s="405" t="n"/>
      <c r="I45" s="445" t="n"/>
      <c r="J45" s="444" t="n"/>
      <c r="K45" s="622" t="n"/>
      <c r="L45" s="29" t="n"/>
      <c r="M45" s="824" t="inlineStr">
        <is>
          <t>14th player contract --&gt;&gt;</t>
        </is>
      </c>
      <c r="N45" s="71" t="n"/>
      <c r="O45" s="527" t="n"/>
      <c r="P45" s="616" t="n"/>
      <c r="Q45" s="186" t="n"/>
      <c r="R45" s="146" t="n"/>
      <c r="S45" s="188" t="n"/>
      <c r="T45" s="79" t="n"/>
      <c r="U45" s="803" t="n"/>
      <c r="V45" s="127" t="n"/>
      <c r="W45" s="821">
        <f>Y45-$B$1</f>
        <v/>
      </c>
      <c r="X45" s="139" t="n"/>
      <c r="Y45" s="86">
        <f>S45+U45</f>
        <v/>
      </c>
      <c r="Z45" s="71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H45" s="48" t="n"/>
      <c r="AI45" s="604" t="n"/>
      <c r="AJ45" s="50" t="n"/>
      <c r="AK45" s="49" t="n"/>
      <c r="AL45" s="48" t="n"/>
      <c r="AM45" s="604" t="n"/>
      <c r="AN45" s="50" t="n"/>
      <c r="AO45" s="49" t="n"/>
      <c r="AP45" s="48" t="n"/>
      <c r="AQ45" s="604" t="n"/>
      <c r="AR45" s="50" t="n"/>
      <c r="AS45" s="49" t="n"/>
      <c r="AT45" s="48" t="n"/>
      <c r="AU45" s="604" t="n"/>
    </row>
    <row r="46" ht="11.25" customHeight="1" s="26">
      <c r="A46" s="622" t="n"/>
      <c r="B46" s="231" t="inlineStr">
        <is>
          <t>Farm 9</t>
        </is>
      </c>
      <c r="C46" s="693" t="n"/>
      <c r="F46" s="309" t="n"/>
      <c r="G46" s="405" t="n"/>
      <c r="I46" s="445" t="n"/>
      <c r="J46" s="444" t="n"/>
      <c r="K46" s="622" t="n"/>
      <c r="L46" s="29" t="n"/>
      <c r="M46" s="702" t="n"/>
      <c r="N46" s="71" t="n"/>
      <c r="P46" s="616" t="n"/>
      <c r="R46" s="146" t="n"/>
      <c r="T46" s="79" t="n"/>
      <c r="U46" s="771" t="n"/>
      <c r="V46" s="127" t="n"/>
      <c r="W46" s="823" t="n"/>
      <c r="X46" s="139" t="n"/>
      <c r="Z46" s="71" t="n"/>
      <c r="AA46" s="619" t="n"/>
      <c r="AB46" s="622" t="n"/>
      <c r="AC46" s="49" t="n"/>
      <c r="AD46" s="48" t="n"/>
      <c r="AE46" s="604" t="n"/>
      <c r="AF46" s="50" t="n"/>
      <c r="AG46" s="49" t="n"/>
      <c r="AH46" s="48" t="n"/>
      <c r="AI46" s="604" t="n"/>
      <c r="AJ46" s="50" t="n"/>
      <c r="AK46" s="49" t="n"/>
      <c r="AL46" s="48" t="n"/>
      <c r="AM46" s="604" t="n"/>
      <c r="AN46" s="50" t="n"/>
      <c r="AO46" s="49" t="n"/>
      <c r="AP46" s="48" t="n"/>
      <c r="AQ46" s="604" t="n"/>
      <c r="AR46" s="50" t="n"/>
      <c r="AS46" s="49" t="n"/>
      <c r="AT46" s="48" t="n"/>
      <c r="AU46" s="604" t="n"/>
    </row>
    <row r="47" ht="11.25" customHeight="1" s="26">
      <c r="A47" s="622" t="n"/>
      <c r="B47" s="231" t="inlineStr">
        <is>
          <t>Farm 10</t>
        </is>
      </c>
      <c r="C47" s="693" t="n"/>
      <c r="F47" s="309" t="n"/>
      <c r="G47" s="405" t="n"/>
      <c r="I47" s="445" t="n"/>
      <c r="J47" s="444" t="n"/>
      <c r="K47" s="622" t="n"/>
      <c r="L47" s="29" t="n"/>
      <c r="M47" s="172" t="n"/>
      <c r="N47" s="622" t="n"/>
      <c r="O47" s="616" t="n"/>
      <c r="P47" s="616" t="n"/>
      <c r="Q47" s="146" t="n"/>
      <c r="R47" s="146" t="n"/>
      <c r="S47" s="616" t="n"/>
      <c r="T47" s="616" t="n"/>
      <c r="U47" s="538" t="n"/>
      <c r="V47" s="622" t="n"/>
      <c r="W47" s="251" t="n"/>
      <c r="X47" s="622" t="n"/>
      <c r="Y47" s="141" t="n"/>
      <c r="Z47" s="622" t="n"/>
      <c r="AA47" s="143" t="n"/>
      <c r="AB47" s="622" t="n"/>
      <c r="AC47" s="49" t="n"/>
      <c r="AD47" s="48" t="n"/>
      <c r="AE47" s="604" t="n"/>
      <c r="AF47" s="50" t="n"/>
      <c r="AG47" s="49" t="n"/>
      <c r="AH47" s="48" t="n"/>
      <c r="AI47" s="604" t="n"/>
      <c r="AJ47" s="50" t="n"/>
      <c r="AK47" s="49" t="n"/>
      <c r="AL47" s="48" t="n"/>
      <c r="AM47" s="604" t="n"/>
      <c r="AN47" s="50" t="n"/>
      <c r="AO47" s="49" t="n"/>
      <c r="AR47" s="50" t="n"/>
      <c r="AT47" s="48" t="n"/>
      <c r="AU47" s="604" t="n"/>
    </row>
    <row r="48" ht="11.25" customHeight="1" s="26">
      <c r="A48" s="622" t="n"/>
      <c r="B48" s="231" t="inlineStr">
        <is>
          <t>Farm 11</t>
        </is>
      </c>
      <c r="C48" s="690" t="n"/>
      <c r="F48" s="244" t="n"/>
      <c r="G48" s="351" t="n"/>
      <c r="I48" s="352" t="n"/>
      <c r="J48" s="444" t="n"/>
      <c r="K48" s="622" t="n"/>
      <c r="L48" s="29" t="n"/>
      <c r="M48" s="824" t="inlineStr">
        <is>
          <t>15th player contract --&gt;&gt;</t>
        </is>
      </c>
      <c r="N48" s="622" t="n"/>
      <c r="O48" s="527" t="n"/>
      <c r="P48" s="541" t="n"/>
      <c r="Q48" s="186" t="n"/>
      <c r="R48" s="542" t="n"/>
      <c r="S48" s="188" t="n"/>
      <c r="T48" s="543" t="n"/>
      <c r="U48" s="803" t="n"/>
      <c r="V48" s="127" t="n"/>
      <c r="W48" s="821">
        <f>Y48-$B$1</f>
        <v/>
      </c>
      <c r="X48" s="139" t="n"/>
      <c r="Y48" s="86">
        <f>S48+U48</f>
        <v/>
      </c>
      <c r="Z48" s="71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C48" s="49" t="n"/>
      <c r="AD48" s="48" t="n"/>
      <c r="AE48" s="604" t="n"/>
      <c r="AF48" s="50" t="n"/>
      <c r="AG48" s="49" t="n"/>
      <c r="AH48" s="48" t="n"/>
      <c r="AI48" s="604" t="n"/>
      <c r="AJ48" s="50" t="n"/>
      <c r="AK48" s="49" t="n"/>
      <c r="AL48" s="48" t="n"/>
      <c r="AM48" s="604" t="n"/>
      <c r="AN48" s="50" t="n"/>
      <c r="AO48" s="49" t="n"/>
      <c r="AP48" s="48" t="n"/>
      <c r="AQ48" s="604" t="n"/>
      <c r="AR48" s="50" t="n"/>
      <c r="AT48" s="48" t="n"/>
      <c r="AU48" s="604" t="n"/>
    </row>
    <row r="49" ht="11.25" customHeight="1" s="26">
      <c r="A49" s="622" t="n"/>
      <c r="B49" s="231" t="inlineStr">
        <is>
          <t>Farm 12</t>
        </is>
      </c>
      <c r="C49" s="690" t="n"/>
      <c r="F49" s="309" t="n"/>
      <c r="G49" s="405" t="n"/>
      <c r="I49" s="445" t="n"/>
      <c r="J49" s="618" t="n"/>
      <c r="K49" s="293" t="n"/>
      <c r="L49" s="29" t="n"/>
      <c r="M49" s="702" t="n"/>
      <c r="N49" s="622" t="n"/>
      <c r="P49" s="541" t="n"/>
      <c r="R49" s="542" t="n"/>
      <c r="T49" s="543" t="n"/>
      <c r="U49" s="771" t="n"/>
      <c r="V49" s="127" t="n"/>
      <c r="W49" s="823" t="n"/>
      <c r="X49" s="139" t="n"/>
      <c r="Z49" s="71" t="n"/>
      <c r="AA49" s="619" t="n"/>
      <c r="AB49" s="622" t="n"/>
      <c r="AD49" s="48" t="n"/>
      <c r="AE49" s="604" t="n"/>
      <c r="AF49" s="50" t="n"/>
      <c r="AG49" s="49" t="n"/>
      <c r="AJ49" s="50" t="n"/>
      <c r="AK49" s="49" t="n"/>
      <c r="AL49" s="48" t="n"/>
      <c r="AM49" s="604" t="n"/>
      <c r="AN49" s="30" t="n"/>
      <c r="AP49" s="48" t="n"/>
      <c r="AQ49" s="604" t="n"/>
      <c r="AR49" s="30" t="n"/>
      <c r="AT49" s="48" t="n"/>
      <c r="AU49" s="604" t="n"/>
    </row>
    <row r="50" ht="11.25" customHeight="1" s="26">
      <c r="A50" s="622" t="n"/>
      <c r="B50" s="231" t="inlineStr">
        <is>
          <t>Farm 13</t>
        </is>
      </c>
      <c r="C50" s="690" t="n"/>
      <c r="F50" s="309" t="n"/>
      <c r="G50" s="405" t="n"/>
      <c r="I50" s="445" t="n"/>
      <c r="J50" s="618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694" t="n"/>
      <c r="V50" s="296" t="n"/>
      <c r="W50" s="296" t="n"/>
      <c r="X50" s="296" t="n"/>
      <c r="Y50" s="296" t="n"/>
      <c r="Z50" s="296" t="n"/>
      <c r="AA50" s="298" t="n"/>
      <c r="AB50" s="622" t="n"/>
      <c r="AD50" s="48" t="n"/>
      <c r="AE50" s="604" t="n"/>
      <c r="AF50" s="50" t="n"/>
      <c r="AG50" s="49" t="n"/>
      <c r="AH50" s="48" t="n"/>
      <c r="AI50" s="604" t="n"/>
      <c r="AJ50" s="50" t="n"/>
      <c r="AK50" s="49" t="n"/>
      <c r="AL50" s="48" t="n"/>
      <c r="AM50" s="604" t="n"/>
      <c r="AN50" s="30" t="n"/>
      <c r="AP50" s="48" t="n"/>
      <c r="AQ50" s="604" t="n"/>
      <c r="AR50" s="30" t="n"/>
      <c r="AT50" s="48" t="n"/>
      <c r="AU50" s="604" t="n"/>
    </row>
    <row r="51" ht="11.25" customHeight="1" s="26">
      <c r="A51" s="622" t="n"/>
      <c r="B51" s="231" t="inlineStr">
        <is>
          <t>Farm 14</t>
        </is>
      </c>
      <c r="C51" s="550" t="n"/>
      <c r="F51" s="309" t="n"/>
      <c r="G51" s="405" t="n"/>
      <c r="I51" s="445" t="n"/>
      <c r="J51" s="618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139" t="n"/>
      <c r="Y51" s="828" t="n"/>
      <c r="Z51" s="71" t="n"/>
      <c r="AA51" s="685" t="n"/>
      <c r="AB51" s="622" t="n"/>
      <c r="AD51" s="48" t="n"/>
      <c r="AE51" s="604" t="n"/>
      <c r="AF51" s="30" t="n"/>
      <c r="AJ51" s="30" t="n"/>
      <c r="AL51" s="48" t="n"/>
      <c r="AM51" s="604" t="n"/>
      <c r="AN51" s="30" t="n"/>
      <c r="AP51" s="48" t="n"/>
      <c r="AQ51" s="604" t="n"/>
      <c r="AR51" s="30" t="n"/>
    </row>
    <row r="52" ht="11.25" customHeight="1" s="26">
      <c r="B52" s="231" t="inlineStr">
        <is>
          <t>Farm 15</t>
        </is>
      </c>
      <c r="C52" s="443" t="n"/>
      <c r="F52" s="367" t="n"/>
      <c r="G52" s="405" t="n"/>
      <c r="I52" s="445" t="n"/>
      <c r="J52" s="446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139" t="n"/>
      <c r="Z52" s="71" t="n"/>
      <c r="AB52" s="622" t="n"/>
      <c r="AD52" s="48" t="n"/>
      <c r="AE52" s="604" t="n"/>
      <c r="AF52" s="30" t="n"/>
      <c r="AJ52" s="30" t="n"/>
      <c r="AL52" s="48" t="n"/>
      <c r="AM52" s="604" t="n"/>
      <c r="AN52" s="30" t="n"/>
      <c r="AP52" s="48" t="n"/>
      <c r="AQ52" s="604" t="n"/>
      <c r="AR52" s="30" t="n"/>
    </row>
    <row r="53" ht="11.25" customHeight="1" s="26">
      <c r="A53" s="622" t="n"/>
      <c r="B53" s="231" t="inlineStr">
        <is>
          <t>Farm 16</t>
        </is>
      </c>
      <c r="C53" s="443" t="n"/>
      <c r="F53" s="367" t="n"/>
      <c r="G53" s="405" t="n"/>
      <c r="I53" s="445" t="n"/>
      <c r="J53" s="446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139" t="n"/>
      <c r="Z53" s="71" t="n"/>
      <c r="AB53" s="622" t="n"/>
      <c r="AD53" s="48" t="n"/>
      <c r="AE53" s="604" t="n"/>
      <c r="AF53" s="30" t="n"/>
      <c r="AJ53" s="30" t="n"/>
      <c r="AL53" s="48" t="n"/>
      <c r="AM53" s="604" t="n"/>
      <c r="AN53" s="30" t="n"/>
      <c r="AP53" s="48" t="n"/>
      <c r="AQ53" s="604" t="n"/>
      <c r="AR53" s="30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50" t="n"/>
      <c r="AG54" s="49" t="n"/>
      <c r="AJ54" s="30" t="n"/>
      <c r="AL54" s="48" t="n"/>
      <c r="AM54" s="604" t="n"/>
      <c r="AN54" s="30" t="n"/>
      <c r="AP54" s="48" t="n"/>
      <c r="AQ54" s="604" t="n"/>
      <c r="AR54" s="30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527" t="inlineStr">
        <is>
          <t>Bo Naylor</t>
        </is>
      </c>
      <c r="P55" s="523" t="n"/>
      <c r="Q55" s="186" t="n">
        <v>0</v>
      </c>
      <c r="R55" s="75" t="n"/>
      <c r="S55" s="188" t="n">
        <v>2023</v>
      </c>
      <c r="T55" s="523" t="n"/>
      <c r="U55" s="865" t="n">
        <v>3</v>
      </c>
      <c r="V55" s="82" t="n"/>
      <c r="W55" s="821">
        <f>Y55-$B$1</f>
        <v/>
      </c>
      <c r="X55" s="622" t="n"/>
      <c r="Y55" s="86">
        <f>S55+U55</f>
        <v/>
      </c>
      <c r="Z55" s="622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D55" s="48" t="n"/>
      <c r="AE55" s="604" t="n"/>
      <c r="AF55" s="30" t="n"/>
      <c r="AJ55" s="30" t="n"/>
      <c r="AL55" s="48" t="n"/>
      <c r="AM55" s="604" t="n"/>
      <c r="AN55" s="30" t="n"/>
      <c r="AP55" s="48" t="n"/>
      <c r="AQ55" s="604" t="n"/>
      <c r="AR55" s="30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523" t="n"/>
      <c r="R56" s="75" t="n"/>
      <c r="T56" s="523" t="n"/>
      <c r="U56" s="823" t="n"/>
      <c r="V56" s="82" t="n"/>
      <c r="W56" s="823" t="n"/>
      <c r="X56" s="622" t="n"/>
      <c r="Z56" s="622" t="n"/>
      <c r="AA56" s="619" t="n"/>
      <c r="AB56" s="622" t="n"/>
      <c r="AC56" s="49" t="n"/>
      <c r="AD56" s="48" t="n"/>
      <c r="AE56" s="604" t="n"/>
      <c r="AF56" s="312" t="n"/>
      <c r="AG56" s="48" t="n"/>
      <c r="AJ56" s="312" t="n"/>
      <c r="AK56" s="48" t="n"/>
      <c r="AL56" s="48" t="n"/>
      <c r="AM56" s="604" t="n"/>
      <c r="AN56" s="312" t="n"/>
      <c r="AO56" s="48" t="n"/>
      <c r="AP56" s="48" t="n"/>
      <c r="AQ56" s="604" t="n"/>
      <c r="AR56" s="312" t="n"/>
      <c r="AS56" s="48" t="n"/>
      <c r="AT56" s="48" t="n"/>
      <c r="AU56" s="48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562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312" t="n"/>
      <c r="AG57" s="48" t="n"/>
      <c r="AJ57" s="312" t="n"/>
      <c r="AK57" s="48" t="n"/>
      <c r="AL57" s="48" t="n"/>
      <c r="AM57" s="604" t="n"/>
      <c r="AN57" s="312" t="n"/>
      <c r="AO57" s="48" t="n"/>
      <c r="AP57" s="48" t="n"/>
      <c r="AQ57" s="604" t="n"/>
      <c r="AR57" s="312" t="n"/>
      <c r="AS57" s="48" t="n"/>
      <c r="AT57" s="48" t="n"/>
      <c r="AU57" s="48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336" t="n"/>
      <c r="AG58" s="48" t="n"/>
      <c r="AJ58" s="336" t="n"/>
      <c r="AK58" s="48" t="n"/>
      <c r="AL58" s="48" t="n"/>
      <c r="AM58" s="604" t="n"/>
      <c r="AN58" s="336" t="n"/>
      <c r="AO58" s="48" t="n"/>
      <c r="AP58" s="48" t="n"/>
      <c r="AQ58" s="604" t="n"/>
      <c r="AR58" s="336" t="n"/>
      <c r="AS58" s="48" t="n"/>
      <c r="AT58" s="48" t="n"/>
      <c r="AU58" s="312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336" t="n"/>
      <c r="AG59" s="48" t="n"/>
      <c r="AJ59" s="336" t="n"/>
      <c r="AK59" s="48" t="n"/>
      <c r="AL59" s="48" t="n"/>
      <c r="AM59" s="604" t="n"/>
      <c r="AN59" s="336" t="n"/>
      <c r="AO59" s="48" t="n"/>
      <c r="AP59" s="48" t="n"/>
      <c r="AQ59" s="604" t="n"/>
      <c r="AR59" s="336" t="n"/>
      <c r="AS59" s="48" t="n"/>
      <c r="AT59" s="48" t="n"/>
      <c r="AU59" s="312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J60" s="336" t="n"/>
      <c r="AK60" s="48" t="n"/>
      <c r="AL60" s="48" t="n"/>
      <c r="AM60" s="604" t="n"/>
      <c r="AN60" s="336" t="n"/>
      <c r="AO60" s="48" t="n"/>
      <c r="AP60" s="48" t="n"/>
      <c r="AQ60" s="604" t="n"/>
      <c r="AR60" s="336" t="n"/>
      <c r="AS60" s="48" t="n"/>
      <c r="AT60" s="48" t="n"/>
      <c r="AU60" s="312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336" t="n"/>
      <c r="AK61" s="48" t="n"/>
      <c r="AL61" s="48" t="n"/>
      <c r="AM61" s="604" t="n"/>
      <c r="AN61" s="336" t="n"/>
      <c r="AO61" s="48" t="n"/>
      <c r="AP61" s="48" t="n"/>
      <c r="AQ61" s="604" t="n"/>
      <c r="AR61" s="336" t="n"/>
      <c r="AS61" s="48" t="n"/>
      <c r="AT61" s="48" t="n"/>
      <c r="AU61" s="312" t="n"/>
    </row>
    <row r="62" ht="11.25" customHeight="1" s="26">
      <c r="A62" s="622" t="n"/>
      <c r="B62" s="486" t="inlineStr">
        <is>
          <t>Buyout 4</t>
        </is>
      </c>
      <c r="C62" s="559">
        <f>IF($AA$78&gt;0,$O$76,"")</f>
        <v/>
      </c>
      <c r="D62" s="759" t="n"/>
      <c r="E62" s="759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695" t="inlineStr">
        <is>
          <t>Bobby Miller</t>
        </is>
      </c>
      <c r="P62" s="139" t="n"/>
      <c r="Q62" s="471" t="n">
        <v>1</v>
      </c>
      <c r="R62" s="67" t="n"/>
      <c r="S62" s="458" t="n">
        <v>2023</v>
      </c>
      <c r="T62" s="215" t="n"/>
      <c r="U62" s="820" t="n">
        <v>4</v>
      </c>
      <c r="V62" s="622" t="n"/>
      <c r="W62" s="821">
        <f>Y62-$B$1</f>
        <v/>
      </c>
      <c r="X62" s="622" t="n"/>
      <c r="Y62" s="86">
        <f>S62+U62</f>
        <v/>
      </c>
      <c r="Z62" s="622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C62" s="49" t="n"/>
      <c r="AD62" s="48" t="n"/>
      <c r="AE62" s="604" t="n"/>
      <c r="AF62" s="50" t="n"/>
      <c r="AG62" s="49" t="n"/>
      <c r="AH62" s="48" t="n"/>
      <c r="AI62" s="604" t="n"/>
      <c r="AJ62" s="50" t="n"/>
      <c r="AK62" s="49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49" t="n"/>
      <c r="F63" s="849" t="n"/>
      <c r="I63" s="849" t="n"/>
      <c r="L63" s="622" t="n"/>
      <c r="M63" s="702" t="n"/>
      <c r="N63" s="337" t="n"/>
      <c r="P63" s="139" t="n"/>
      <c r="R63" s="67" t="n"/>
      <c r="T63" s="215" t="n"/>
      <c r="U63" s="823" t="n"/>
      <c r="V63" s="622" t="n"/>
      <c r="W63" s="823" t="n"/>
      <c r="X63" s="622" t="n"/>
      <c r="Z63" s="622" t="n"/>
      <c r="AA63" s="619" t="n"/>
      <c r="AB63" s="622" t="n"/>
      <c r="AC63" s="49" t="n"/>
      <c r="AD63" s="48" t="n"/>
      <c r="AE63" s="604" t="n"/>
      <c r="AF63" s="50" t="n"/>
      <c r="AG63" s="49" t="n"/>
      <c r="AH63" s="48" t="n"/>
      <c r="AI63" s="604" t="n"/>
      <c r="AJ63" s="50" t="n"/>
      <c r="AK63" s="49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>
        <v>2025</v>
      </c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C64" s="49" t="n"/>
      <c r="AD64" s="48" t="n"/>
      <c r="AE64" s="604" t="n"/>
      <c r="AF64" s="50" t="n"/>
      <c r="AG64" s="49" t="n"/>
      <c r="AH64" s="48" t="n"/>
      <c r="AI64" s="604" t="n"/>
      <c r="AJ64" s="50" t="n"/>
      <c r="AK64" s="49" t="n"/>
      <c r="AL64" s="48" t="n"/>
      <c r="AM64" s="604" t="n"/>
      <c r="AN64" s="50" t="n"/>
      <c r="AO64" s="49" t="n"/>
      <c r="AP64" s="48" t="n"/>
      <c r="AQ64" s="604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C65" s="49" t="n"/>
      <c r="AD65" s="48" t="n"/>
      <c r="AE65" s="604" t="n"/>
      <c r="AF65" s="50" t="n"/>
      <c r="AG65" s="49" t="n"/>
      <c r="AH65" s="48" t="n"/>
      <c r="AI65" s="604" t="n"/>
      <c r="AJ65" s="50" t="n"/>
      <c r="AK65" s="49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C66" s="49" t="n"/>
      <c r="AD66" s="48" t="n"/>
      <c r="AE66" s="604" t="n"/>
      <c r="AF66" s="50" t="n"/>
      <c r="AG66" s="49" t="n"/>
      <c r="AJ66" s="50" t="n"/>
      <c r="AK66" s="49" t="n"/>
      <c r="AL66" s="48" t="n"/>
      <c r="AM66" s="604" t="n"/>
      <c r="AN66" s="50" t="n"/>
      <c r="AO66" s="49" t="n"/>
      <c r="AP66" s="48" t="n"/>
      <c r="AQ66" s="604" t="n"/>
      <c r="AR66" s="50" t="n"/>
      <c r="AS66" s="49" t="n"/>
      <c r="AT66" s="48" t="n"/>
      <c r="AU66" s="604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C67" s="49" t="n"/>
      <c r="AD67" s="48" t="n"/>
      <c r="AE67" s="604" t="n"/>
      <c r="AF67" s="50" t="n"/>
      <c r="AG67" s="49" t="n"/>
      <c r="AH67" s="48" t="n"/>
      <c r="AI67" s="604" t="n"/>
      <c r="AJ67" s="50" t="n"/>
      <c r="AK67" s="49" t="n"/>
      <c r="AL67" s="48" t="n"/>
      <c r="AM67" s="604" t="n"/>
      <c r="AN67" s="50" t="n"/>
      <c r="AO67" s="49" t="n"/>
      <c r="AP67" s="48" t="n"/>
      <c r="AQ67" s="604" t="n"/>
      <c r="AR67" s="50" t="n"/>
      <c r="AS67" s="49" t="n"/>
      <c r="AT67" s="48" t="n"/>
      <c r="AU67" s="604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622" t="n"/>
      <c r="P68" s="622" t="n"/>
      <c r="Q68" s="622" t="n"/>
      <c r="R68" s="622" t="n"/>
      <c r="S68" s="622" t="n"/>
      <c r="T68" s="622" t="n"/>
      <c r="U68" s="622" t="n"/>
      <c r="V68" s="622" t="n"/>
      <c r="W68" s="622" t="n"/>
      <c r="X68" s="622" t="n"/>
      <c r="Y68" s="622" t="n"/>
      <c r="Z68" s="622" t="n"/>
      <c r="AA68" s="622" t="n"/>
      <c r="AB68" s="622" t="n"/>
      <c r="AC68" s="49" t="n"/>
      <c r="AD68" s="48" t="n"/>
      <c r="AE68" s="604" t="n"/>
      <c r="AF68" s="50" t="n"/>
      <c r="AG68" s="49" t="n"/>
      <c r="AH68" s="48" t="n"/>
      <c r="AI68" s="604" t="n"/>
      <c r="AJ68" s="50" t="n"/>
      <c r="AK68" s="49" t="n"/>
      <c r="AL68" s="48" t="n"/>
      <c r="AM68" s="604" t="n"/>
      <c r="AN68" s="50" t="n"/>
      <c r="AO68" s="49" t="n"/>
      <c r="AP68" s="48" t="n"/>
      <c r="AQ68" s="604" t="n"/>
      <c r="AR68" s="50" t="n"/>
      <c r="AS68" s="49" t="n"/>
      <c r="AT68" s="48" t="n"/>
      <c r="AU68" s="604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695" t="inlineStr">
        <is>
          <t>Michael Toglia</t>
        </is>
      </c>
      <c r="P69" s="323" t="n"/>
      <c r="Q69" s="832" t="n">
        <v>1</v>
      </c>
      <c r="R69" s="325" t="n"/>
      <c r="S69" s="833" t="n">
        <v>2024</v>
      </c>
      <c r="T69" s="327" t="n"/>
      <c r="U69" s="834" t="n">
        <v>3</v>
      </c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C69" s="49" t="n"/>
      <c r="AD69" s="48" t="n"/>
      <c r="AE69" s="604" t="n"/>
      <c r="AF69" s="50" t="n"/>
      <c r="AG69" s="49" t="n"/>
      <c r="AH69" s="48" t="n"/>
      <c r="AI69" s="604" t="n"/>
      <c r="AJ69" s="50" t="n"/>
      <c r="AK69" s="49" t="n"/>
      <c r="AL69" s="48" t="n"/>
      <c r="AM69" s="604" t="n"/>
      <c r="AN69" s="50" t="n"/>
      <c r="AO69" s="49" t="n"/>
      <c r="AP69" s="48" t="n"/>
      <c r="AQ69" s="604" t="n"/>
      <c r="AR69" s="50" t="n"/>
      <c r="AS69" s="49" t="n"/>
      <c r="AT69" s="48" t="n"/>
      <c r="AU69" s="604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P70" s="339" t="n"/>
      <c r="Q70" s="779" t="n"/>
      <c r="R70" s="340" t="n"/>
      <c r="S70" s="779" t="n"/>
      <c r="T70" s="341" t="n"/>
      <c r="U70" s="779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>
        <v>2025</v>
      </c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50" t="n"/>
      <c r="AO71" s="49" t="n"/>
      <c r="AP71" s="48" t="n"/>
      <c r="AQ71" s="604" t="n"/>
      <c r="AR71" s="50" t="n"/>
      <c r="AS71" s="49" t="n"/>
      <c r="AT71" s="48" t="n"/>
      <c r="AU71" s="604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604" t="n"/>
      <c r="AN72" s="50" t="n"/>
      <c r="AO72" s="49" t="n"/>
      <c r="AR72" s="50" t="n"/>
      <c r="AS72" s="49" t="n"/>
      <c r="AT72" s="48" t="n"/>
      <c r="AU72" s="604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50" t="n"/>
      <c r="AO73" s="49" t="n"/>
      <c r="AP73" s="48" t="n"/>
      <c r="AQ73" s="604" t="n"/>
      <c r="AR73" s="50" t="n"/>
      <c r="AS73" s="49" t="n"/>
      <c r="AT73" s="48" t="n"/>
      <c r="AU73" s="604" t="n"/>
    </row>
    <row r="74" ht="11.25" customHeight="1" s="26">
      <c r="C74" t="inlineStr">
        <is>
          <t>2016 Farm Picks: 2</t>
        </is>
      </c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30" t="n"/>
      <c r="AR74" s="30" t="n"/>
    </row>
    <row r="75" ht="11.25" customHeight="1" s="26">
      <c r="L75" s="622" t="n"/>
      <c r="M75" s="622" t="n"/>
      <c r="N75" s="622" t="n"/>
      <c r="O75" s="436" t="n"/>
      <c r="P75" s="622" t="n"/>
      <c r="Q75" s="436" t="n"/>
      <c r="R75" s="622" t="n"/>
      <c r="S75" s="436" t="n"/>
      <c r="T75" s="622" t="n"/>
      <c r="U75" s="436" t="n"/>
      <c r="V75" s="622" t="n"/>
      <c r="W75" s="622" t="n"/>
      <c r="X75" s="622" t="n"/>
      <c r="Y75" s="622" t="n"/>
      <c r="Z75" s="622" t="n"/>
      <c r="AA75" s="622" t="n"/>
      <c r="AB75" s="622" t="n"/>
      <c r="AF75" s="30" t="n"/>
      <c r="AJ75" s="30" t="n"/>
      <c r="AL75" s="48" t="n"/>
      <c r="AM75" s="481" t="n"/>
      <c r="AN75" s="30" t="n"/>
      <c r="AR75" s="30" t="n"/>
    </row>
    <row r="76" ht="11.25" customHeight="1" s="26">
      <c r="L76" s="622" t="n"/>
      <c r="M76" s="853" t="inlineStr">
        <is>
          <t>4th dropped contract</t>
        </is>
      </c>
      <c r="N76" s="321" t="n"/>
      <c r="O76" s="695" t="n"/>
      <c r="P76" s="696" t="n"/>
      <c r="Q76" s="636" t="n"/>
      <c r="R76" s="697" t="n"/>
      <c r="S76" s="638" t="n"/>
      <c r="T76" s="698" t="n"/>
      <c r="U76" s="880" t="n"/>
      <c r="V76" s="323" t="n"/>
      <c r="W76" s="835">
        <f>Y76-$B$1</f>
        <v/>
      </c>
      <c r="X76" s="323" t="n"/>
      <c r="Y76" s="836">
        <f>S76+U76</f>
        <v/>
      </c>
      <c r="Z76" s="335" t="n"/>
      <c r="AA76" s="96">
        <f>IF(S76&gt;=2014, IF(W76=0,0,IF(U76=1,Q76,IF(U76=2,Q76+5,IF(U76=3,Q76+10,IF(U76=4,Q76+15, IF(U76&gt;4,Q76+U76*4)))))), IF(W76=0,0,IF(U76=1,Q76,IF(U76=2,Q76+4,IF(U76=3,Q76+8,IF(U76&gt;3,Q76+U76*3))))))</f>
        <v/>
      </c>
      <c r="AB76" s="622" t="n"/>
      <c r="AF76" s="30" t="n"/>
      <c r="AJ76" s="30" t="n"/>
      <c r="AL76" s="48" t="n"/>
      <c r="AM76" s="604" t="n"/>
      <c r="AN76" s="50" t="n"/>
      <c r="AO76" s="49" t="n"/>
      <c r="AR76" s="30" t="n"/>
    </row>
    <row r="77" ht="11.25" customHeight="1" s="26">
      <c r="L77" s="622" t="n"/>
      <c r="M77" s="702" t="n"/>
      <c r="N77" s="337" t="n"/>
      <c r="P77" s="696" t="n"/>
      <c r="R77" s="697" t="n"/>
      <c r="T77" s="698" t="n"/>
      <c r="U77" s="823" t="n"/>
      <c r="V77" s="339" t="n"/>
      <c r="W77" s="779" t="n"/>
      <c r="X77" s="339" t="n"/>
      <c r="Y77" s="779" t="n"/>
      <c r="Z77" s="342" t="n"/>
      <c r="AA77" s="619" t="n"/>
      <c r="AB77" s="622" t="n"/>
      <c r="AF77" s="30" t="n"/>
      <c r="AJ77" s="30" t="n"/>
      <c r="AL77" s="48" t="n"/>
      <c r="AM77" s="604" t="n"/>
      <c r="AN77" s="50" t="n"/>
      <c r="AO77" s="49" t="n"/>
      <c r="AP77" s="48" t="n"/>
      <c r="AQ77" s="604" t="n"/>
      <c r="AR77" s="30" t="n"/>
    </row>
    <row r="78" ht="11.25" customHeight="1" s="26">
      <c r="L78" s="622" t="n"/>
      <c r="M78" s="344" t="inlineStr">
        <is>
          <t>Year Dropped</t>
        </is>
      </c>
      <c r="N78" s="768" t="n"/>
      <c r="O78" s="363" t="n"/>
      <c r="P78" s="837">
        <f>CONCATENATE($M$3," Penalty % ")</f>
        <v/>
      </c>
      <c r="Q78" s="768" t="n"/>
      <c r="R78" s="768" t="n"/>
      <c r="S78" s="768" t="n"/>
      <c r="T78" s="455" t="n"/>
      <c r="U78" s="839">
        <f>(0.7-0.1*($M$3-(O78+1)))</f>
        <v/>
      </c>
      <c r="V78" s="840">
        <f>CONCATENATE("Penalty in ",$M$3)</f>
        <v/>
      </c>
      <c r="W78" s="768" t="n"/>
      <c r="X78" s="768" t="n"/>
      <c r="Y78" s="768" t="n"/>
      <c r="Z78" s="768" t="n"/>
      <c r="AA78" s="841">
        <f>IF(Y76&gt;$B$1, ROUND(AA76*U78,0), 0)</f>
        <v/>
      </c>
      <c r="AB78" s="622" t="n"/>
      <c r="AF78" s="30" t="n"/>
      <c r="AJ78" s="30" t="n"/>
      <c r="AL78" s="48" t="n"/>
      <c r="AM78" s="604" t="n"/>
      <c r="AN78" s="50" t="n"/>
      <c r="AO78" s="49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363">
        <f>Y76</f>
        <v/>
      </c>
      <c r="P79" s="847" t="n"/>
      <c r="Q79" s="779" t="n"/>
      <c r="R79" s="779" t="n"/>
      <c r="S79" s="779" t="n"/>
      <c r="T79" s="463" t="n"/>
      <c r="U79" s="779" t="n"/>
      <c r="V79" s="779" t="n"/>
      <c r="W79" s="779" t="n"/>
      <c r="X79" s="779" t="n"/>
      <c r="Y79" s="779" t="n"/>
      <c r="Z79" s="779" t="n"/>
      <c r="AA79" s="848" t="n"/>
      <c r="AB79" s="622" t="n"/>
      <c r="AF79" s="30" t="n"/>
      <c r="AJ79" s="30" t="n"/>
      <c r="AL79" s="48" t="n"/>
      <c r="AM79" s="604" t="n"/>
      <c r="AN79" s="50" t="n"/>
      <c r="AO79" s="49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394">
        <f>O79-O78</f>
        <v/>
      </c>
      <c r="P80" s="395" t="n"/>
      <c r="Q80" s="396">
        <f>CONCATENATE("Penalty in ",$M$3+1)</f>
        <v/>
      </c>
      <c r="R80" s="768" t="n"/>
      <c r="S80" s="768" t="n"/>
      <c r="T80" s="397" t="n"/>
      <c r="U80" s="398">
        <f>IF(Y76&gt;$M$3,ROUND(AA76*(U78-0.1),0),0)</f>
        <v/>
      </c>
      <c r="V80" s="397" t="n"/>
      <c r="W80" s="396">
        <f>CONCATENATE("Penalty in ",$M$3+3)</f>
        <v/>
      </c>
      <c r="X80" s="768" t="n"/>
      <c r="Y80" s="768" t="n"/>
      <c r="Z80" s="397" t="n"/>
      <c r="AA80" s="401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410" t="n"/>
      <c r="P81" s="411" t="n"/>
      <c r="Q81" s="413">
        <f>CONCATENATE("Penalty in ",$M$3+2)</f>
        <v/>
      </c>
      <c r="R81" s="759" t="n"/>
      <c r="S81" s="759" t="n"/>
      <c r="T81" s="414" t="n"/>
      <c r="U81" s="418">
        <f>IF(Y76&gt;$M$3+1,ROUND(AA77*(U80-0.1),0),0)</f>
        <v/>
      </c>
      <c r="V81" s="414" t="n"/>
      <c r="W81" s="420" t="inlineStr">
        <is>
          <t>Total Penalty Left</t>
        </is>
      </c>
      <c r="X81" s="759" t="n"/>
      <c r="Y81" s="759" t="n"/>
      <c r="Z81" s="414" t="n"/>
      <c r="AA81" s="421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622" t="n"/>
      <c r="R82" s="622" t="n"/>
      <c r="S82" s="622" t="n"/>
      <c r="T82" s="622" t="n"/>
      <c r="U82" s="622" t="n"/>
      <c r="V82" s="622" t="n"/>
      <c r="W82" s="622" t="n"/>
      <c r="X82" s="622" t="n"/>
      <c r="Y82" s="622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P86" s="48" t="n"/>
      <c r="AQ86" s="604" t="n"/>
      <c r="AR86" s="50" t="n"/>
      <c r="AS86" s="49" t="n"/>
      <c r="AT86" s="48" t="n"/>
      <c r="AU86" s="604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P87" s="48" t="n"/>
      <c r="AQ87" s="604" t="n"/>
      <c r="AR87" s="50" t="n"/>
      <c r="AS87" s="49" t="n"/>
      <c r="AT87" s="48" t="n"/>
      <c r="AU87" s="604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604" t="n"/>
      <c r="AN88" s="30" t="n"/>
      <c r="AP88" s="48" t="n"/>
      <c r="AQ88" s="604" t="n"/>
      <c r="AR88" s="50" t="n"/>
      <c r="AS88" s="49" t="n"/>
      <c r="AT88" s="48" t="n"/>
      <c r="AU88" s="604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P89" s="48" t="n"/>
      <c r="AQ89" s="604" t="n"/>
      <c r="AR89" s="50" t="n"/>
      <c r="AS89" s="49" t="n"/>
      <c r="AT89" s="48" t="n"/>
      <c r="AU89" s="604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P90" s="48" t="n"/>
      <c r="AQ90" s="604" t="n"/>
      <c r="AR90" s="50" t="n"/>
      <c r="AS90" s="49" t="n"/>
      <c r="AT90" s="48" t="n"/>
      <c r="AU90" s="604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P91" s="48" t="n"/>
      <c r="AQ91" s="604" t="n"/>
      <c r="AR91" s="50" t="n"/>
      <c r="AS91" s="49" t="n"/>
      <c r="AT91" s="48" t="n"/>
      <c r="AU91" s="604" t="n"/>
    </row>
    <row r="92" ht="11.25" customHeight="1" s="26">
      <c r="P92" s="30" t="n"/>
      <c r="U92" s="30" t="n"/>
      <c r="V92" s="30" t="n"/>
      <c r="W92" s="30" t="n"/>
      <c r="X92" s="30" t="n"/>
      <c r="AF92" s="30" t="n"/>
      <c r="AJ92" s="30" t="n"/>
      <c r="AL92" s="48" t="n"/>
      <c r="AM92" s="604" t="n"/>
      <c r="AN92" s="30" t="n"/>
      <c r="AP92" s="48" t="n"/>
      <c r="AQ92" s="604" t="n"/>
      <c r="AR92" s="50" t="n"/>
      <c r="AS92" s="49" t="n"/>
      <c r="AT92" s="48" t="n"/>
      <c r="AU92" s="604" t="n"/>
    </row>
    <row r="93" ht="11.25" customHeight="1" s="26">
      <c r="P93" s="30" t="n"/>
      <c r="U93" s="30" t="n"/>
      <c r="V93" s="30" t="n"/>
      <c r="W93" s="30" t="n"/>
      <c r="X93" s="30" t="n"/>
      <c r="AF93" s="30" t="n"/>
      <c r="AJ93" s="30" t="n"/>
      <c r="AL93" s="48" t="n"/>
      <c r="AM93" s="604" t="n"/>
      <c r="AN93" s="30" t="n"/>
      <c r="AP93" s="48" t="n"/>
      <c r="AQ93" s="604" t="n"/>
      <c r="AR93" s="50" t="n"/>
      <c r="AS93" s="49" t="n"/>
      <c r="AT93" s="48" t="n"/>
      <c r="AU93" s="604" t="n"/>
    </row>
    <row r="94" ht="11.25" customHeight="1" s="26">
      <c r="P94" s="30" t="n"/>
      <c r="U94" s="30" t="n"/>
      <c r="V94" s="30" t="n"/>
      <c r="W94" s="30" t="n"/>
      <c r="X94" s="30" t="n"/>
      <c r="AF94" s="30" t="n"/>
      <c r="AJ94" s="30" t="n"/>
      <c r="AL94" s="48" t="n"/>
      <c r="AM94" s="604" t="n"/>
      <c r="AN94" s="30" t="n"/>
      <c r="AR94" s="30" t="n"/>
    </row>
    <row r="95" ht="11.25" customHeight="1" s="26">
      <c r="P95" s="30" t="n"/>
      <c r="U95" s="30" t="n"/>
      <c r="V95" s="30" t="n"/>
      <c r="W95" s="30" t="n"/>
      <c r="X95" s="30" t="n"/>
      <c r="AF95" s="30" t="n"/>
      <c r="AJ95" s="30" t="n"/>
      <c r="AL95" s="48" t="n"/>
      <c r="AM95" s="604" t="n"/>
      <c r="AN95" s="30" t="n"/>
      <c r="AR95" s="30" t="n"/>
    </row>
    <row r="96" ht="11.25" customHeight="1" s="26">
      <c r="P96" s="30" t="n"/>
      <c r="U96" s="30" t="n"/>
      <c r="V96" s="30" t="n"/>
      <c r="W96" s="30" t="n"/>
      <c r="X96" s="30" t="n"/>
      <c r="AF96" s="30" t="n"/>
      <c r="AJ96" s="30" t="n"/>
      <c r="AL96" s="48" t="n"/>
      <c r="AM96" s="481" t="n"/>
      <c r="AN96" s="30" t="n"/>
      <c r="AR96" s="30" t="n"/>
    </row>
    <row r="97" ht="11.25" customHeight="1" s="26">
      <c r="P97" s="30" t="n"/>
      <c r="U97" s="30" t="n"/>
      <c r="V97" s="30" t="n"/>
      <c r="W97" s="30" t="n"/>
      <c r="X97" s="30" t="n"/>
      <c r="AF97" s="30" t="n"/>
      <c r="AJ97" s="30" t="n"/>
      <c r="AL97" s="48" t="n"/>
      <c r="AM97" s="604" t="n"/>
      <c r="AN97" s="30" t="n"/>
      <c r="AR97" s="30" t="n"/>
    </row>
    <row r="98" ht="11.25" customHeight="1" s="26">
      <c r="P98" s="30" t="n"/>
      <c r="U98" s="30" t="n"/>
      <c r="V98" s="30" t="n"/>
      <c r="W98" s="30" t="n"/>
      <c r="X98" s="30" t="n"/>
      <c r="AF98" s="30" t="n"/>
      <c r="AJ98" s="30" t="n"/>
      <c r="AL98" s="48" t="n"/>
      <c r="AM98" s="604" t="n"/>
      <c r="AN98" s="30" t="n"/>
      <c r="AR98" s="30" t="n"/>
    </row>
    <row r="99" ht="11.25" customHeight="1" s="26">
      <c r="P99" s="30" t="n"/>
      <c r="U99" s="30" t="n"/>
      <c r="V99" s="30" t="n"/>
      <c r="W99" s="30" t="n"/>
      <c r="X99" s="30" t="n"/>
      <c r="AF99" s="30" t="n"/>
      <c r="AJ99" s="30" t="n"/>
      <c r="AL99" s="48" t="n"/>
      <c r="AM99" s="604" t="n"/>
      <c r="AN99" s="30" t="n"/>
      <c r="AR99" s="30" t="n"/>
    </row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15">
    <mergeCell ref="AA51:AA53"/>
    <mergeCell ref="M79:N79"/>
    <mergeCell ref="U76:U77"/>
    <mergeCell ref="W76:W77"/>
    <mergeCell ref="Q80:S80"/>
    <mergeCell ref="W73:Y73"/>
    <mergeCell ref="W60:Y60"/>
    <mergeCell ref="M18:M19"/>
    <mergeCell ref="U42:U43"/>
    <mergeCell ref="C34:E34"/>
    <mergeCell ref="W42:W43"/>
    <mergeCell ref="Y33:Y34"/>
    <mergeCell ref="U69:U70"/>
    <mergeCell ref="M9:M10"/>
    <mergeCell ref="W69:W70"/>
    <mergeCell ref="O9:O10"/>
    <mergeCell ref="U6:U7"/>
    <mergeCell ref="W6:W7"/>
    <mergeCell ref="Y62:Y63"/>
    <mergeCell ref="G59:H59"/>
    <mergeCell ref="G61:H61"/>
    <mergeCell ref="AA15:AA16"/>
    <mergeCell ref="G48:H48"/>
    <mergeCell ref="W59:Y59"/>
    <mergeCell ref="Q39:Q40"/>
    <mergeCell ref="S39:S40"/>
    <mergeCell ref="Q59:S59"/>
    <mergeCell ref="AA30:AA31"/>
    <mergeCell ref="AA57:AA58"/>
    <mergeCell ref="G62:H62"/>
    <mergeCell ref="S24:S25"/>
    <mergeCell ref="O62:O63"/>
    <mergeCell ref="U24:U25"/>
    <mergeCell ref="M27:M28"/>
    <mergeCell ref="M24:M25"/>
    <mergeCell ref="W18:W19"/>
    <mergeCell ref="Q51:Q53"/>
    <mergeCell ref="W74:Y74"/>
    <mergeCell ref="H12:J13"/>
    <mergeCell ref="C55:E55"/>
    <mergeCell ref="H14:J15"/>
    <mergeCell ref="M55:M56"/>
    <mergeCell ref="S27:S28"/>
    <mergeCell ref="U45:U46"/>
    <mergeCell ref="M12:M13"/>
    <mergeCell ref="AA36:AA37"/>
    <mergeCell ref="O12:O13"/>
    <mergeCell ref="C37:E37"/>
    <mergeCell ref="G51:H51"/>
    <mergeCell ref="K8:K10"/>
    <mergeCell ref="U27:U28"/>
    <mergeCell ref="W33:W34"/>
    <mergeCell ref="AA78:AA79"/>
    <mergeCell ref="W9:W10"/>
    <mergeCell ref="AA55:AA56"/>
    <mergeCell ref="M33:M34"/>
    <mergeCell ref="S55:S56"/>
    <mergeCell ref="U55:U56"/>
    <mergeCell ref="M57:N57"/>
    <mergeCell ref="M62:M63"/>
    <mergeCell ref="C45:E45"/>
    <mergeCell ref="V3:V4"/>
    <mergeCell ref="O15:O16"/>
    <mergeCell ref="C47:E47"/>
    <mergeCell ref="Q21:Q22"/>
    <mergeCell ref="C40:E40"/>
    <mergeCell ref="O51:O53"/>
    <mergeCell ref="C51:E51"/>
    <mergeCell ref="S48:S49"/>
    <mergeCell ref="U48:U49"/>
    <mergeCell ref="M1:AA2"/>
    <mergeCell ref="Y36:Y37"/>
    <mergeCell ref="Q76:Q77"/>
    <mergeCell ref="O3:O4"/>
    <mergeCell ref="Q3:Q4"/>
    <mergeCell ref="P64:S65"/>
    <mergeCell ref="S3:S4"/>
    <mergeCell ref="O39:O40"/>
    <mergeCell ref="Q60:S60"/>
    <mergeCell ref="C59:E59"/>
    <mergeCell ref="O36:O37"/>
    <mergeCell ref="O30:O31"/>
    <mergeCell ref="C46:E46"/>
    <mergeCell ref="M73:N73"/>
    <mergeCell ref="G38:H38"/>
    <mergeCell ref="C61:E61"/>
    <mergeCell ref="C48:E48"/>
    <mergeCell ref="AA71:AA72"/>
    <mergeCell ref="H18:J20"/>
    <mergeCell ref="Y76:Y77"/>
    <mergeCell ref="W51:W53"/>
    <mergeCell ref="AA76:AA77"/>
    <mergeCell ref="S76:S77"/>
    <mergeCell ref="B70:C71"/>
    <mergeCell ref="D70:E71"/>
    <mergeCell ref="U9:U10"/>
    <mergeCell ref="M66:N66"/>
    <mergeCell ref="Q73:S73"/>
    <mergeCell ref="W66:Y66"/>
    <mergeCell ref="Q42:Q43"/>
    <mergeCell ref="S42:S43"/>
    <mergeCell ref="C36:E36"/>
    <mergeCell ref="M15:M16"/>
    <mergeCell ref="Y39:Y40"/>
    <mergeCell ref="AA39:AA40"/>
    <mergeCell ref="O55:O56"/>
    <mergeCell ref="Q6:Q7"/>
    <mergeCell ref="S6:S7"/>
    <mergeCell ref="U62:U63"/>
    <mergeCell ref="W62:W63"/>
    <mergeCell ref="P71:S72"/>
    <mergeCell ref="P3:P4"/>
    <mergeCell ref="R3:R4"/>
    <mergeCell ref="U64:U65"/>
    <mergeCell ref="C62:E62"/>
    <mergeCell ref="F63:H63"/>
    <mergeCell ref="AA21:AA22"/>
    <mergeCell ref="G54:H54"/>
    <mergeCell ref="Y51:Y53"/>
    <mergeCell ref="G41:H41"/>
    <mergeCell ref="K16:K17"/>
    <mergeCell ref="Q24:Q25"/>
    <mergeCell ref="G56:H56"/>
    <mergeCell ref="S18:S19"/>
    <mergeCell ref="G43:H43"/>
    <mergeCell ref="B64:J65"/>
    <mergeCell ref="C1:F2"/>
    <mergeCell ref="Q81:S81"/>
    <mergeCell ref="Q74:S74"/>
    <mergeCell ref="B1:B2"/>
    <mergeCell ref="U12:U13"/>
    <mergeCell ref="W12:W13"/>
    <mergeCell ref="M36:M37"/>
    <mergeCell ref="M30:M31"/>
    <mergeCell ref="W67:Y67"/>
    <mergeCell ref="AA3:AA4"/>
    <mergeCell ref="Y45:Y46"/>
    <mergeCell ref="Q45:Q46"/>
    <mergeCell ref="S45:S46"/>
    <mergeCell ref="C58:E58"/>
    <mergeCell ref="M72:N72"/>
    <mergeCell ref="D66:E67"/>
    <mergeCell ref="AA27:AA28"/>
    <mergeCell ref="M59:N59"/>
    <mergeCell ref="B68:C69"/>
    <mergeCell ref="D68:E69"/>
    <mergeCell ref="X3:X4"/>
    <mergeCell ref="Z3:Z4"/>
    <mergeCell ref="AA24:AA25"/>
    <mergeCell ref="G57:H57"/>
    <mergeCell ref="O76:O77"/>
    <mergeCell ref="I63:K63"/>
    <mergeCell ref="Q27:Q28"/>
    <mergeCell ref="S33:S34"/>
    <mergeCell ref="G58:H58"/>
    <mergeCell ref="U33:U34"/>
    <mergeCell ref="Y42:Y43"/>
    <mergeCell ref="U78:U79"/>
    <mergeCell ref="AA42:AA43"/>
    <mergeCell ref="U15:U16"/>
    <mergeCell ref="W15:W16"/>
    <mergeCell ref="Y15:Y16"/>
    <mergeCell ref="M3:N4"/>
    <mergeCell ref="M39:M40"/>
    <mergeCell ref="U30:U31"/>
    <mergeCell ref="W30:W31"/>
    <mergeCell ref="Y55:Y56"/>
    <mergeCell ref="Y30:Y31"/>
    <mergeCell ref="Q55:Q56"/>
    <mergeCell ref="AA6:AA7"/>
    <mergeCell ref="K23:K25"/>
    <mergeCell ref="H31:K32"/>
    <mergeCell ref="AA48:AA49"/>
    <mergeCell ref="C38:E38"/>
    <mergeCell ref="K18:K20"/>
    <mergeCell ref="M21:M22"/>
    <mergeCell ref="C33:E33"/>
    <mergeCell ref="M52:M53"/>
    <mergeCell ref="Y3:Y4"/>
    <mergeCell ref="C35:E35"/>
    <mergeCell ref="G60:H60"/>
    <mergeCell ref="O18:O19"/>
    <mergeCell ref="AA33:AA34"/>
    <mergeCell ref="U36:U37"/>
    <mergeCell ref="W21:W22"/>
    <mergeCell ref="AA45:AA46"/>
    <mergeCell ref="O21:O22"/>
    <mergeCell ref="M45:M46"/>
    <mergeCell ref="P57:S58"/>
    <mergeCell ref="V64:Z65"/>
    <mergeCell ref="W80:Y80"/>
    <mergeCell ref="C54:E54"/>
    <mergeCell ref="C41:E41"/>
    <mergeCell ref="W36:W37"/>
    <mergeCell ref="O24:O25"/>
    <mergeCell ref="C56:E56"/>
    <mergeCell ref="Q18:Q19"/>
    <mergeCell ref="C43:E43"/>
    <mergeCell ref="V57:Z58"/>
    <mergeCell ref="Y69:Y70"/>
    <mergeCell ref="Q9:Q10"/>
    <mergeCell ref="AA69:AA70"/>
    <mergeCell ref="K12:K13"/>
    <mergeCell ref="Q69:Q70"/>
    <mergeCell ref="S69:S70"/>
    <mergeCell ref="G53:H53"/>
    <mergeCell ref="S9:S10"/>
    <mergeCell ref="Y6:Y7"/>
    <mergeCell ref="K14:K15"/>
    <mergeCell ref="Q66:S66"/>
    <mergeCell ref="AA64:AA65"/>
    <mergeCell ref="M42:M43"/>
    <mergeCell ref="O42:O43"/>
    <mergeCell ref="U39:U40"/>
    <mergeCell ref="W39:W40"/>
    <mergeCell ref="O6:O7"/>
    <mergeCell ref="Q62:Q63"/>
    <mergeCell ref="W24:W25"/>
    <mergeCell ref="V78:Z79"/>
    <mergeCell ref="Y24:Y25"/>
    <mergeCell ref="S62:S63"/>
    <mergeCell ref="M48:M49"/>
    <mergeCell ref="C44:E44"/>
    <mergeCell ref="H27:J30"/>
    <mergeCell ref="H33:K33"/>
    <mergeCell ref="W81:Y81"/>
    <mergeCell ref="C60:E60"/>
    <mergeCell ref="U57:U58"/>
    <mergeCell ref="S51:S53"/>
    <mergeCell ref="U51:U53"/>
    <mergeCell ref="H35:K35"/>
    <mergeCell ref="J36:J37"/>
    <mergeCell ref="K27:K30"/>
    <mergeCell ref="C57:E57"/>
    <mergeCell ref="C49:E49"/>
    <mergeCell ref="P78:S79"/>
    <mergeCell ref="W27:W28"/>
    <mergeCell ref="O27:O28"/>
    <mergeCell ref="Y18:Y19"/>
    <mergeCell ref="C42:E42"/>
    <mergeCell ref="AA18:AA19"/>
    <mergeCell ref="Q12:Q13"/>
    <mergeCell ref="G44:H44"/>
    <mergeCell ref="S12:S13"/>
    <mergeCell ref="Q67:S67"/>
    <mergeCell ref="Y21:Y22"/>
    <mergeCell ref="W45:W46"/>
    <mergeCell ref="O45:O46"/>
    <mergeCell ref="M64:N64"/>
    <mergeCell ref="C52:E52"/>
    <mergeCell ref="C39:E39"/>
    <mergeCell ref="V71:Z72"/>
    <mergeCell ref="B66:C67"/>
    <mergeCell ref="G49:H49"/>
    <mergeCell ref="M65:N65"/>
    <mergeCell ref="M76:M77"/>
    <mergeCell ref="AA62:AA63"/>
    <mergeCell ref="Y27:Y28"/>
    <mergeCell ref="H34:K34"/>
    <mergeCell ref="T3:T4"/>
    <mergeCell ref="K3:K4"/>
    <mergeCell ref="K5:K6"/>
    <mergeCell ref="C63:E63"/>
    <mergeCell ref="C50:E50"/>
    <mergeCell ref="T57:T58"/>
    <mergeCell ref="Y9:Y10"/>
    <mergeCell ref="AA9:AA10"/>
    <mergeCell ref="G42:H42"/>
    <mergeCell ref="O33:O34"/>
    <mergeCell ref="M69:M70"/>
    <mergeCell ref="Q33:Q34"/>
    <mergeCell ref="W55:W56"/>
    <mergeCell ref="O69:O70"/>
    <mergeCell ref="G39:H39"/>
    <mergeCell ref="M78:N78"/>
    <mergeCell ref="G37:H37"/>
    <mergeCell ref="Q15:Q16"/>
    <mergeCell ref="S15:S16"/>
    <mergeCell ref="U71:U72"/>
    <mergeCell ref="Q30:Q31"/>
    <mergeCell ref="U21:U22"/>
    <mergeCell ref="S30:S31"/>
    <mergeCell ref="W48:W49"/>
    <mergeCell ref="Y48:Y49"/>
    <mergeCell ref="O48:O49"/>
    <mergeCell ref="Q48:Q49"/>
    <mergeCell ref="H8:J10"/>
    <mergeCell ref="G50:H50"/>
    <mergeCell ref="H16:J17"/>
    <mergeCell ref="M71:N71"/>
    <mergeCell ref="H3:J4"/>
    <mergeCell ref="M58:N58"/>
    <mergeCell ref="G52:H52"/>
    <mergeCell ref="K21:K22"/>
    <mergeCell ref="H5:J6"/>
    <mergeCell ref="M6:M7"/>
    <mergeCell ref="U3:U4"/>
    <mergeCell ref="W3:W4"/>
    <mergeCell ref="U18:U19"/>
    <mergeCell ref="H21:J22"/>
    <mergeCell ref="C53:E53"/>
    <mergeCell ref="G4:G5"/>
    <mergeCell ref="Y12:Y13"/>
    <mergeCell ref="AA12:AA13"/>
    <mergeCell ref="M80:N80"/>
    <mergeCell ref="G45:H45"/>
    <mergeCell ref="Q36:Q37"/>
    <mergeCell ref="S36:S37"/>
    <mergeCell ref="G55:H55"/>
    <mergeCell ref="H23:J25"/>
    <mergeCell ref="G47:H47"/>
    <mergeCell ref="S21:S22"/>
    <mergeCell ref="G46:H46"/>
    <mergeCell ref="G40:H40"/>
    <mergeCell ref="H1:K2"/>
  </mergeCells>
  <conditionalFormatting sqref="J49:J51">
    <cfRule type="expression" priority="1" dxfId="1">
      <formula>ISNUMBER(#REF!)</formula>
    </cfRule>
  </conditionalFormatting>
  <conditionalFormatting sqref="J49">
    <cfRule type="expression" priority="2" dxfId="1">
      <formula>ISNUMBER(#REF!)</formula>
    </cfRule>
  </conditionalFormatting>
  <conditionalFormatting sqref="W45:W46 W48:W49">
    <cfRule type="cellIs" priority="3" operator="equal" dxfId="0">
      <formula>0</formula>
    </cfRule>
  </conditionalFormatting>
  <conditionalFormatting sqref="W42:W43">
    <cfRule type="cellIs" priority="4" operator="equal" dxfId="0">
      <formula>0</formula>
    </cfRule>
  </conditionalFormatting>
  <conditionalFormatting sqref="J48:J49">
    <cfRule type="expression" priority="5" dxfId="1">
      <formula>ISNUMBER($F48)</formula>
    </cfRule>
  </conditionalFormatting>
  <conditionalFormatting sqref="J47">
    <cfRule type="expression" priority="6" dxfId="1">
      <formula>ISNUMBER($F47)</formula>
    </cfRule>
  </conditionalFormatting>
  <conditionalFormatting sqref="J48">
    <cfRule type="expression" priority="7" dxfId="1">
      <formula>ISNUMBER($F48)</formula>
    </cfRule>
  </conditionalFormatting>
  <conditionalFormatting sqref="J50">
    <cfRule type="expression" priority="8" dxfId="1">
      <formula>ISNUMBER($F50)</formula>
    </cfRule>
  </conditionalFormatting>
  <conditionalFormatting sqref="J56">
    <cfRule type="expression" priority="9" dxfId="1">
      <formula>ISNUMBER($F56)</formula>
    </cfRule>
  </conditionalFormatting>
  <conditionalFormatting sqref="J57">
    <cfRule type="expression" priority="10" dxfId="1">
      <formula>ISNUMBER($F57)</formula>
    </cfRule>
  </conditionalFormatting>
  <conditionalFormatting sqref="J52">
    <cfRule type="expression" priority="11" dxfId="1">
      <formula>ISNUMBER($F52)</formula>
    </cfRule>
  </conditionalFormatting>
  <conditionalFormatting sqref="J51">
    <cfRule type="expression" priority="12" dxfId="1">
      <formula>ISNUMBER($F51)</formula>
    </cfRule>
  </conditionalFormatting>
  <conditionalFormatting sqref="J53">
    <cfRule type="expression" priority="13" dxfId="1">
      <formula>ISNUMBER($F53)</formula>
    </cfRule>
  </conditionalFormatting>
  <conditionalFormatting sqref="J54">
    <cfRule type="expression" priority="14" dxfId="1">
      <formula>ISNUMBER($F54)</formula>
    </cfRule>
  </conditionalFormatting>
  <conditionalFormatting sqref="J46">
    <cfRule type="expression" priority="15" dxfId="1">
      <formula>ISNUMBER($F46)</formula>
    </cfRule>
  </conditionalFormatting>
  <conditionalFormatting sqref="J45">
    <cfRule type="expression" priority="16" dxfId="1">
      <formula>ISNUMBER($F45)</formula>
    </cfRule>
  </conditionalFormatting>
  <conditionalFormatting sqref="J44">
    <cfRule type="expression" priority="17" dxfId="1">
      <formula>ISNUMBER($F44)</formula>
    </cfRule>
  </conditionalFormatting>
  <conditionalFormatting sqref="J43">
    <cfRule type="expression" priority="18" dxfId="1">
      <formula>ISNUMBER($F43)</formula>
    </cfRule>
  </conditionalFormatting>
  <conditionalFormatting sqref="J42">
    <cfRule type="expression" priority="19" dxfId="1">
      <formula>ISNUMBER($F42)</formula>
    </cfRule>
  </conditionalFormatting>
  <conditionalFormatting sqref="W6:W7">
    <cfRule type="cellIs" priority="20" operator="equal" dxfId="0">
      <formula>0</formula>
    </cfRule>
  </conditionalFormatting>
  <conditionalFormatting sqref="W12:W13">
    <cfRule type="cellIs" priority="21" operator="equal" dxfId="0">
      <formula>0</formula>
    </cfRule>
  </conditionalFormatting>
  <conditionalFormatting sqref="W21:W22">
    <cfRule type="cellIs" priority="22" operator="equal" dxfId="0">
      <formula>0</formula>
    </cfRule>
  </conditionalFormatting>
  <conditionalFormatting sqref="W18:W19">
    <cfRule type="cellIs" priority="23" operator="equal" dxfId="0">
      <formula>0</formula>
    </cfRule>
  </conditionalFormatting>
  <conditionalFormatting sqref="W15:W16">
    <cfRule type="cellIs" priority="24" operator="equal" dxfId="0">
      <formula>0</formula>
    </cfRule>
  </conditionalFormatting>
  <conditionalFormatting sqref="W27:W28">
    <cfRule type="cellIs" priority="25" operator="equal" dxfId="0">
      <formula>0</formula>
    </cfRule>
    <cfRule type="cellIs" priority="26" operator="equal" dxfId="0">
      <formula>"'0'"</formula>
    </cfRule>
  </conditionalFormatting>
  <conditionalFormatting sqref="W39:W40">
    <cfRule type="cellIs" priority="27" operator="equal" dxfId="0">
      <formula>0</formula>
    </cfRule>
    <cfRule type="cellIs" priority="28" operator="equal" dxfId="0">
      <formula>"'0'"</formula>
    </cfRule>
  </conditionalFormatting>
  <conditionalFormatting sqref="J39">
    <cfRule type="expression" priority="29" dxfId="1">
      <formula>ISNUMBER($F39)</formula>
    </cfRule>
  </conditionalFormatting>
  <conditionalFormatting sqref="W9:W10">
    <cfRule type="cellIs" priority="30" operator="equal" dxfId="0">
      <formula>0</formula>
    </cfRule>
    <cfRule type="cellIs" priority="31" operator="equal" dxfId="0">
      <formula>"'0'"</formula>
    </cfRule>
  </conditionalFormatting>
  <conditionalFormatting sqref="W33:W34">
    <cfRule type="cellIs" priority="32" operator="equal" dxfId="0">
      <formula>0</formula>
    </cfRule>
    <cfRule type="cellIs" priority="35" operator="equal" dxfId="0">
      <formula>"'0'"</formula>
    </cfRule>
  </conditionalFormatting>
  <conditionalFormatting sqref="W24:W25">
    <cfRule type="cellIs" priority="33" operator="equal" dxfId="0">
      <formula>0</formula>
    </cfRule>
  </conditionalFormatting>
  <conditionalFormatting sqref="W30:W31">
    <cfRule type="cellIs" priority="34" operator="equal" dxfId="0">
      <formula>0</formula>
    </cfRule>
  </conditionalFormatting>
  <conditionalFormatting sqref="J38:J48">
    <cfRule type="expression" priority="36" dxfId="1">
      <formula>ISNUMBER($F38)</formula>
    </cfRule>
  </conditionalFormatting>
  <conditionalFormatting sqref="W36:W37">
    <cfRule type="cellIs" priority="37" operator="equal" dxfId="0">
      <formula>0</formula>
    </cfRule>
    <cfRule type="cellIs" priority="38" operator="equal" dxfId="0">
      <formula>"'0'"</formula>
    </cfRule>
  </conditionalFormatting>
  <conditionalFormatting sqref="W55:W56">
    <cfRule type="cellIs" priority="39" operator="equal" dxfId="0">
      <formula>0</formula>
    </cfRule>
    <cfRule type="cellIs" priority="40" operator="equal" dxfId="0">
      <formula>"'0'"</formula>
    </cfRule>
  </conditionalFormatting>
  <conditionalFormatting sqref="W62:W63">
    <cfRule type="cellIs" priority="41" operator="equal" dxfId="0">
      <formula>0</formula>
    </cfRule>
    <cfRule type="cellIs" priority="42" operator="equal" dxfId="0">
      <formula>"'0'"</formula>
    </cfRule>
  </conditionalFormatting>
  <conditionalFormatting sqref="J40">
    <cfRule type="expression" priority="43" dxfId="1">
      <formula>ISNUMBER($F40)</formula>
    </cfRule>
  </conditionalFormatting>
  <conditionalFormatting sqref="J39 J41">
    <cfRule type="expression" priority="44" dxfId="1">
      <formula>ISNUMBER($F39)</formula>
    </cfRule>
  </conditionalFormatting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selection activeCell="A1" sqref="A1"/>
    </sheetView>
  </sheetViews>
  <sheetFormatPr baseColWidth="8" defaultColWidth="14.43" defaultRowHeight="15" customHeight="1"/>
  <cols>
    <col width="0.43" customWidth="1" style="26" min="1" max="1"/>
    <col width="9.140000000000001" customWidth="1" style="26" min="2" max="2"/>
    <col width="10.71" customWidth="1" style="26" min="3" max="3"/>
    <col width="3.86" customWidth="1" style="26" min="4" max="4"/>
    <col width="2.86" customWidth="1" style="26" min="5" max="5"/>
    <col width="6.43" customWidth="1" style="26" min="6" max="6"/>
    <col width="1.71" customWidth="1" style="26" min="7" max="7"/>
    <col width="5.43" customWidth="1" style="26" min="8" max="8"/>
    <col width="5.71" customWidth="1" style="26" min="9" max="9"/>
    <col width="6.43" customWidth="1" style="26" min="10" max="10"/>
    <col width="12.43" customWidth="1" style="26" min="11" max="11"/>
    <col width="1.71" customWidth="1" style="26" min="12" max="12"/>
    <col width="20.43" customWidth="1" style="26" min="13" max="13"/>
    <col width="1.71" customWidth="1" style="26" min="14" max="14"/>
    <col width="24.71" customWidth="1" style="26" min="15" max="15"/>
    <col width="0.43" customWidth="1" style="26" min="16" max="16"/>
    <col width="7" customWidth="1" style="26" min="17" max="17"/>
    <col width="0.86" customWidth="1" style="26" min="18" max="18"/>
    <col width="7.14" customWidth="1" style="26" min="19" max="19"/>
    <col width="0.86" customWidth="1" style="26" min="20" max="20"/>
    <col width="5.14" customWidth="1" style="26" min="21" max="21"/>
    <col width="1.71" customWidth="1" style="26" min="22" max="22"/>
    <col width="6.14" customWidth="1" style="26" min="23" max="23"/>
    <col width="1.71" customWidth="1" style="26" min="24" max="24"/>
    <col width="7.14" customWidth="1" style="26" min="25" max="25"/>
    <col width="1.71" customWidth="1" style="26" min="26" max="26"/>
    <col width="9.859999999999999" customWidth="1" style="26" min="27" max="27"/>
    <col width="1.71" customWidth="1" style="26" min="28" max="28"/>
    <col width="12.71" customWidth="1" style="26" min="29" max="47"/>
  </cols>
  <sheetData>
    <row r="1" ht="10.5" customHeight="1" s="26">
      <c r="A1" s="622" t="n"/>
      <c r="B1" s="794" t="n">
        <v>2025</v>
      </c>
      <c r="C1" s="795" t="inlineStr">
        <is>
          <t>FINAL Roster</t>
        </is>
      </c>
      <c r="G1" s="23" t="n"/>
      <c r="H1" s="796" t="inlineStr">
        <is>
          <t>BUDGET INFO.</t>
        </is>
      </c>
      <c r="L1" s="25" t="n"/>
      <c r="M1" s="797">
        <f>CONCATENATE("Steve Millark - Year",$B$1-2006," CONTRACT SHEET")</f>
        <v/>
      </c>
      <c r="AB1" s="29" t="n"/>
      <c r="AF1" s="30" t="n"/>
      <c r="AJ1" s="30" t="n"/>
      <c r="AN1" s="30" t="n"/>
      <c r="AR1" s="30" t="n"/>
    </row>
    <row r="2" ht="10.5" customHeight="1" s="26">
      <c r="A2" s="622" t="n"/>
      <c r="B2" s="759" t="n"/>
      <c r="C2" s="759" t="n"/>
      <c r="D2" s="759" t="n"/>
      <c r="E2" s="759" t="n"/>
      <c r="F2" s="759" t="n"/>
      <c r="G2" s="23" t="n"/>
      <c r="L2" s="25" t="n"/>
      <c r="AB2" s="29" t="n"/>
      <c r="AF2" s="30" t="n"/>
      <c r="AJ2" s="30" t="n"/>
      <c r="AN2" s="30" t="n"/>
      <c r="AR2" s="30" t="n"/>
    </row>
    <row r="3" ht="10.5" customHeight="1" s="26">
      <c r="A3" s="622" t="n"/>
      <c r="B3" s="38" t="inlineStr">
        <is>
          <t>1B,CI</t>
        </is>
      </c>
      <c r="C3" s="38" t="n"/>
      <c r="D3" s="38" t="n"/>
      <c r="E3" s="38" t="n"/>
      <c r="F3" s="682" t="n"/>
      <c r="G3" s="600" t="n"/>
      <c r="H3" s="40">
        <f>CONCATENATE($B$1," Base Draft Budget")</f>
        <v/>
      </c>
      <c r="I3" s="753" t="n"/>
      <c r="J3" s="753" t="n"/>
      <c r="K3" s="798" t="n">
        <v>400</v>
      </c>
      <c r="L3" s="29" t="n"/>
      <c r="M3" s="799" t="n">
        <v>2025</v>
      </c>
      <c r="O3" s="44" t="inlineStr">
        <is>
          <t>Player</t>
        </is>
      </c>
      <c r="P3" s="54" t="n"/>
      <c r="Q3" s="854" t="inlineStr">
        <is>
          <t>Original Price</t>
        </is>
      </c>
      <c r="R3" s="800" t="n"/>
      <c r="S3" s="45" t="inlineStr">
        <is>
          <t>Year Signed</t>
        </is>
      </c>
      <c r="T3" s="800" t="n"/>
      <c r="U3" s="45" t="inlineStr">
        <is>
          <t># of Years</t>
        </is>
      </c>
      <c r="V3" s="800" t="n"/>
      <c r="W3" s="45" t="inlineStr">
        <is>
          <t>Years Left</t>
        </is>
      </c>
      <c r="X3" s="800" t="n"/>
      <c r="Y3" s="45" t="inlineStr">
        <is>
          <t>Final Year</t>
        </is>
      </c>
      <c r="Z3" s="800" t="n"/>
      <c r="AA3" s="45" t="inlineStr">
        <is>
          <t>Price per year</t>
        </is>
      </c>
      <c r="AB3" s="29" t="n"/>
      <c r="AC3" s="604" t="n"/>
      <c r="AD3" s="48" t="n"/>
      <c r="AE3" s="48" t="n"/>
      <c r="AF3" s="604" t="n"/>
      <c r="AG3" s="49" t="n"/>
      <c r="AH3" s="48" t="n"/>
      <c r="AI3" s="604" t="n"/>
      <c r="AJ3" s="50" t="n"/>
      <c r="AK3" s="49" t="n"/>
      <c r="AL3" s="48" t="n"/>
      <c r="AM3" s="604" t="n"/>
      <c r="AN3" s="50" t="n"/>
      <c r="AO3" s="49" t="n"/>
      <c r="AP3" s="48" t="n"/>
      <c r="AQ3" s="604" t="n"/>
      <c r="AR3" s="50" t="n"/>
      <c r="AS3" s="49" t="n"/>
      <c r="AT3" s="48" t="n"/>
      <c r="AU3" s="604" t="n"/>
    </row>
    <row r="4" ht="10.5" customHeight="1" s="26">
      <c r="A4" s="622" t="n"/>
      <c r="B4" s="38" t="inlineStr">
        <is>
          <t>1B,CI,OF</t>
        </is>
      </c>
      <c r="C4" s="38" t="n"/>
      <c r="D4" s="38" t="n"/>
      <c r="E4" s="38" t="n"/>
      <c r="F4" s="682" t="n"/>
      <c r="H4" s="702" t="n"/>
      <c r="K4" s="619" t="n"/>
      <c r="L4" s="29" t="n"/>
      <c r="M4" s="759" t="n"/>
      <c r="N4" s="759" t="n"/>
      <c r="Q4" s="759" t="n"/>
      <c r="AB4" s="29" t="n"/>
      <c r="AC4" s="604" t="n"/>
      <c r="AD4" s="48" t="n"/>
      <c r="AE4" s="48" t="n"/>
      <c r="AF4" s="604" t="n"/>
      <c r="AG4" s="49" t="n"/>
      <c r="AH4" s="48" t="n"/>
      <c r="AI4" s="604" t="n"/>
      <c r="AJ4" s="50" t="n"/>
      <c r="AK4" s="49" t="n"/>
      <c r="AL4" s="48" t="n"/>
      <c r="AM4" s="604" t="n"/>
      <c r="AN4" s="50" t="n"/>
      <c r="AO4" s="49" t="n"/>
      <c r="AP4" s="48" t="n"/>
      <c r="AQ4" s="604" t="n"/>
      <c r="AR4" s="50" t="n"/>
      <c r="AS4" s="49" t="n"/>
      <c r="AT4" s="48" t="n"/>
      <c r="AU4" s="604" t="n"/>
    </row>
    <row r="5" ht="10.5" customHeight="1" s="26">
      <c r="A5" s="622" t="n"/>
      <c r="B5" s="38" t="inlineStr">
        <is>
          <t>2B,3B,SS,CI,MI</t>
        </is>
      </c>
      <c r="C5" s="38" t="n"/>
      <c r="D5" s="38" t="n"/>
      <c r="E5" s="38" t="n"/>
      <c r="F5" s="682" t="n"/>
      <c r="G5" s="600" t="n"/>
      <c r="H5" s="55" t="n"/>
      <c r="K5" s="801" t="n"/>
      <c r="L5" s="29" t="n"/>
      <c r="M5" s="112" t="n"/>
      <c r="N5" s="59" t="n"/>
      <c r="O5" s="58" t="n"/>
      <c r="P5" s="59" t="n"/>
      <c r="Q5" s="61" t="n"/>
      <c r="R5" s="59" t="n"/>
      <c r="S5" s="61" t="n"/>
      <c r="T5" s="59" t="n"/>
      <c r="U5" s="62" t="n"/>
      <c r="V5" s="59" t="n"/>
      <c r="W5" s="62" t="n"/>
      <c r="X5" s="59" t="n"/>
      <c r="Y5" s="61" t="n"/>
      <c r="Z5" s="59" t="n"/>
      <c r="AA5" s="64" t="n"/>
      <c r="AB5" s="29" t="n"/>
      <c r="AC5" s="604" t="n"/>
      <c r="AD5" s="48" t="n"/>
      <c r="AE5" s="48" t="n"/>
      <c r="AF5" s="604" t="n"/>
      <c r="AG5" s="49" t="n"/>
      <c r="AH5" s="48" t="n"/>
      <c r="AI5" s="604" t="n"/>
      <c r="AJ5" s="50" t="n"/>
      <c r="AK5" s="49" t="n"/>
      <c r="AL5" s="48" t="n"/>
      <c r="AM5" s="604" t="n"/>
      <c r="AN5" s="50" t="n"/>
      <c r="AO5" s="49" t="n"/>
      <c r="AP5" s="48" t="n"/>
      <c r="AQ5" s="604" t="n"/>
      <c r="AR5" s="50" t="n"/>
      <c r="AS5" s="49" t="n"/>
      <c r="AT5" s="48" t="n"/>
      <c r="AU5" s="604" t="n"/>
    </row>
    <row r="6" ht="10.5" customHeight="1" s="26">
      <c r="A6" s="622" t="n"/>
      <c r="B6" s="38" t="inlineStr">
        <is>
          <t>2B,MI</t>
        </is>
      </c>
      <c r="C6" s="38" t="n"/>
      <c r="D6" s="38" t="n"/>
      <c r="E6" s="38" t="n"/>
      <c r="F6" s="682" t="n"/>
      <c r="G6" s="601" t="n"/>
      <c r="H6" s="702" t="n"/>
      <c r="K6" s="619" t="n"/>
      <c r="L6" s="29" t="n"/>
      <c r="M6" s="802" t="inlineStr">
        <is>
          <t>1st player contract --&gt;&gt;</t>
        </is>
      </c>
      <c r="N6" s="71" t="n"/>
      <c r="O6" s="184" t="inlineStr">
        <is>
          <t>Spencer Strider</t>
        </is>
      </c>
      <c r="P6" s="616" t="n"/>
      <c r="Q6" s="186" t="n">
        <v>0</v>
      </c>
      <c r="R6" s="146" t="n"/>
      <c r="S6" s="188" t="n">
        <v>2022</v>
      </c>
      <c r="T6" s="79" t="n"/>
      <c r="U6" s="857" t="n">
        <v>4</v>
      </c>
      <c r="V6" s="79" t="n"/>
      <c r="W6" s="804">
        <f>Y6-$B$1</f>
        <v/>
      </c>
      <c r="X6" s="82" t="n"/>
      <c r="Y6" s="86">
        <f>S6+U6</f>
        <v/>
      </c>
      <c r="Z6" s="622" t="n"/>
      <c r="AA6" s="96">
        <f>IF(S6&gt;=2014, IF(W6=0,0,IF(U6=1,Q6,IF(U6=2,Q6+5,IF(U6=3,Q6+10,IF(U6=4,Q6+15, IF(U6&gt;4,Q6+U6*4)))))), IF(W6=0,0,IF(U6=1,Q6,IF(U6=2,Q6+4,IF(U6=3,Q6+8,IF(U6&gt;3,Q6+U6*3))))))</f>
        <v/>
      </c>
      <c r="AB6" s="29" t="n"/>
      <c r="AC6" s="604" t="n"/>
      <c r="AD6" s="48" t="n"/>
      <c r="AE6" s="48" t="n"/>
      <c r="AF6" s="604" t="n"/>
      <c r="AG6" s="49" t="n"/>
      <c r="AH6" s="48" t="n"/>
      <c r="AI6" s="604" t="n"/>
      <c r="AJ6" s="50" t="n"/>
      <c r="AK6" s="49" t="n"/>
      <c r="AL6" s="48" t="n"/>
      <c r="AM6" s="604" t="n"/>
      <c r="AN6" s="50" t="n"/>
      <c r="AO6" s="49" t="n"/>
      <c r="AP6" s="48" t="n"/>
      <c r="AQ6" s="604" t="n"/>
      <c r="AR6" s="50" t="n"/>
      <c r="AS6" s="49" t="n"/>
      <c r="AT6" s="48" t="n"/>
      <c r="AU6" s="604" t="n"/>
    </row>
    <row r="7" ht="10.5" customHeight="1" s="26">
      <c r="A7" s="622" t="n"/>
      <c r="B7" s="38" t="inlineStr">
        <is>
          <t>2B,SS,MI</t>
        </is>
      </c>
      <c r="C7" s="38" t="n"/>
      <c r="D7" s="38" t="n"/>
      <c r="E7" s="38" t="n"/>
      <c r="F7" s="682" t="n"/>
      <c r="G7" s="601" t="n"/>
      <c r="H7" s="99" t="n"/>
      <c r="I7" s="100" t="n"/>
      <c r="J7" s="100" t="n"/>
      <c r="K7" s="102" t="n"/>
      <c r="L7" s="29" t="n"/>
      <c r="M7" s="702" t="n"/>
      <c r="N7" s="71" t="n"/>
      <c r="P7" s="616" t="n"/>
      <c r="R7" s="146" t="n"/>
      <c r="T7" s="79" t="n"/>
      <c r="U7" s="771" t="n"/>
      <c r="V7" s="79" t="n"/>
      <c r="W7" s="771" t="n"/>
      <c r="X7" s="82" t="n"/>
      <c r="Z7" s="622" t="n"/>
      <c r="AA7" s="619" t="n"/>
      <c r="AB7" s="29" t="n"/>
      <c r="AC7" s="604" t="n"/>
      <c r="AD7" s="48" t="n"/>
      <c r="AE7" s="48" t="n"/>
      <c r="AF7" s="604" t="n"/>
      <c r="AG7" s="49" t="n"/>
      <c r="AH7" s="48" t="n"/>
      <c r="AI7" s="604" t="n"/>
      <c r="AJ7" s="50" t="n"/>
      <c r="AK7" s="49" t="n"/>
      <c r="AL7" s="48" t="n"/>
      <c r="AM7" s="604" t="n"/>
      <c r="AN7" s="50" t="n"/>
      <c r="AO7" s="49" t="n"/>
      <c r="AP7" s="48" t="n"/>
      <c r="AQ7" s="604" t="n"/>
      <c r="AR7" s="50" t="n"/>
      <c r="AS7" s="49" t="n"/>
      <c r="AT7" s="48" t="n"/>
      <c r="AU7" s="604" t="n"/>
    </row>
    <row r="8" ht="10.5" customHeight="1" s="26">
      <c r="A8" s="622" t="n"/>
      <c r="B8" s="38" t="inlineStr">
        <is>
          <t>3B,CI</t>
        </is>
      </c>
      <c r="C8" s="38" t="n"/>
      <c r="D8" s="38" t="n"/>
      <c r="E8" s="38" t="n"/>
      <c r="F8" s="682" t="n"/>
      <c r="G8" s="601" t="n"/>
      <c r="H8" s="805">
        <f>CONCATENATE("Starting ",$B$1+1," Draft Budget")</f>
        <v/>
      </c>
      <c r="K8" s="806">
        <f>K3+K5</f>
        <v/>
      </c>
      <c r="L8" s="29" t="n"/>
      <c r="M8" s="119" t="n"/>
      <c r="N8" s="71" t="n"/>
      <c r="O8" s="616" t="n"/>
      <c r="P8" s="616" t="n"/>
      <c r="Q8" s="146" t="n"/>
      <c r="R8" s="146" t="n"/>
      <c r="S8" s="616" t="n"/>
      <c r="T8" s="616" t="n"/>
      <c r="U8" s="124" t="n"/>
      <c r="V8" s="616" t="n"/>
      <c r="W8" s="124" t="n"/>
      <c r="X8" s="139" t="n"/>
      <c r="Y8" s="141" t="n"/>
      <c r="Z8" s="71" t="n"/>
      <c r="AA8" s="143" t="n"/>
      <c r="AB8" s="29" t="n"/>
      <c r="AC8" s="604" t="n"/>
      <c r="AD8" s="48" t="n"/>
      <c r="AE8" s="48" t="n"/>
      <c r="AF8" s="604" t="n"/>
      <c r="AG8" s="49" t="n"/>
      <c r="AH8" s="48" t="n"/>
      <c r="AI8" s="604" t="n"/>
      <c r="AJ8" s="50" t="n"/>
      <c r="AK8" s="49" t="n"/>
      <c r="AL8" s="48" t="n"/>
      <c r="AM8" s="604" t="n"/>
      <c r="AN8" s="50" t="n"/>
      <c r="AO8" s="49" t="n"/>
      <c r="AP8" s="48" t="n"/>
      <c r="AQ8" s="604" t="n"/>
      <c r="AR8" s="50" t="n"/>
      <c r="AS8" s="49" t="n"/>
      <c r="AT8" s="48" t="n"/>
      <c r="AU8" s="604" t="n"/>
    </row>
    <row r="9" ht="10.5" customHeight="1" s="26">
      <c r="A9" s="622" t="n"/>
      <c r="B9" s="38" t="inlineStr">
        <is>
          <t>C</t>
        </is>
      </c>
      <c r="C9" s="38" t="n"/>
      <c r="D9" s="38" t="n"/>
      <c r="E9" s="38" t="n"/>
      <c r="F9" s="682" t="n"/>
      <c r="G9" s="601" t="n"/>
      <c r="H9" s="702" t="n"/>
      <c r="K9" s="619" t="n"/>
      <c r="L9" s="29" t="n"/>
      <c r="M9" s="802" t="inlineStr">
        <is>
          <t>2nd player contract --&gt;&gt;</t>
        </is>
      </c>
      <c r="N9" s="71" t="n"/>
      <c r="O9" s="699" t="inlineStr">
        <is>
          <t>Bo Bichette</t>
        </is>
      </c>
      <c r="P9" s="616" t="n"/>
      <c r="Q9" s="700" t="n">
        <v>10</v>
      </c>
      <c r="R9" s="146" t="n"/>
      <c r="S9" s="701" t="n">
        <v>2023</v>
      </c>
      <c r="T9" s="79" t="n"/>
      <c r="U9" s="857" t="n">
        <v>4</v>
      </c>
      <c r="V9" s="127" t="n"/>
      <c r="W9" s="821">
        <f>Y9-$B$1</f>
        <v/>
      </c>
      <c r="X9" s="82" t="n"/>
      <c r="Y9" s="86">
        <f>S9+U9</f>
        <v/>
      </c>
      <c r="Z9" s="622" t="n"/>
      <c r="AA9" s="96">
        <f>IF(S9&gt;=2014, IF(W9=0,0,IF(U9=1,Q9,IF(U9=2,Q9+5,IF(U9=3,Q9+10,IF(U9=4,Q9+15, IF(U9&gt;4,Q9+U9*4)))))), IF(W9=0,0,IF(U9=1,Q9,IF(U9=2,Q9+4,IF(U9=3,Q9+8,IF(U9&gt;3,Q9+U9*3))))))</f>
        <v/>
      </c>
      <c r="AB9" s="29" t="n"/>
      <c r="AC9" s="604" t="n"/>
      <c r="AD9" s="48" t="n"/>
      <c r="AE9" s="48" t="n"/>
      <c r="AF9" s="604" t="n"/>
      <c r="AG9" s="49" t="n"/>
      <c r="AH9" s="48" t="n"/>
      <c r="AI9" s="604" t="n"/>
      <c r="AJ9" s="50" t="n"/>
      <c r="AK9" s="49" t="n"/>
      <c r="AL9" s="48" t="n"/>
      <c r="AM9" s="604" t="n"/>
      <c r="AN9" s="50" t="n"/>
      <c r="AO9" s="49" t="n"/>
      <c r="AP9" s="48" t="n"/>
      <c r="AQ9" s="604" t="n"/>
      <c r="AR9" s="50" t="n"/>
      <c r="AS9" s="49" t="n"/>
      <c r="AT9" s="48" t="n"/>
      <c r="AU9" s="604" t="n"/>
    </row>
    <row r="10" ht="10.5" customHeight="1" s="26">
      <c r="A10" s="622" t="n"/>
      <c r="B10" s="38" t="inlineStr">
        <is>
          <t>C</t>
        </is>
      </c>
      <c r="C10" s="38" t="n"/>
      <c r="D10" s="38" t="n"/>
      <c r="E10" s="38" t="n"/>
      <c r="F10" s="682" t="n"/>
      <c r="G10" s="601" t="n"/>
      <c r="H10" s="755" t="n"/>
      <c r="I10" s="759" t="n"/>
      <c r="J10" s="759" t="n"/>
      <c r="K10" s="793" t="n"/>
      <c r="L10" s="29" t="n"/>
      <c r="M10" s="702" t="n"/>
      <c r="N10" s="71" t="n"/>
      <c r="P10" s="616" t="n"/>
      <c r="R10" s="146" t="n"/>
      <c r="T10" s="79" t="n"/>
      <c r="U10" s="771" t="n"/>
      <c r="V10" s="127" t="n"/>
      <c r="W10" s="823" t="n"/>
      <c r="X10" s="82" t="n"/>
      <c r="Z10" s="622" t="n"/>
      <c r="AA10" s="619" t="n"/>
      <c r="AB10" s="29" t="n"/>
      <c r="AC10" s="604" t="n"/>
      <c r="AD10" s="48" t="n"/>
      <c r="AE10" s="48" t="n"/>
      <c r="AF10" s="604" t="n"/>
      <c r="AG10" s="49" t="n"/>
      <c r="AH10" s="48" t="n"/>
      <c r="AI10" s="604" t="n"/>
      <c r="AJ10" s="50" t="n"/>
      <c r="AK10" s="49" t="n"/>
      <c r="AL10" s="48" t="n"/>
      <c r="AM10" s="604" t="n"/>
      <c r="AN10" s="30" t="n"/>
      <c r="AO10" s="49" t="n"/>
      <c r="AP10" s="48" t="n"/>
      <c r="AQ10" s="604" t="n"/>
      <c r="AR10" s="50" t="n"/>
      <c r="AS10" s="49" t="n"/>
      <c r="AT10" s="48" t="n"/>
      <c r="AU10" s="604" t="n"/>
    </row>
    <row r="11" ht="10.5" customHeight="1" s="26">
      <c r="A11" s="622" t="n"/>
      <c r="B11" s="38" t="inlineStr">
        <is>
          <t>C</t>
        </is>
      </c>
      <c r="C11" s="38" t="n"/>
      <c r="D11" s="38" t="n"/>
      <c r="E11" s="38" t="n"/>
      <c r="F11" s="682" t="n"/>
      <c r="G11" s="601" t="inlineStr">
        <is>
          <t>j</t>
        </is>
      </c>
      <c r="H11" s="136" t="n"/>
      <c r="I11" s="136" t="n"/>
      <c r="J11" s="136" t="n"/>
      <c r="K11" s="137" t="n"/>
      <c r="L11" s="29" t="n"/>
      <c r="M11" s="119" t="n"/>
      <c r="N11" s="71" t="n"/>
      <c r="O11" s="616" t="n"/>
      <c r="P11" s="616" t="n"/>
      <c r="Q11" s="146" t="n"/>
      <c r="R11" s="146" t="n"/>
      <c r="S11" s="616" t="n"/>
      <c r="T11" s="616" t="n"/>
      <c r="U11" s="124" t="n"/>
      <c r="V11" s="616" t="n"/>
      <c r="W11" s="124" t="n"/>
      <c r="X11" s="139" t="n"/>
      <c r="Y11" s="141" t="n"/>
      <c r="Z11" s="71" t="n"/>
      <c r="AA11" s="143" t="n"/>
      <c r="AB11" s="29" t="n"/>
      <c r="AC11" s="604" t="n"/>
      <c r="AD11" s="48" t="n"/>
      <c r="AE11" s="48" t="n"/>
      <c r="AF11" s="604" t="n"/>
      <c r="AG11" s="49" t="n"/>
      <c r="AH11" s="48" t="n"/>
      <c r="AI11" s="604" t="n"/>
      <c r="AJ11" s="50" t="n"/>
      <c r="AK11" s="49" t="n"/>
      <c r="AL11" s="48" t="n"/>
      <c r="AM11" s="604" t="n"/>
      <c r="AN11" s="50" t="n"/>
      <c r="AO11" s="49" t="n"/>
      <c r="AP11" s="48" t="n"/>
      <c r="AQ11" s="604" t="n"/>
      <c r="AR11" s="50" t="n"/>
      <c r="AS11" s="49" t="n"/>
      <c r="AT11" s="48" t="n"/>
      <c r="AU11" s="604" t="n"/>
    </row>
    <row r="12" ht="10.5" customHeight="1" s="26">
      <c r="A12" s="622" t="n"/>
      <c r="B12" s="38" t="inlineStr">
        <is>
          <t>C,1B,3B,CI</t>
        </is>
      </c>
      <c r="C12" s="110" t="n"/>
      <c r="D12" s="38" t="n"/>
      <c r="E12" s="38" t="n"/>
      <c r="F12" s="682" t="n"/>
      <c r="G12" s="601" t="n"/>
      <c r="H12" s="145" t="inlineStr">
        <is>
          <t>Regular Contracts</t>
        </is>
      </c>
      <c r="I12" s="753" t="n"/>
      <c r="J12" s="753" t="n"/>
      <c r="K12" s="808">
        <f>SUM(AA6:AA49)</f>
        <v/>
      </c>
      <c r="L12" s="29" t="n"/>
      <c r="M12" s="802" t="inlineStr">
        <is>
          <t>3rd player contract --&gt;&gt;</t>
        </is>
      </c>
      <c r="N12" s="71" t="n"/>
      <c r="O12" s="184" t="inlineStr">
        <is>
          <t>Spencer Schwellenbach</t>
        </is>
      </c>
      <c r="P12" s="616" t="n"/>
      <c r="Q12" s="186" t="n">
        <v>2</v>
      </c>
      <c r="R12" s="146" t="n"/>
      <c r="S12" s="188" t="n">
        <v>2024</v>
      </c>
      <c r="T12" s="79" t="n"/>
      <c r="U12" s="803" t="n">
        <v>4</v>
      </c>
      <c r="V12" s="79" t="n"/>
      <c r="W12" s="807">
        <f>Y12-$B$1</f>
        <v/>
      </c>
      <c r="X12" s="82" t="n"/>
      <c r="Y12" s="86">
        <f>S12+U12</f>
        <v/>
      </c>
      <c r="Z12" s="622" t="n"/>
      <c r="AA12" s="96">
        <f>IF(S12&gt;=2014, IF(W12=0,0,IF(U12=1,Q12,IF(U12=2,Q12+5,IF(U12=3,Q12+10,IF(U12=4,Q12+15, IF(U12&gt;4,Q12+U12*4)))))), IF(W12=0,0,IF(U12=1,Q12,IF(U12=2,Q12+4,IF(U12=3,Q12+8,IF(U12&gt;3,Q12+U12*3))))))</f>
        <v/>
      </c>
      <c r="AB12" s="29" t="n"/>
      <c r="AC12" s="604" t="n"/>
      <c r="AD12" s="48" t="n"/>
      <c r="AE12" s="48" t="n"/>
      <c r="AF12" s="604" t="n"/>
      <c r="AG12" s="49" t="n"/>
      <c r="AH12" s="48" t="n"/>
      <c r="AI12" s="604" t="n"/>
      <c r="AJ12" s="50" t="n"/>
      <c r="AK12" s="49" t="n"/>
      <c r="AL12" s="48" t="n"/>
      <c r="AM12" s="604" t="n"/>
      <c r="AN12" s="50" t="n"/>
      <c r="AO12" s="49" t="n"/>
      <c r="AP12" s="48" t="n"/>
      <c r="AQ12" s="604" t="n"/>
      <c r="AR12" s="50" t="n"/>
      <c r="AS12" s="49" t="n"/>
      <c r="AT12" s="48" t="n"/>
      <c r="AU12" s="604" t="n"/>
    </row>
    <row r="13" ht="10.5" customHeight="1" s="26">
      <c r="A13" s="622" t="n"/>
      <c r="B13" s="38" t="inlineStr">
        <is>
          <t>OF</t>
        </is>
      </c>
      <c r="C13" s="38" t="n"/>
      <c r="D13" s="38" t="n"/>
      <c r="E13" s="38" t="n"/>
      <c r="F13" s="682" t="n"/>
      <c r="G13" s="601" t="n"/>
      <c r="H13" s="702" t="n"/>
      <c r="K13" s="619" t="n"/>
      <c r="L13" s="29" t="n"/>
      <c r="M13" s="702" t="n"/>
      <c r="N13" s="71" t="n"/>
      <c r="P13" s="616" t="n"/>
      <c r="R13" s="146" t="n"/>
      <c r="T13" s="79" t="n"/>
      <c r="U13" s="771" t="n"/>
      <c r="V13" s="79" t="n"/>
      <c r="W13" s="771" t="n"/>
      <c r="X13" s="82" t="n"/>
      <c r="Z13" s="622" t="n"/>
      <c r="AA13" s="619" t="n"/>
      <c r="AB13" s="29" t="n"/>
      <c r="AC13" s="604" t="n"/>
      <c r="AD13" s="48" t="n"/>
      <c r="AE13" s="48" t="n"/>
      <c r="AF13" s="604" t="n"/>
      <c r="AG13" s="49" t="n"/>
      <c r="AH13" s="48" t="n"/>
      <c r="AI13" s="604" t="n"/>
      <c r="AJ13" s="50" t="n"/>
      <c r="AK13" s="49" t="n"/>
      <c r="AL13" s="48" t="n"/>
      <c r="AM13" s="604" t="n"/>
      <c r="AN13" s="50" t="n"/>
      <c r="AO13" s="49" t="n"/>
      <c r="AP13" s="48" t="n"/>
      <c r="AQ13" s="604" t="n"/>
      <c r="AR13" s="50" t="n"/>
      <c r="AS13" s="49" t="n"/>
      <c r="AT13" s="48" t="n"/>
      <c r="AU13" s="604" t="n"/>
    </row>
    <row r="14" ht="10.5" customHeight="1" s="26">
      <c r="A14" s="622" t="n"/>
      <c r="B14" s="38" t="inlineStr">
        <is>
          <t>OF</t>
        </is>
      </c>
      <c r="C14" s="38" t="n"/>
      <c r="D14" s="38" t="n"/>
      <c r="E14" s="38" t="n"/>
      <c r="F14" s="682" t="n"/>
      <c r="G14" s="601" t="n"/>
      <c r="H14" s="151" t="inlineStr">
        <is>
          <t>Bad Contracts</t>
        </is>
      </c>
      <c r="K14" s="809">
        <f>SUM(AA57,AA64,AA71,AA78)</f>
        <v/>
      </c>
      <c r="L14" s="29" t="n"/>
      <c r="M14" s="119" t="n"/>
      <c r="N14" s="71" t="n"/>
      <c r="O14" s="616" t="n"/>
      <c r="P14" s="616" t="n"/>
      <c r="Q14" s="146" t="n"/>
      <c r="R14" s="146" t="n"/>
      <c r="S14" s="616" t="n"/>
      <c r="T14" s="616" t="n"/>
      <c r="U14" s="124" t="n"/>
      <c r="V14" s="616" t="n"/>
      <c r="W14" s="124" t="n"/>
      <c r="X14" s="139" t="n"/>
      <c r="Y14" s="141" t="n"/>
      <c r="Z14" s="71" t="n"/>
      <c r="AA14" s="143" t="n"/>
      <c r="AB14" s="29" t="n"/>
      <c r="AC14" s="604" t="n"/>
      <c r="AD14" s="48" t="n"/>
      <c r="AE14" s="48" t="n"/>
      <c r="AF14" s="604" t="n"/>
      <c r="AG14" s="49" t="n"/>
      <c r="AH14" s="48" t="n"/>
      <c r="AI14" s="604" t="n"/>
      <c r="AJ14" s="50" t="n"/>
      <c r="AK14" s="49" t="n"/>
      <c r="AN14" s="50" t="n"/>
      <c r="AO14" s="49" t="n"/>
      <c r="AP14" s="48" t="n"/>
      <c r="AQ14" s="604" t="n"/>
      <c r="AR14" s="50" t="n"/>
      <c r="AS14" s="49" t="n"/>
      <c r="AT14" s="48" t="n"/>
      <c r="AU14" s="604" t="n"/>
    </row>
    <row r="15" ht="10.5" customHeight="1" s="26">
      <c r="A15" s="622" t="n"/>
      <c r="B15" s="38" t="inlineStr">
        <is>
          <t>OF</t>
        </is>
      </c>
      <c r="C15" s="38" t="n"/>
      <c r="D15" s="38" t="n"/>
      <c r="E15" s="38" t="n"/>
      <c r="F15" s="682" t="n"/>
      <c r="G15" s="601" t="n"/>
      <c r="H15" s="702" t="n"/>
      <c r="K15" s="619" t="n"/>
      <c r="L15" s="29" t="n"/>
      <c r="M15" s="802" t="inlineStr">
        <is>
          <t>4th player contract --&gt;&gt;</t>
        </is>
      </c>
      <c r="N15" s="71" t="n"/>
      <c r="O15" s="184" t="inlineStr">
        <is>
          <t>Brandon Nimmo</t>
        </is>
      </c>
      <c r="P15" s="616" t="n"/>
      <c r="Q15" s="186" t="n">
        <v>16</v>
      </c>
      <c r="R15" s="146" t="n"/>
      <c r="S15" s="188" t="n">
        <v>2024</v>
      </c>
      <c r="T15" s="79" t="n"/>
      <c r="U15" s="803" t="n">
        <v>2</v>
      </c>
      <c r="V15" s="79" t="n"/>
      <c r="W15" s="807">
        <f>Y15-$B$1</f>
        <v/>
      </c>
      <c r="X15" s="82" t="n"/>
      <c r="Y15" s="86">
        <f>S15+U15</f>
        <v/>
      </c>
      <c r="Z15" s="622" t="n"/>
      <c r="AA15" s="96">
        <f>IF(S15&gt;=2014, IF(W15=0,0,IF(U15=1,Q15,IF(U15=2,Q15+5,IF(U15=3,Q15+10,IF(U15=4,Q15+15, IF(U15&gt;4,Q15+U15*4)))))), IF(W15=0,0,IF(U15=1,Q15,IF(U15=2,Q15+4,IF(U15=3,Q15+8,IF(U15&gt;3,Q15+U15*3))))))</f>
        <v/>
      </c>
      <c r="AB15" s="29" t="n"/>
      <c r="AC15" s="604" t="n"/>
      <c r="AD15" s="48" t="n"/>
      <c r="AE15" s="48" t="n"/>
      <c r="AF15" s="604" t="n"/>
      <c r="AG15" s="49" t="n"/>
      <c r="AH15" s="48" t="n"/>
      <c r="AI15" s="604" t="n"/>
      <c r="AJ15" s="50" t="n"/>
      <c r="AK15" s="49" t="n"/>
      <c r="AL15" s="48" t="n"/>
      <c r="AM15" s="604" t="n"/>
      <c r="AN15" s="50" t="n"/>
      <c r="AO15" s="49" t="n"/>
      <c r="AP15" s="48" t="n"/>
      <c r="AQ15" s="604" t="n"/>
      <c r="AR15" s="50" t="n"/>
      <c r="AS15" s="49" t="n"/>
      <c r="AT15" s="48" t="n"/>
      <c r="AU15" s="604" t="n"/>
    </row>
    <row r="16" ht="10.5" customHeight="1" s="26">
      <c r="A16" s="622" t="n"/>
      <c r="B16" s="38" t="inlineStr">
        <is>
          <t>OF</t>
        </is>
      </c>
      <c r="C16" s="38" t="n"/>
      <c r="D16" s="38" t="n"/>
      <c r="E16" s="38" t="n"/>
      <c r="F16" s="682" t="n"/>
      <c r="G16" s="601" t="n"/>
      <c r="H16" s="161" t="inlineStr">
        <is>
          <t>Farm Contracts</t>
        </is>
      </c>
      <c r="K16" s="809">
        <f>SUM(F38:F57)</f>
        <v/>
      </c>
      <c r="L16" s="29" t="n"/>
      <c r="M16" s="702" t="n"/>
      <c r="N16" s="71" t="n"/>
      <c r="P16" s="616" t="n"/>
      <c r="R16" s="146" t="n"/>
      <c r="T16" s="79" t="n"/>
      <c r="U16" s="771" t="n"/>
      <c r="V16" s="79" t="n"/>
      <c r="W16" s="771" t="n"/>
      <c r="X16" s="82" t="n"/>
      <c r="Z16" s="622" t="n"/>
      <c r="AA16" s="619" t="n"/>
      <c r="AB16" s="29" t="n"/>
      <c r="AC16" s="604" t="n"/>
      <c r="AD16" s="48" t="n"/>
      <c r="AE16" s="48" t="n"/>
      <c r="AF16" s="604" t="n"/>
      <c r="AG16" s="49" t="n"/>
      <c r="AH16" s="48" t="n"/>
      <c r="AI16" s="604" t="n"/>
      <c r="AJ16" s="50" t="n"/>
      <c r="AK16" s="49" t="n"/>
      <c r="AL16" s="48" t="n"/>
      <c r="AM16" s="604" t="n"/>
      <c r="AN16" s="50" t="n"/>
      <c r="AO16" s="49" t="n"/>
      <c r="AP16" s="48" t="n"/>
      <c r="AQ16" s="604" t="n"/>
      <c r="AR16" s="30" t="n"/>
      <c r="AS16" s="49" t="n"/>
      <c r="AT16" s="48" t="n"/>
      <c r="AU16" s="604" t="n"/>
    </row>
    <row r="17" ht="10.5" customHeight="1" s="26">
      <c r="A17" s="622" t="n"/>
      <c r="B17" s="38" t="inlineStr">
        <is>
          <t>OF</t>
        </is>
      </c>
      <c r="C17" s="38" t="n"/>
      <c r="D17" s="38" t="n"/>
      <c r="E17" s="38" t="n"/>
      <c r="F17" s="682" t="n"/>
      <c r="G17" s="601" t="n"/>
      <c r="H17" s="702" t="n"/>
      <c r="K17" s="619" t="n"/>
      <c r="L17" s="29" t="n"/>
      <c r="M17" s="119" t="n"/>
      <c r="N17" s="71" t="n"/>
      <c r="O17" s="616" t="n"/>
      <c r="P17" s="616" t="n"/>
      <c r="Q17" s="146" t="n"/>
      <c r="R17" s="146" t="n"/>
      <c r="S17" s="616" t="n"/>
      <c r="T17" s="616" t="n"/>
      <c r="U17" s="124" t="n"/>
      <c r="V17" s="616" t="n"/>
      <c r="W17" s="124" t="n"/>
      <c r="X17" s="622" t="n"/>
      <c r="Y17" s="622" t="n"/>
      <c r="Z17" s="622" t="n"/>
      <c r="AA17" s="153" t="n"/>
      <c r="AB17" s="29" t="n"/>
      <c r="AC17" s="604" t="n"/>
      <c r="AD17" s="48" t="n"/>
      <c r="AE17" s="48" t="n"/>
      <c r="AF17" s="604" t="n"/>
      <c r="AG17" s="49" t="n"/>
      <c r="AH17" s="48" t="n"/>
      <c r="AI17" s="604" t="n"/>
      <c r="AJ17" s="50" t="n"/>
      <c r="AK17" s="49" t="n"/>
      <c r="AL17" s="48" t="n"/>
      <c r="AM17" s="604" t="n"/>
      <c r="AN17" s="50" t="n"/>
      <c r="AO17" s="49" t="n"/>
      <c r="AP17" s="48" t="n"/>
      <c r="AQ17" s="604" t="n"/>
      <c r="AR17" s="50" t="n"/>
      <c r="AS17" s="49" t="n"/>
      <c r="AT17" s="48" t="n"/>
      <c r="AU17" s="604" t="n"/>
    </row>
    <row r="18" ht="10.5" customHeight="1" s="26">
      <c r="A18" s="622" t="n"/>
      <c r="B18" s="38" t="inlineStr">
        <is>
          <t>OF</t>
        </is>
      </c>
      <c r="C18" s="110" t="n"/>
      <c r="D18" s="38" t="n"/>
      <c r="E18" s="38" t="n"/>
      <c r="F18" s="682" t="n"/>
      <c r="G18" s="601" t="n"/>
      <c r="H18" s="162">
        <f>CONCATENATE($B$1+1," Auction Budget acquired by trade (Offseason Only)")</f>
        <v/>
      </c>
      <c r="K18" s="809">
        <f>'Draft budget calc'!E15</f>
        <v/>
      </c>
      <c r="L18" s="29" t="n"/>
      <c r="M18" s="802" t="inlineStr">
        <is>
          <t>5th player contract --&gt;&gt;</t>
        </is>
      </c>
      <c r="N18" s="71" t="n"/>
      <c r="O18" s="527" t="n"/>
      <c r="P18" s="616" t="n"/>
      <c r="Q18" s="186" t="n"/>
      <c r="R18" s="146" t="n"/>
      <c r="S18" s="188" t="n"/>
      <c r="T18" s="79" t="n"/>
      <c r="U18" s="803" t="n"/>
      <c r="V18" s="79" t="n"/>
      <c r="W18" s="807">
        <f>Y18-$B$1</f>
        <v/>
      </c>
      <c r="X18" s="82" t="n"/>
      <c r="Y18" s="86">
        <f>S18+U18</f>
        <v/>
      </c>
      <c r="Z18" s="622" t="n"/>
      <c r="AA18" s="96">
        <f>IF(S18&gt;=2014, IF(W18=0,0,IF(U18=1,Q18,IF(U18=2,Q18+5,IF(U18=3,Q18+10,IF(U18=4,Q18+15, IF(U18&gt;4,Q18+U18*4)))))), IF(W18=0,0,IF(U18=1,Q18,IF(U18=2,Q18+4,IF(U18=3,Q18+8,IF(U18&gt;3,Q18+U18*3))))))</f>
        <v/>
      </c>
      <c r="AB18" s="29" t="n"/>
      <c r="AC18" s="604" t="n"/>
      <c r="AD18" s="48" t="n"/>
      <c r="AE18" s="48" t="n"/>
      <c r="AF18" s="604" t="n"/>
      <c r="AG18" s="49" t="n"/>
      <c r="AH18" s="48" t="n"/>
      <c r="AI18" s="604" t="n"/>
      <c r="AJ18" s="50" t="n"/>
      <c r="AK18" s="49" t="n"/>
      <c r="AL18" s="48" t="n"/>
      <c r="AM18" s="604" t="n"/>
      <c r="AN18" s="50" t="n"/>
      <c r="AO18" s="49" t="n"/>
      <c r="AP18" s="48" t="n"/>
      <c r="AQ18" s="604" t="n"/>
      <c r="AR18" s="50" t="n"/>
      <c r="AS18" s="49" t="n"/>
      <c r="AT18" s="48" t="n"/>
      <c r="AU18" s="604" t="n"/>
    </row>
    <row r="19" ht="10.5" customHeight="1" s="26">
      <c r="A19" s="622" t="n"/>
      <c r="B19" s="38" t="inlineStr">
        <is>
          <t>P</t>
        </is>
      </c>
      <c r="C19" s="38" t="n"/>
      <c r="D19" s="38" t="n"/>
      <c r="E19" s="38" t="n"/>
      <c r="F19" s="682" t="n"/>
      <c r="G19" s="601" t="n"/>
      <c r="H19" s="702" t="n"/>
      <c r="K19" s="619" t="n"/>
      <c r="L19" s="29" t="n"/>
      <c r="M19" s="702" t="n"/>
      <c r="N19" s="71" t="n"/>
      <c r="P19" s="616" t="n"/>
      <c r="R19" s="146" t="n"/>
      <c r="T19" s="79" t="n"/>
      <c r="U19" s="771" t="n"/>
      <c r="V19" s="79" t="n"/>
      <c r="W19" s="771" t="n"/>
      <c r="X19" s="82" t="n"/>
      <c r="Z19" s="622" t="n"/>
      <c r="AA19" s="619" t="n"/>
      <c r="AB19" s="29" t="n"/>
      <c r="AC19" s="604" t="n"/>
      <c r="AD19" s="48" t="n"/>
      <c r="AE19" s="48" t="n"/>
      <c r="AF19" s="604" t="n"/>
      <c r="AG19" s="49" t="n"/>
      <c r="AH19" s="48" t="n"/>
      <c r="AI19" s="604" t="n"/>
      <c r="AJ19" s="50" t="n"/>
      <c r="AK19" s="49" t="n"/>
      <c r="AL19" s="48" t="n"/>
      <c r="AM19" s="604" t="n"/>
      <c r="AN19" s="50" t="n"/>
      <c r="AO19" s="49" t="n"/>
      <c r="AP19" s="48" t="n"/>
      <c r="AQ19" s="604" t="n"/>
      <c r="AR19" s="50" t="n"/>
      <c r="AS19" s="49" t="n"/>
      <c r="AT19" s="48" t="n"/>
      <c r="AU19" s="604" t="n"/>
    </row>
    <row r="20" ht="10.5" customHeight="1" s="26">
      <c r="A20" s="622" t="n"/>
      <c r="B20" s="38" t="inlineStr">
        <is>
          <t>P</t>
        </is>
      </c>
      <c r="C20" s="38" t="n"/>
      <c r="D20" s="38" t="n"/>
      <c r="E20" s="38" t="n"/>
      <c r="F20" s="682" t="n"/>
      <c r="G20" s="601" t="n"/>
      <c r="H20" s="702" t="n"/>
      <c r="K20" s="619" t="n"/>
      <c r="L20" s="29" t="n"/>
      <c r="M20" s="119" t="n"/>
      <c r="N20" s="71" t="n"/>
      <c r="O20" s="616" t="n"/>
      <c r="P20" s="616" t="n"/>
      <c r="Q20" s="146" t="n"/>
      <c r="R20" s="146" t="n"/>
      <c r="S20" s="616" t="n"/>
      <c r="T20" s="616" t="n"/>
      <c r="U20" s="124" t="n"/>
      <c r="V20" s="616" t="n"/>
      <c r="W20" s="124" t="n"/>
      <c r="X20" s="139" t="n"/>
      <c r="Y20" s="141" t="n"/>
      <c r="Z20" s="71" t="n"/>
      <c r="AA20" s="164" t="n"/>
      <c r="AB20" s="29" t="n"/>
      <c r="AC20" s="604" t="n"/>
      <c r="AD20" s="48" t="n"/>
      <c r="AE20" s="48" t="n"/>
      <c r="AF20" s="604" t="n"/>
      <c r="AG20" s="49" t="n"/>
      <c r="AH20" s="48" t="n"/>
      <c r="AI20" s="604" t="n"/>
      <c r="AJ20" s="50" t="n"/>
      <c r="AK20" s="49" t="n"/>
      <c r="AL20" s="48" t="n"/>
      <c r="AM20" s="604" t="n"/>
      <c r="AN20" s="50" t="n"/>
      <c r="AO20" s="49" t="n"/>
      <c r="AP20" s="48" t="n"/>
      <c r="AQ20" s="604" t="n"/>
      <c r="AR20" s="50" t="n"/>
      <c r="AS20" s="49" t="n"/>
      <c r="AT20" s="48" t="n"/>
      <c r="AU20" s="604" t="n"/>
    </row>
    <row r="21" ht="10.5" customHeight="1" s="26">
      <c r="A21" s="622" t="n"/>
      <c r="B21" s="38" t="inlineStr">
        <is>
          <t>P</t>
        </is>
      </c>
      <c r="C21" s="38" t="n"/>
      <c r="D21" s="38" t="n"/>
      <c r="E21" s="38" t="n"/>
      <c r="F21" s="682" t="n"/>
      <c r="G21" s="601" t="n"/>
      <c r="H21" s="171" t="inlineStr">
        <is>
          <t>Min. IP Penalties</t>
        </is>
      </c>
      <c r="K21" s="810" t="n"/>
      <c r="L21" s="29" t="n"/>
      <c r="M21" s="802" t="inlineStr">
        <is>
          <t>6th player contract --&gt;&gt;</t>
        </is>
      </c>
      <c r="N21" s="71" t="n"/>
      <c r="O21" s="527" t="n"/>
      <c r="P21" s="616" t="n"/>
      <c r="Q21" s="186" t="n"/>
      <c r="R21" s="146" t="n"/>
      <c r="S21" s="188" t="n"/>
      <c r="T21" s="79" t="n"/>
      <c r="U21" s="803" t="n"/>
      <c r="V21" s="79" t="n"/>
      <c r="W21" s="807">
        <f>Y21-$B$1</f>
        <v/>
      </c>
      <c r="X21" s="82" t="n"/>
      <c r="Y21" s="86">
        <f>S21+U21</f>
        <v/>
      </c>
      <c r="Z21" s="622" t="n"/>
      <c r="AA21" s="96">
        <f>IF(S21&gt;=2014, IF(W21=0,0,IF(U21=1,Q21,IF(U21=2,Q21+5,IF(U21=3,Q21+10,IF(U21=4,Q21+15, IF(U21&gt;4,Q21+U21*4)))))), IF(W21=0,0,IF(U21=1,Q21,IF(U21=2,Q21+4,IF(U21=3,Q21+8,IF(U21&gt;3,Q21+U21*3))))))</f>
        <v/>
      </c>
      <c r="AB21" s="29" t="n"/>
      <c r="AC21" s="604" t="n"/>
      <c r="AD21" s="48" t="n"/>
      <c r="AE21" s="48" t="n"/>
      <c r="AF21" s="604" t="n"/>
      <c r="AG21" s="49" t="n"/>
      <c r="AH21" s="48" t="n"/>
      <c r="AI21" s="604" t="n"/>
      <c r="AJ21" s="50" t="n"/>
      <c r="AK21" s="49" t="n"/>
      <c r="AL21" s="48" t="n"/>
      <c r="AM21" s="604" t="n"/>
      <c r="AN21" s="50" t="n"/>
      <c r="AO21" s="49" t="n"/>
      <c r="AP21" s="48" t="n"/>
      <c r="AQ21" s="604" t="n"/>
      <c r="AR21" s="50" t="n"/>
      <c r="AS21" s="49" t="n"/>
      <c r="AT21" s="48" t="n"/>
      <c r="AU21" s="604" t="n"/>
    </row>
    <row r="22" ht="10.5" customHeight="1" s="26">
      <c r="A22" s="622" t="n"/>
      <c r="B22" s="38" t="inlineStr">
        <is>
          <t>P</t>
        </is>
      </c>
      <c r="C22" s="38" t="n"/>
      <c r="D22" s="38" t="n"/>
      <c r="E22" s="38" t="n"/>
      <c r="F22" s="682" t="n"/>
      <c r="G22" s="601" t="n"/>
      <c r="H22" s="702" t="n"/>
      <c r="K22" s="619" t="n"/>
      <c r="L22" s="29" t="n"/>
      <c r="M22" s="702" t="n"/>
      <c r="N22" s="71" t="n"/>
      <c r="P22" s="616" t="n"/>
      <c r="R22" s="146" t="n"/>
      <c r="T22" s="79" t="n"/>
      <c r="U22" s="771" t="n"/>
      <c r="V22" s="79" t="n"/>
      <c r="W22" s="771" t="n"/>
      <c r="X22" s="82" t="n"/>
      <c r="Z22" s="622" t="n"/>
      <c r="AA22" s="619" t="n"/>
      <c r="AB22" s="29" t="n"/>
      <c r="AC22" s="604" t="n"/>
      <c r="AD22" s="48" t="n"/>
      <c r="AE22" s="48" t="n"/>
      <c r="AF22" s="604" t="n"/>
      <c r="AG22" s="49" t="n"/>
      <c r="AH22" s="48" t="n"/>
      <c r="AI22" s="604" t="n"/>
      <c r="AJ22" s="50" t="n"/>
      <c r="AK22" s="49" t="n"/>
      <c r="AL22" s="48" t="n"/>
      <c r="AM22" s="604" t="n"/>
      <c r="AN22" s="50" t="n"/>
      <c r="AO22" s="49" t="n"/>
      <c r="AP22" s="48" t="n"/>
      <c r="AQ22" s="604" t="n"/>
      <c r="AR22" s="30" t="n"/>
      <c r="AS22" s="49" t="n"/>
      <c r="AT22" s="48" t="n"/>
      <c r="AU22" s="604" t="n"/>
    </row>
    <row r="23" ht="10.5" customHeight="1" s="26">
      <c r="A23" s="622" t="n"/>
      <c r="B23" s="38" t="inlineStr">
        <is>
          <t>P</t>
        </is>
      </c>
      <c r="C23" s="38" t="n"/>
      <c r="D23" s="38" t="n"/>
      <c r="E23" s="38" t="n"/>
      <c r="F23" s="682" t="n"/>
      <c r="G23" s="601" t="n"/>
      <c r="H23" s="811">
        <f>CONCATENATE($B$1+1," Draft Budget Spent")</f>
        <v/>
      </c>
      <c r="I23" s="753" t="n"/>
      <c r="J23" s="753" t="n"/>
      <c r="K23" s="812">
        <f>SUM(K12,K14,K16,K21,-K18)</f>
        <v/>
      </c>
      <c r="L23" s="29" t="n"/>
      <c r="M23" s="119" t="n"/>
      <c r="N23" s="71" t="n"/>
      <c r="O23" s="616" t="n"/>
      <c r="P23" s="616" t="n"/>
      <c r="Q23" s="146" t="n"/>
      <c r="R23" s="146" t="n"/>
      <c r="S23" s="616" t="n"/>
      <c r="T23" s="616" t="n"/>
      <c r="U23" s="124" t="n"/>
      <c r="V23" s="616" t="n"/>
      <c r="W23" s="124" t="n"/>
      <c r="X23" s="139" t="n"/>
      <c r="Y23" s="141" t="n"/>
      <c r="Z23" s="71" t="n"/>
      <c r="AA23" s="125" t="n"/>
      <c r="AB23" s="29" t="n"/>
      <c r="AC23" s="604" t="n"/>
      <c r="AD23" s="48" t="n"/>
      <c r="AE23" s="48" t="n"/>
      <c r="AF23" s="604" t="n"/>
      <c r="AG23" s="49" t="n"/>
      <c r="AH23" s="48" t="n"/>
      <c r="AI23" s="604" t="n"/>
      <c r="AJ23" s="50" t="n"/>
      <c r="AK23" s="49" t="n"/>
      <c r="AL23" s="48" t="n"/>
      <c r="AM23" s="604" t="n"/>
      <c r="AN23" s="50" t="n"/>
      <c r="AO23" s="49" t="n"/>
      <c r="AP23" s="48" t="n"/>
      <c r="AQ23" s="604" t="n"/>
      <c r="AR23" s="50" t="n"/>
      <c r="AS23" s="49" t="n"/>
      <c r="AT23" s="48" t="n"/>
      <c r="AU23" s="604" t="n"/>
    </row>
    <row r="24" ht="10.5" customHeight="1" s="26">
      <c r="A24" s="622" t="n"/>
      <c r="B24" s="38" t="inlineStr">
        <is>
          <t>P</t>
        </is>
      </c>
      <c r="C24" s="38" t="n"/>
      <c r="D24" s="38" t="n"/>
      <c r="E24" s="38" t="n"/>
      <c r="F24" s="682" t="n"/>
      <c r="G24" s="601" t="n"/>
      <c r="H24" s="702" t="n"/>
      <c r="K24" s="619" t="n"/>
      <c r="L24" s="29" t="n"/>
      <c r="M24" s="802" t="inlineStr">
        <is>
          <t>7th player contract --&gt;&gt;</t>
        </is>
      </c>
      <c r="N24" s="71" t="n"/>
      <c r="O24" s="527" t="n"/>
      <c r="P24" s="616" t="n"/>
      <c r="Q24" s="186" t="n"/>
      <c r="R24" s="146" t="n"/>
      <c r="S24" s="188" t="n"/>
      <c r="T24" s="79" t="n"/>
      <c r="U24" s="803" t="n"/>
      <c r="V24" s="79" t="n"/>
      <c r="W24" s="807">
        <f>Y24-$B$1</f>
        <v/>
      </c>
      <c r="X24" s="82" t="n"/>
      <c r="Y24" s="86">
        <f>S24+U24</f>
        <v/>
      </c>
      <c r="Z24" s="622" t="n"/>
      <c r="AA24" s="96">
        <f>IF(S24&gt;=2014, IF(W24=0,0,IF(U24=1,Q24,IF(U24=2,Q24+5,IF(U24=3,Q24+10,IF(U24=4,Q24+15, IF(U24&gt;4,Q24+U24*4)))))), IF(W24=0,0,IF(U24=1,Q24,IF(U24=2,Q24+4,IF(U24=3,Q24+8,IF(U24&gt;3,Q24+U24*3))))))</f>
        <v/>
      </c>
      <c r="AB24" s="29" t="n"/>
      <c r="AC24" s="604" t="n"/>
      <c r="AD24" s="48" t="n"/>
      <c r="AE24" s="48" t="n"/>
      <c r="AF24" s="604" t="n"/>
      <c r="AG24" s="49" t="n"/>
      <c r="AH24" s="48" t="n"/>
      <c r="AI24" s="604" t="n"/>
      <c r="AJ24" s="50" t="n"/>
      <c r="AK24" s="49" t="n"/>
      <c r="AL24" s="48" t="n"/>
      <c r="AM24" s="604" t="n"/>
      <c r="AN24" s="50" t="n"/>
      <c r="AO24" s="49" t="n"/>
      <c r="AP24" s="48" t="n"/>
      <c r="AQ24" s="604" t="n"/>
      <c r="AR24" s="50" t="n"/>
      <c r="AS24" s="49" t="n"/>
      <c r="AT24" s="48" t="n"/>
      <c r="AU24" s="604" t="n"/>
    </row>
    <row r="25" ht="10.5" customHeight="1" s="26">
      <c r="A25" s="622" t="n"/>
      <c r="B25" s="38" t="inlineStr">
        <is>
          <t>P</t>
        </is>
      </c>
      <c r="C25" s="38" t="n"/>
      <c r="D25" s="38" t="n"/>
      <c r="E25" s="38" t="n"/>
      <c r="F25" s="682" t="n"/>
      <c r="G25" s="601" t="n"/>
      <c r="H25" s="755" t="n"/>
      <c r="I25" s="759" t="n"/>
      <c r="J25" s="759" t="n"/>
      <c r="K25" s="793" t="n"/>
      <c r="L25" s="29" t="n"/>
      <c r="M25" s="702" t="n"/>
      <c r="N25" s="71" t="n"/>
      <c r="P25" s="616" t="n"/>
      <c r="R25" s="146" t="n"/>
      <c r="T25" s="79" t="n"/>
      <c r="U25" s="771" t="n"/>
      <c r="V25" s="79" t="n"/>
      <c r="W25" s="771" t="n"/>
      <c r="X25" s="82" t="n"/>
      <c r="Z25" s="622" t="n"/>
      <c r="AA25" s="619" t="n"/>
      <c r="AB25" s="29" t="n"/>
      <c r="AC25" s="604" t="n"/>
      <c r="AD25" s="48" t="n"/>
      <c r="AE25" s="48" t="n"/>
      <c r="AF25" s="604" t="n"/>
      <c r="AG25" s="49" t="n"/>
      <c r="AH25" s="48" t="n"/>
      <c r="AI25" s="604" t="n"/>
      <c r="AJ25" s="50" t="n"/>
      <c r="AK25" s="49" t="n"/>
      <c r="AL25" s="48" t="n"/>
      <c r="AM25" s="604" t="n"/>
      <c r="AN25" s="50" t="n"/>
      <c r="AO25" s="49" t="n"/>
      <c r="AP25" s="48" t="n"/>
      <c r="AQ25" s="604" t="n"/>
      <c r="AR25" s="50" t="n"/>
      <c r="AS25" s="49" t="n"/>
      <c r="AT25" s="48" t="n"/>
      <c r="AU25" s="604" t="n"/>
    </row>
    <row r="26" ht="10.5" customHeight="1" s="26">
      <c r="A26" s="622" t="n"/>
      <c r="B26" s="38" t="inlineStr">
        <is>
          <t>P</t>
        </is>
      </c>
      <c r="C26" s="38" t="n"/>
      <c r="D26" s="38" t="n"/>
      <c r="E26" s="38" t="n"/>
      <c r="F26" s="682" t="n"/>
      <c r="G26" s="601" t="n"/>
      <c r="H26" s="622" t="n"/>
      <c r="I26" s="622" t="n"/>
      <c r="J26" s="622" t="n"/>
      <c r="K26" s="622" t="n"/>
      <c r="L26" s="29" t="n"/>
      <c r="M26" s="172" t="n"/>
      <c r="N26" s="622" t="n"/>
      <c r="O26" s="616" t="n"/>
      <c r="P26" s="616" t="n"/>
      <c r="Q26" s="146" t="n"/>
      <c r="R26" s="146" t="n"/>
      <c r="S26" s="616" t="n"/>
      <c r="T26" s="616" t="n"/>
      <c r="U26" s="124" t="n"/>
      <c r="V26" s="616" t="n"/>
      <c r="W26" s="124" t="n"/>
      <c r="X26" s="139" t="n"/>
      <c r="Y26" s="141" t="n"/>
      <c r="Z26" s="71" t="n"/>
      <c r="AA26" s="143" t="n"/>
      <c r="AB26" s="29" t="n"/>
      <c r="AC26" s="604" t="n"/>
      <c r="AD26" s="48" t="n"/>
      <c r="AE26" s="48" t="n"/>
      <c r="AF26" s="604" t="n"/>
      <c r="AG26" s="49" t="n"/>
      <c r="AH26" s="48" t="n"/>
      <c r="AI26" s="604" t="n"/>
      <c r="AJ26" s="50" t="n"/>
      <c r="AK26" s="49" t="n"/>
      <c r="AL26" s="48" t="n"/>
      <c r="AM26" s="604" t="n"/>
      <c r="AN26" s="50" t="n"/>
      <c r="AO26" s="49" t="n"/>
      <c r="AP26" s="48" t="n"/>
      <c r="AQ26" s="604" t="n"/>
      <c r="AR26" s="173" t="n"/>
      <c r="AS26" s="49" t="n"/>
      <c r="AT26" s="48" t="n"/>
      <c r="AU26" s="604" t="n"/>
    </row>
    <row r="27" ht="10.5" customHeight="1" s="26">
      <c r="A27" s="622" t="n"/>
      <c r="B27" s="38" t="inlineStr">
        <is>
          <t>P</t>
        </is>
      </c>
      <c r="C27" s="38" t="n"/>
      <c r="D27" s="38" t="n"/>
      <c r="E27" s="38" t="n"/>
      <c r="F27" s="682" t="n"/>
      <c r="G27" s="601" t="n"/>
      <c r="H27" s="813">
        <f>CONCATENATE("Remaining ",$B$1+1," Auction Budget")</f>
        <v/>
      </c>
      <c r="I27" s="753" t="n"/>
      <c r="J27" s="753" t="n"/>
      <c r="K27" s="814">
        <f>K8-K23</f>
        <v/>
      </c>
      <c r="L27" s="29" t="n"/>
      <c r="M27" s="802" t="inlineStr">
        <is>
          <t>8th player contract --&gt;&gt;</t>
        </is>
      </c>
      <c r="N27" s="622" t="n"/>
      <c r="O27" s="527" t="n"/>
      <c r="P27" s="616" t="n"/>
      <c r="Q27" s="186" t="n"/>
      <c r="R27" s="146" t="n"/>
      <c r="S27" s="188" t="n"/>
      <c r="T27" s="79" t="n"/>
      <c r="U27" s="803" t="n"/>
      <c r="V27" s="79" t="n"/>
      <c r="W27" s="807">
        <f>Y27-$B$1</f>
        <v/>
      </c>
      <c r="X27" s="82" t="n"/>
      <c r="Y27" s="86">
        <f>S27+U27</f>
        <v/>
      </c>
      <c r="Z27" s="622" t="n"/>
      <c r="AA27" s="96">
        <f>IF(S27&gt;=2014, IF(W27=0,0,IF(U27=1,Q27,IF(U27=2,Q27+5,IF(U27=3,Q27+10,IF(U27=4,Q27+15, IF(U27&gt;4,Q27+U27*4)))))), IF(W27=0,0,IF(U27=1,Q27,IF(U27=2,Q27+4,IF(U27=3,Q27+8,IF(U27&gt;3,Q27+U27*3))))))</f>
        <v/>
      </c>
      <c r="AB27" s="29" t="n"/>
      <c r="AC27" s="604" t="n"/>
      <c r="AD27" s="48" t="n"/>
      <c r="AE27" s="48" t="n"/>
      <c r="AF27" s="604" t="n"/>
      <c r="AG27" s="49" t="n"/>
      <c r="AH27" s="48" t="n"/>
      <c r="AI27" s="604" t="n"/>
      <c r="AJ27" s="50" t="n"/>
      <c r="AK27" s="49" t="n"/>
      <c r="AL27" s="48" t="n"/>
      <c r="AM27" s="604" t="n"/>
      <c r="AN27" s="50" t="n"/>
      <c r="AO27" s="49" t="n"/>
      <c r="AP27" s="48" t="n"/>
      <c r="AQ27" s="604" t="n"/>
      <c r="AR27" s="50" t="n"/>
      <c r="AS27" s="49" t="n"/>
      <c r="AT27" s="48" t="n"/>
      <c r="AU27" s="604" t="n"/>
    </row>
    <row r="28" ht="10.5" customHeight="1" s="26">
      <c r="A28" s="622" t="n"/>
      <c r="B28" s="38" t="inlineStr">
        <is>
          <t>P</t>
        </is>
      </c>
      <c r="C28" s="38" t="n"/>
      <c r="D28" s="38" t="n"/>
      <c r="E28" s="38" t="n"/>
      <c r="F28" s="682" t="n"/>
      <c r="G28" s="601" t="n"/>
      <c r="H28" s="702" t="n"/>
      <c r="K28" s="619" t="n"/>
      <c r="L28" s="29" t="n"/>
      <c r="M28" s="702" t="n"/>
      <c r="N28" s="622" t="n"/>
      <c r="P28" s="616" t="n"/>
      <c r="R28" s="146" t="n"/>
      <c r="T28" s="79" t="n"/>
      <c r="U28" s="771" t="n"/>
      <c r="V28" s="79" t="n"/>
      <c r="W28" s="771" t="n"/>
      <c r="X28" s="82" t="n"/>
      <c r="Z28" s="622" t="n"/>
      <c r="AA28" s="619" t="n"/>
      <c r="AB28" s="29" t="n"/>
      <c r="AC28" s="604" t="n"/>
      <c r="AD28" s="48" t="n"/>
      <c r="AE28" s="48" t="n"/>
      <c r="AF28" s="604" t="n"/>
      <c r="AG28" s="49" t="n"/>
      <c r="AH28" s="48" t="n"/>
      <c r="AI28" s="604" t="n"/>
      <c r="AJ28" s="50" t="n"/>
      <c r="AK28" s="49" t="n"/>
      <c r="AL28" s="48" t="n"/>
      <c r="AM28" s="604" t="n"/>
      <c r="AN28" s="50" t="n"/>
      <c r="AO28" s="49" t="n"/>
      <c r="AP28" s="48" t="n"/>
      <c r="AQ28" s="604" t="n"/>
      <c r="AR28" s="50" t="n"/>
      <c r="AS28" s="49" t="n"/>
      <c r="AT28" s="48" t="n"/>
      <c r="AU28" s="604" t="n"/>
    </row>
    <row r="29" ht="10.5" customHeight="1" s="26">
      <c r="A29" s="622" t="n"/>
      <c r="B29" s="38" t="inlineStr">
        <is>
          <t>P</t>
        </is>
      </c>
      <c r="C29" s="38" t="n"/>
      <c r="D29" s="38" t="n"/>
      <c r="E29" s="38" t="n"/>
      <c r="F29" s="682" t="n"/>
      <c r="G29" s="601" t="n"/>
      <c r="H29" s="702" t="n"/>
      <c r="K29" s="619" t="n"/>
      <c r="L29" s="29" t="n"/>
      <c r="M29" s="172" t="n"/>
      <c r="N29" s="622" t="n"/>
      <c r="O29" s="616" t="n"/>
      <c r="P29" s="616" t="n"/>
      <c r="Q29" s="146" t="n"/>
      <c r="R29" s="146" t="n"/>
      <c r="S29" s="616" t="n"/>
      <c r="T29" s="616" t="n"/>
      <c r="U29" s="124" t="n"/>
      <c r="V29" s="616" t="n"/>
      <c r="W29" s="124" t="n"/>
      <c r="X29" s="622" t="n"/>
      <c r="Y29" s="622" t="n"/>
      <c r="Z29" s="622" t="n"/>
      <c r="AA29" s="153" t="n"/>
      <c r="AB29" s="29" t="n"/>
      <c r="AC29" s="604" t="n"/>
      <c r="AD29" s="48" t="n"/>
      <c r="AE29" s="48" t="n"/>
      <c r="AF29" s="604" t="n"/>
      <c r="AG29" s="49" t="n"/>
      <c r="AH29" s="48" t="n"/>
      <c r="AI29" s="604" t="n"/>
      <c r="AJ29" s="50" t="n"/>
      <c r="AK29" s="49" t="n"/>
      <c r="AL29" s="48" t="n"/>
      <c r="AM29" s="604" t="n"/>
      <c r="AN29" s="50" t="n"/>
      <c r="AO29" s="49" t="n"/>
      <c r="AP29" s="48" t="n"/>
      <c r="AQ29" s="604" t="n"/>
      <c r="AR29" s="50" t="n"/>
      <c r="AS29" s="49" t="n"/>
      <c r="AT29" s="48" t="n"/>
      <c r="AU29" s="604" t="n"/>
    </row>
    <row r="30" ht="10.5" customHeight="1" s="26">
      <c r="A30" s="622" t="n"/>
      <c r="B30" s="38" t="inlineStr">
        <is>
          <t>P</t>
        </is>
      </c>
      <c r="C30" s="38" t="n"/>
      <c r="D30" s="38" t="n"/>
      <c r="E30" s="38" t="n"/>
      <c r="F30" s="682" t="n"/>
      <c r="G30" s="601" t="n"/>
      <c r="H30" s="755" t="n"/>
      <c r="I30" s="759" t="n"/>
      <c r="J30" s="759" t="n"/>
      <c r="K30" s="793" t="n"/>
      <c r="L30" s="29" t="n"/>
      <c r="M30" s="802" t="inlineStr">
        <is>
          <t>9th player contract --&gt;&gt;</t>
        </is>
      </c>
      <c r="N30" s="71" t="n"/>
      <c r="O30" s="527" t="n"/>
      <c r="P30" s="616" t="n"/>
      <c r="Q30" s="186" t="n"/>
      <c r="R30" s="146" t="n"/>
      <c r="S30" s="188" t="n"/>
      <c r="T30" s="79" t="n"/>
      <c r="U30" s="803" t="n"/>
      <c r="V30" s="79" t="n"/>
      <c r="W30" s="807">
        <f>Y30-$B$1</f>
        <v/>
      </c>
      <c r="X30" s="82" t="n"/>
      <c r="Y30" s="86">
        <f>S30+U30</f>
        <v/>
      </c>
      <c r="Z30" s="622" t="n"/>
      <c r="AA30" s="96">
        <f>IF(S30&gt;=2014, IF(W30=0,0,IF(U30=1,Q30,IF(U30=2,Q30+5,IF(U30=3,Q30+10,IF(U30=4,Q30+15, IF(U30&gt;4,Q30+U30*4)))))), IF(W30=0,0,IF(U30=1,Q30,IF(U30=2,Q30+4,IF(U30=3,Q30+8,IF(U30&gt;3,Q30+U30*3))))))</f>
        <v/>
      </c>
      <c r="AB30" s="29" t="n"/>
      <c r="AC30" s="604" t="n"/>
      <c r="AD30" s="48" t="n"/>
      <c r="AE30" s="48" t="n"/>
      <c r="AF30" s="604" t="n"/>
      <c r="AG30" s="49" t="n"/>
      <c r="AH30" s="48" t="n"/>
      <c r="AI30" s="604" t="n"/>
      <c r="AJ30" s="50" t="n"/>
      <c r="AK30" s="49" t="n"/>
      <c r="AL30" s="48" t="n"/>
      <c r="AM30" s="604" t="n"/>
      <c r="AN30" s="50" t="n"/>
      <c r="AO30" s="49" t="n"/>
      <c r="AP30" s="48" t="n"/>
      <c r="AQ30" s="604" t="n"/>
      <c r="AR30" s="30" t="n"/>
      <c r="AS30" s="49" t="n"/>
      <c r="AT30" s="48" t="n"/>
      <c r="AU30" s="604" t="n"/>
    </row>
    <row r="31" ht="10.5" customHeight="1" s="26">
      <c r="A31" s="622" t="n"/>
      <c r="B31" s="38" t="inlineStr">
        <is>
          <t>P</t>
        </is>
      </c>
      <c r="C31" s="38" t="n"/>
      <c r="D31" s="38" t="n"/>
      <c r="E31" s="38" t="n"/>
      <c r="F31" s="682" t="n"/>
      <c r="G31" s="218" t="n"/>
      <c r="H31" s="54" t="inlineStr">
        <is>
          <t>Roster Key</t>
        </is>
      </c>
      <c r="L31" s="29" t="n"/>
      <c r="M31" s="702" t="n"/>
      <c r="N31" s="71" t="n"/>
      <c r="P31" s="616" t="n"/>
      <c r="R31" s="146" t="n"/>
      <c r="T31" s="79" t="n"/>
      <c r="U31" s="771" t="n"/>
      <c r="V31" s="79" t="n"/>
      <c r="W31" s="771" t="n"/>
      <c r="X31" s="82" t="n"/>
      <c r="Z31" s="622" t="n"/>
      <c r="AA31" s="619" t="n"/>
      <c r="AB31" s="29" t="n"/>
      <c r="AC31" s="604" t="n"/>
      <c r="AD31" s="48" t="n"/>
      <c r="AE31" s="48" t="n"/>
      <c r="AF31" s="604" t="n"/>
      <c r="AG31" s="49" t="n"/>
      <c r="AH31" s="48" t="n"/>
      <c r="AI31" s="604" t="n"/>
      <c r="AJ31" s="50" t="n"/>
      <c r="AK31" s="49" t="n"/>
      <c r="AL31" s="190" t="n"/>
      <c r="AM31" s="191" t="n"/>
      <c r="AN31" s="173" t="n"/>
      <c r="AO31" s="49" t="n"/>
      <c r="AP31" s="48" t="n"/>
      <c r="AQ31" s="604" t="n"/>
      <c r="AR31" s="50" t="n"/>
      <c r="AS31" s="49" t="n"/>
      <c r="AT31" s="48" t="n"/>
      <c r="AU31" s="604" t="n"/>
    </row>
    <row r="32" ht="10.5" customHeight="1" s="26">
      <c r="A32" s="622" t="n"/>
      <c r="B32" s="38" t="inlineStr">
        <is>
          <t>SS,MI</t>
        </is>
      </c>
      <c r="C32" s="38" t="n"/>
      <c r="D32" s="38" t="n"/>
      <c r="E32" s="38" t="n"/>
      <c r="F32" s="682" t="n"/>
      <c r="G32" s="218" t="n"/>
      <c r="L32" s="29" t="n"/>
      <c r="M32" s="172" t="n"/>
      <c r="N32" s="622" t="n"/>
      <c r="O32" s="616" t="n"/>
      <c r="P32" s="616" t="n"/>
      <c r="Q32" s="146" t="n"/>
      <c r="R32" s="146" t="n"/>
      <c r="S32" s="616" t="n"/>
      <c r="T32" s="616" t="n"/>
      <c r="U32" s="124" t="n"/>
      <c r="V32" s="139" t="n"/>
      <c r="W32" s="255" t="n"/>
      <c r="X32" s="139" t="n"/>
      <c r="Y32" s="141" t="n"/>
      <c r="Z32" s="71" t="n"/>
      <c r="AA32" s="164" t="n"/>
      <c r="AB32" s="29" t="n"/>
      <c r="AC32" s="604" t="n"/>
      <c r="AD32" s="48" t="n"/>
      <c r="AE32" s="48" t="n"/>
      <c r="AF32" s="604" t="n"/>
      <c r="AG32" s="49" t="n"/>
      <c r="AH32" s="48" t="n"/>
      <c r="AI32" s="604" t="n"/>
      <c r="AJ32" s="50" t="n"/>
      <c r="AK32" s="49" t="n"/>
      <c r="AL32" s="48" t="n"/>
      <c r="AM32" s="604" t="n"/>
      <c r="AN32" s="50" t="n"/>
      <c r="AO32" s="49" t="n"/>
      <c r="AP32" s="48" t="n"/>
      <c r="AQ32" s="604" t="n"/>
      <c r="AR32" s="50" t="n"/>
      <c r="AS32" s="49" t="n"/>
      <c r="AT32" s="48" t="n"/>
      <c r="AU32" s="604" t="n"/>
    </row>
    <row r="33" ht="10.5" customHeight="1" s="26">
      <c r="A33" s="622" t="n"/>
      <c r="B33" s="38" t="inlineStr">
        <is>
          <t>SS,MI</t>
        </is>
      </c>
      <c r="C33" s="38" t="n"/>
      <c r="D33" s="38" t="n"/>
      <c r="E33" s="38" t="n"/>
      <c r="F33" s="682" t="n"/>
      <c r="G33" s="218" t="n"/>
      <c r="H33" s="815" t="inlineStr">
        <is>
          <t>Red = Under contract</t>
        </is>
      </c>
      <c r="I33" s="753" t="n"/>
      <c r="J33" s="753" t="n"/>
      <c r="K33" s="816" t="n"/>
      <c r="L33" s="29" t="n"/>
      <c r="M33" s="802" t="inlineStr">
        <is>
          <t>10th player contract --&gt;&gt;</t>
        </is>
      </c>
      <c r="N33" s="622" t="n"/>
      <c r="O33" s="527" t="n"/>
      <c r="P33" s="616" t="n"/>
      <c r="Q33" s="186" t="n"/>
      <c r="R33" s="146" t="n"/>
      <c r="S33" s="188" t="n"/>
      <c r="T33" s="79" t="n"/>
      <c r="U33" s="803" t="n"/>
      <c r="V33" s="127" t="n"/>
      <c r="W33" s="807">
        <f>Y33-$B$1</f>
        <v/>
      </c>
      <c r="X33" s="622" t="n"/>
      <c r="Y33" s="86">
        <f>S33+U33</f>
        <v/>
      </c>
      <c r="Z33" s="622" t="n"/>
      <c r="AA33" s="96">
        <f>IF(S33&gt;=2014, IF(W33=0,0,IF(U33=1,Q33,IF(U33=2,Q33+5,IF(U33=3,Q33+10,IF(U33=4,Q33+15, IF(U33&gt;4,Q33+U33*4)))))), IF(W33=0,0,IF(U33=1,Q33,IF(U33=2,Q33+4,IF(U33=3,Q33+8,IF(U33&gt;3,Q33+U33*3))))))</f>
        <v/>
      </c>
      <c r="AB33" s="195" t="n"/>
      <c r="AC33" s="49" t="n"/>
      <c r="AD33" s="48" t="n"/>
      <c r="AE33" s="604" t="n"/>
      <c r="AF33" s="50" t="n"/>
      <c r="AG33" s="49" t="n"/>
      <c r="AH33" s="48" t="n"/>
      <c r="AI33" s="604" t="n"/>
      <c r="AJ33" s="50" t="n"/>
      <c r="AK33" s="49" t="n"/>
      <c r="AL33" s="48" t="n"/>
      <c r="AM33" s="604" t="n"/>
      <c r="AN33" s="50" t="n"/>
      <c r="AO33" s="49" t="n"/>
      <c r="AP33" s="48" t="n"/>
      <c r="AQ33" s="604" t="n"/>
      <c r="AR33" s="50" t="n"/>
      <c r="AS33" s="49" t="n"/>
      <c r="AT33" s="48" t="n"/>
      <c r="AU33" s="604" t="n"/>
    </row>
    <row r="34" ht="10.5" customHeight="1" s="26">
      <c r="A34" s="622" t="n"/>
      <c r="B34" s="38" t="inlineStr">
        <is>
          <t>UT</t>
        </is>
      </c>
      <c r="C34" s="110" t="n"/>
      <c r="D34" s="38" t="n"/>
      <c r="E34" s="38" t="n"/>
      <c r="F34" s="682" t="n"/>
      <c r="G34" s="218" t="n"/>
      <c r="H34" s="817">
        <f>CONCATENATE("Blue =  Free Agent - Not signable")</f>
        <v/>
      </c>
      <c r="K34" s="619" t="n"/>
      <c r="L34" s="29" t="n"/>
      <c r="M34" s="702" t="n"/>
      <c r="N34" s="622" t="n"/>
      <c r="P34" s="616" t="n"/>
      <c r="R34" s="146" t="n"/>
      <c r="T34" s="79" t="n"/>
      <c r="U34" s="771" t="n"/>
      <c r="V34" s="127" t="n"/>
      <c r="W34" s="771" t="n"/>
      <c r="X34" s="622" t="n"/>
      <c r="Z34" s="622" t="n"/>
      <c r="AA34" s="619" t="n"/>
      <c r="AB34" s="195" t="n"/>
      <c r="AC34" s="49" t="n"/>
      <c r="AD34" s="48" t="n"/>
      <c r="AE34" s="604" t="n"/>
      <c r="AF34" s="50" t="n"/>
      <c r="AG34" s="49" t="n"/>
      <c r="AH34" s="48" t="n"/>
      <c r="AI34" s="604" t="n"/>
      <c r="AJ34" s="50" t="n"/>
      <c r="AK34" s="49" t="n"/>
      <c r="AL34" s="48" t="n"/>
      <c r="AM34" s="604" t="n"/>
      <c r="AN34" s="50" t="n"/>
      <c r="AO34" s="49" t="n"/>
      <c r="AP34" s="48" t="n"/>
      <c r="AQ34" s="604" t="n"/>
      <c r="AR34" s="50" t="n"/>
      <c r="AS34" s="49" t="n"/>
      <c r="AT34" s="48" t="n"/>
      <c r="AU34" s="604" t="n"/>
    </row>
    <row r="35" ht="10.5" customHeight="1" s="26">
      <c r="A35" s="622" t="n"/>
      <c r="B35" s="199" t="inlineStr">
        <is>
          <t>DL 3</t>
        </is>
      </c>
      <c r="C35" s="443" t="n"/>
      <c r="G35" s="218" t="n"/>
      <c r="H35" s="818" t="inlineStr">
        <is>
          <t>White = Signable</t>
        </is>
      </c>
      <c r="I35" s="759" t="n"/>
      <c r="J35" s="759" t="n"/>
      <c r="K35" s="793" t="n"/>
      <c r="L35" s="29" t="n"/>
      <c r="M35" s="172" t="n"/>
      <c r="N35" s="622" t="n"/>
      <c r="O35" s="622" t="n"/>
      <c r="P35" s="622" t="n"/>
      <c r="Q35" s="622" t="n"/>
      <c r="R35" s="622" t="n"/>
      <c r="S35" s="622" t="n"/>
      <c r="T35" s="622" t="n"/>
      <c r="U35" s="207" t="n"/>
      <c r="V35" s="622" t="n"/>
      <c r="W35" s="622" t="n"/>
      <c r="X35" s="622" t="n"/>
      <c r="Y35" s="622" t="n"/>
      <c r="Z35" s="622" t="n"/>
      <c r="AA35" s="125" t="n"/>
      <c r="AB35" s="195" t="n"/>
      <c r="AC35" s="49" t="n"/>
      <c r="AD35" s="48" t="n"/>
      <c r="AE35" s="604" t="n"/>
      <c r="AF35" s="50" t="n"/>
      <c r="AG35" s="49" t="n"/>
      <c r="AH35" s="48" t="n"/>
      <c r="AI35" s="604" t="n"/>
      <c r="AJ35" s="50" t="n"/>
      <c r="AK35" s="49" t="n"/>
      <c r="AL35" s="48" t="n"/>
      <c r="AM35" s="604" t="n"/>
      <c r="AN35" s="50" t="n"/>
      <c r="AO35" s="49" t="n"/>
      <c r="AR35" s="30" t="n"/>
      <c r="AS35" s="49" t="n"/>
      <c r="AT35" s="48" t="n"/>
      <c r="AU35" s="604" t="n"/>
    </row>
    <row r="36" ht="11.25" customHeight="1" s="26">
      <c r="A36" s="622" t="n"/>
      <c r="B36" s="199" t="inlineStr">
        <is>
          <t>DL 4</t>
        </is>
      </c>
      <c r="C36" s="443" t="n"/>
      <c r="F36" s="209" t="n"/>
      <c r="G36" s="218" t="n"/>
      <c r="H36" s="622" t="n"/>
      <c r="I36" s="622" t="n"/>
      <c r="J36" s="872">
        <f>CONCATENATE("Keep ",M3,"?")</f>
        <v/>
      </c>
      <c r="K36" s="622" t="n"/>
      <c r="L36" s="29" t="n"/>
      <c r="M36" s="802" t="inlineStr">
        <is>
          <t>11th player contract --&gt;&gt;</t>
        </is>
      </c>
      <c r="N36" s="71" t="n"/>
      <c r="O36" s="695" t="n"/>
      <c r="P36" s="622" t="n"/>
      <c r="Q36" s="471" t="n"/>
      <c r="R36" s="67" t="n"/>
      <c r="S36" s="458" t="n"/>
      <c r="T36" s="215" t="n"/>
      <c r="U36" s="820" t="n"/>
      <c r="V36" s="139" t="n"/>
      <c r="W36" s="821">
        <f>Y36-$B$1</f>
        <v/>
      </c>
      <c r="X36" s="622" t="n"/>
      <c r="Y36" s="86">
        <f>S36+U36</f>
        <v/>
      </c>
      <c r="Z36" s="622" t="n"/>
      <c r="AA36" s="96">
        <f>IF(S36&gt;=2014, IF(W36=0,0,IF(U36=1,Q36,IF(U36=2,Q36+5,IF(U36=3,Q36+10,IF(U36=4,Q36+15, IF(U36&gt;4,Q36+U36*4)))))), IF(W36=0,0,IF(U36=1,Q36,IF(U36=2,Q36+4,IF(U36=3,Q36+8,IF(U36&gt;3,Q36+U36*3))))))</f>
        <v/>
      </c>
      <c r="AB36" s="195" t="n"/>
      <c r="AC36" s="49" t="n"/>
      <c r="AD36" s="48" t="n"/>
      <c r="AE36" s="604" t="n"/>
      <c r="AF36" s="50" t="n"/>
      <c r="AH36" s="48" t="n"/>
      <c r="AI36" s="604" t="n"/>
      <c r="AJ36" s="30" t="n"/>
      <c r="AL36" s="48" t="n"/>
      <c r="AM36" s="604" t="n"/>
      <c r="AN36" s="50" t="n"/>
      <c r="AO36" s="49" t="n"/>
      <c r="AP36" s="48" t="n"/>
      <c r="AQ36" s="604" t="n"/>
      <c r="AR36" s="50" t="n"/>
      <c r="AS36" s="49" t="n"/>
      <c r="AT36" s="48" t="n"/>
      <c r="AU36" s="604" t="n"/>
    </row>
    <row r="37" ht="11.25" customHeight="1" s="26">
      <c r="A37" s="622" t="n"/>
      <c r="B37" s="199" t="inlineStr">
        <is>
          <t>DL 5</t>
        </is>
      </c>
      <c r="C37" s="559" t="n"/>
      <c r="D37" s="759" t="n"/>
      <c r="E37" s="759" t="n"/>
      <c r="F37" s="379" t="n"/>
      <c r="G37" s="873" t="inlineStr">
        <is>
          <t>Drafted</t>
        </is>
      </c>
      <c r="H37" s="759" t="n"/>
      <c r="I37" s="383" t="inlineStr">
        <is>
          <t>MLB</t>
        </is>
      </c>
      <c r="J37" s="759" t="n"/>
      <c r="K37" s="220" t="n"/>
      <c r="L37" s="29" t="n"/>
      <c r="M37" s="702" t="n"/>
      <c r="N37" s="71" t="n"/>
      <c r="P37" s="622" t="n"/>
      <c r="R37" s="67" t="n"/>
      <c r="T37" s="215" t="n"/>
      <c r="U37" s="823" t="n"/>
      <c r="V37" s="139" t="n"/>
      <c r="W37" s="823" t="n"/>
      <c r="X37" s="622" t="n"/>
      <c r="Z37" s="622" t="n"/>
      <c r="AA37" s="619" t="n"/>
      <c r="AB37" s="195" t="n"/>
      <c r="AC37" s="49" t="n"/>
      <c r="AD37" s="48" t="n"/>
      <c r="AE37" s="604" t="n"/>
      <c r="AF37" s="50" t="n"/>
      <c r="AG37" s="49" t="n"/>
      <c r="AH37" s="48" t="n"/>
      <c r="AI37" s="604" t="n"/>
      <c r="AJ37" s="50" t="n"/>
      <c r="AK37" s="49" t="n"/>
      <c r="AL37" s="48" t="n"/>
      <c r="AM37" s="604" t="n"/>
      <c r="AN37" s="50" t="n"/>
      <c r="AO37" s="49" t="n"/>
      <c r="AP37" s="48" t="n"/>
      <c r="AQ37" s="604" t="n"/>
      <c r="AR37" s="50" t="n"/>
      <c r="AS37" s="49" t="n"/>
      <c r="AT37" s="48" t="n"/>
      <c r="AU37" s="604" t="n"/>
    </row>
    <row r="38" ht="11.25" customHeight="1" s="26">
      <c r="A38" s="622" t="n"/>
      <c r="B38" s="222" t="inlineStr">
        <is>
          <t>Farm 1</t>
        </is>
      </c>
      <c r="C38" s="443" t="inlineStr">
        <is>
          <t>Cam Collier</t>
        </is>
      </c>
      <c r="F38" s="367" t="n">
        <v>4</v>
      </c>
      <c r="G38" s="405" t="n">
        <v>2022</v>
      </c>
      <c r="I38" s="445" t="inlineStr">
        <is>
          <t>No</t>
        </is>
      </c>
      <c r="J38" s="446" t="n"/>
      <c r="K38" s="172" t="n"/>
      <c r="L38" s="29" t="n"/>
      <c r="M38" s="172" t="n"/>
      <c r="N38" s="622" t="n"/>
      <c r="O38" s="622" t="n"/>
      <c r="P38" s="622" t="n"/>
      <c r="Q38" s="266" t="n"/>
      <c r="R38" s="266" t="n"/>
      <c r="S38" s="622" t="n"/>
      <c r="T38" s="622" t="n"/>
      <c r="U38" s="230" t="n"/>
      <c r="V38" s="622" t="n"/>
      <c r="W38" s="622" t="n"/>
      <c r="X38" s="622" t="n"/>
      <c r="Y38" s="622" t="n"/>
      <c r="Z38" s="622" t="n"/>
      <c r="AA38" s="546" t="n"/>
      <c r="AB38" s="195" t="n"/>
      <c r="AC38" s="49" t="n"/>
      <c r="AD38" s="48" t="n"/>
      <c r="AE38" s="604" t="n"/>
      <c r="AF38" s="50" t="n"/>
      <c r="AG38" s="49" t="n"/>
      <c r="AH38" s="48" t="n"/>
      <c r="AI38" s="604" t="n"/>
      <c r="AJ38" s="50" t="n"/>
      <c r="AK38" s="49" t="n"/>
      <c r="AL38" s="48" t="n"/>
      <c r="AM38" s="604" t="n"/>
      <c r="AN38" s="50" t="n"/>
      <c r="AO38" s="49" t="n"/>
      <c r="AP38" s="48" t="n"/>
      <c r="AQ38" s="604" t="n"/>
      <c r="AR38" s="50" t="n"/>
      <c r="AS38" s="49" t="n"/>
      <c r="AT38" s="48" t="n"/>
      <c r="AU38" s="604" t="n"/>
    </row>
    <row r="39" ht="11.25" customHeight="1" s="26">
      <c r="A39" s="622" t="n"/>
      <c r="B39" s="231" t="inlineStr">
        <is>
          <t>Farm 2</t>
        </is>
      </c>
      <c r="C39" s="530" t="inlineStr">
        <is>
          <t>Noah Schultz</t>
        </is>
      </c>
      <c r="F39" s="244" t="n">
        <v>2</v>
      </c>
      <c r="G39" s="351" t="n">
        <v>2025</v>
      </c>
      <c r="I39" s="352" t="inlineStr">
        <is>
          <t>No</t>
        </is>
      </c>
      <c r="J39" s="552" t="n"/>
      <c r="K39" s="172" t="n"/>
      <c r="L39" s="29" t="n"/>
      <c r="M39" s="824" t="inlineStr">
        <is>
          <t>12th player contract --&gt;&gt;</t>
        </is>
      </c>
      <c r="N39" s="71" t="n"/>
      <c r="O39" s="695" t="n"/>
      <c r="P39" s="622" t="n"/>
      <c r="Q39" s="471" t="n"/>
      <c r="R39" s="67" t="n"/>
      <c r="S39" s="458" t="n"/>
      <c r="T39" s="215" t="n"/>
      <c r="U39" s="820" t="n"/>
      <c r="V39" s="139" t="n"/>
      <c r="W39" s="821">
        <f>Y39-$B$1</f>
        <v/>
      </c>
      <c r="X39" s="622" t="n"/>
      <c r="Y39" s="86">
        <f>S39+U39</f>
        <v/>
      </c>
      <c r="Z39" s="622" t="n"/>
      <c r="AA39" s="96">
        <f>IF(S39&gt;=2014, IF(W39=0,0,IF(U39=1,Q39,IF(U39=2,Q39+5,IF(U39=3,Q39+10,IF(U39=4,Q39+15, IF(U39&gt;4,Q39+U39*4)))))), IF(W39=0,0,IF(U39=1,Q39,IF(U39=2,Q39+4,IF(U39=3,Q39+8,IF(U39&gt;3,Q39+U39*3))))))</f>
        <v/>
      </c>
      <c r="AB39" s="622" t="n"/>
      <c r="AC39" s="49" t="n"/>
      <c r="AD39" s="48" t="n"/>
      <c r="AE39" s="604" t="n"/>
      <c r="AF39" s="50" t="n"/>
      <c r="AG39" s="49" t="n"/>
      <c r="AH39" s="48" t="n"/>
      <c r="AI39" s="604" t="n"/>
      <c r="AJ39" s="50" t="n"/>
      <c r="AK39" s="49" t="n"/>
      <c r="AL39" s="48" t="n"/>
      <c r="AM39" s="604" t="n"/>
      <c r="AN39" s="50" t="n"/>
      <c r="AO39" s="49" t="n"/>
      <c r="AR39" s="50" t="n"/>
      <c r="AT39" s="48" t="n"/>
      <c r="AU39" s="604" t="n"/>
    </row>
    <row r="40" ht="11.25" customHeight="1" s="26">
      <c r="A40" s="622" t="n"/>
      <c r="B40" s="231" t="inlineStr">
        <is>
          <t>Farm 3</t>
        </is>
      </c>
      <c r="C40" s="528" t="inlineStr">
        <is>
          <t>Jett Williams</t>
        </is>
      </c>
      <c r="F40" s="388" t="n">
        <v>3</v>
      </c>
      <c r="G40" s="332" t="n">
        <v>2024</v>
      </c>
      <c r="I40" s="333" t="inlineStr">
        <is>
          <t>No</t>
        </is>
      </c>
      <c r="J40" s="552" t="n"/>
      <c r="K40" s="172" t="n"/>
      <c r="L40" s="29" t="n"/>
      <c r="M40" s="702" t="n"/>
      <c r="N40" s="71" t="n"/>
      <c r="P40" s="622" t="n"/>
      <c r="R40" s="67" t="n"/>
      <c r="T40" s="215" t="n"/>
      <c r="U40" s="823" t="n"/>
      <c r="V40" s="139" t="n"/>
      <c r="W40" s="823" t="n"/>
      <c r="X40" s="622" t="n"/>
      <c r="Z40" s="622" t="n"/>
      <c r="AA40" s="619" t="n"/>
      <c r="AB40" s="622" t="n"/>
      <c r="AC40" s="49" t="n"/>
      <c r="AD40" s="48" t="n"/>
      <c r="AE40" s="604" t="n"/>
      <c r="AF40" s="50" t="n"/>
      <c r="AG40" s="49" t="n"/>
      <c r="AH40" s="48" t="n"/>
      <c r="AI40" s="604" t="n"/>
      <c r="AJ40" s="50" t="n"/>
      <c r="AK40" s="49" t="n"/>
      <c r="AL40" s="48" t="n"/>
      <c r="AM40" s="604" t="n"/>
      <c r="AN40" s="50" t="n"/>
      <c r="AO40" s="49" t="n"/>
      <c r="AP40" s="48" t="n"/>
      <c r="AQ40" s="604" t="n"/>
      <c r="AR40" s="50" t="n"/>
      <c r="AT40" s="48" t="n"/>
      <c r="AU40" s="604" t="n"/>
    </row>
    <row r="41" ht="11.25" customHeight="1" s="26">
      <c r="A41" s="622" t="n"/>
      <c r="B41" s="231" t="inlineStr">
        <is>
          <t>Farm 4</t>
        </is>
      </c>
      <c r="C41" s="530" t="inlineStr">
        <is>
          <t>Jesus Made</t>
        </is>
      </c>
      <c r="F41" s="309" t="n">
        <v>2</v>
      </c>
      <c r="G41" s="405" t="n">
        <v>2025</v>
      </c>
      <c r="I41" s="445" t="inlineStr">
        <is>
          <t>No</t>
        </is>
      </c>
      <c r="J41" s="618" t="n"/>
      <c r="K41" s="172" t="n"/>
      <c r="L41" s="29" t="n"/>
      <c r="M41" s="172" t="n"/>
      <c r="N41" s="622" t="n"/>
      <c r="O41" s="423" t="n"/>
      <c r="P41" s="139" t="n"/>
      <c r="Q41" s="247" t="n"/>
      <c r="R41" s="67" t="n"/>
      <c r="S41" s="248" t="n"/>
      <c r="T41" s="215" t="n"/>
      <c r="U41" s="250" t="n"/>
      <c r="V41" s="139" t="n"/>
      <c r="W41" s="251" t="n"/>
      <c r="X41" s="139" t="n"/>
      <c r="Y41" s="141" t="n"/>
      <c r="Z41" s="71" t="n"/>
      <c r="AA41" s="143" t="n"/>
      <c r="AB41" s="622" t="n"/>
      <c r="AD41" s="48" t="n"/>
      <c r="AE41" s="604" t="n"/>
      <c r="AF41" s="50" t="n"/>
      <c r="AG41" s="49" t="n"/>
      <c r="AJ41" s="50" t="n"/>
      <c r="AK41" s="49" t="n"/>
      <c r="AL41" s="48" t="n"/>
      <c r="AM41" s="604" t="n"/>
      <c r="AN41" s="30" t="n"/>
      <c r="AP41" s="48" t="n"/>
      <c r="AQ41" s="604" t="n"/>
      <c r="AR41" s="30" t="n"/>
      <c r="AT41" s="48" t="n"/>
      <c r="AU41" s="604" t="n"/>
    </row>
    <row r="42" ht="11.25" customHeight="1" s="26">
      <c r="A42" s="622" t="n"/>
      <c r="B42" s="231" t="inlineStr">
        <is>
          <t>Farm 5</t>
        </is>
      </c>
      <c r="C42" s="443" t="inlineStr">
        <is>
          <t>Felnin Celesten</t>
        </is>
      </c>
      <c r="F42" s="309" t="n">
        <v>2</v>
      </c>
      <c r="G42" s="405" t="n">
        <v>2025</v>
      </c>
      <c r="I42" s="445" t="inlineStr">
        <is>
          <t>No</t>
        </is>
      </c>
      <c r="J42" s="618" t="n"/>
      <c r="K42" s="172" t="n"/>
      <c r="L42" s="29" t="n"/>
      <c r="M42" s="824" t="inlineStr">
        <is>
          <t>13th player contract --&gt;&gt;</t>
        </is>
      </c>
      <c r="N42" s="622" t="n"/>
      <c r="O42" s="695" t="n"/>
      <c r="P42" s="622" t="n"/>
      <c r="Q42" s="471" t="n"/>
      <c r="R42" s="67" t="n"/>
      <c r="S42" s="458" t="n"/>
      <c r="T42" s="215" t="n"/>
      <c r="U42" s="820" t="n"/>
      <c r="V42" s="139" t="n"/>
      <c r="W42" s="821">
        <f>Y42-$B$1</f>
        <v/>
      </c>
      <c r="X42" s="622" t="n"/>
      <c r="Y42" s="86">
        <f>S42+U42</f>
        <v/>
      </c>
      <c r="Z42" s="622" t="n"/>
      <c r="AA42" s="96">
        <f>IF(S42&gt;=2014, IF(W42=0,0,IF(U42=1,Q42,IF(U42=2,Q42+5,IF(U42=3,Q42+10,IF(U42=4,Q42+15, IF(U42&gt;4,Q42+U42*4)))))), IF(W42=0,0,IF(U42=1,Q42,IF(U42=2,Q42+4,IF(U42=3,Q42+8,IF(U42&gt;3,Q42+U42*3))))))</f>
        <v/>
      </c>
      <c r="AB42" s="622" t="n"/>
      <c r="AD42" s="48" t="n"/>
      <c r="AE42" s="604" t="n"/>
      <c r="AF42" s="50" t="n"/>
      <c r="AG42" s="49" t="n"/>
      <c r="AH42" s="48" t="n"/>
      <c r="AI42" s="604" t="n"/>
      <c r="AJ42" s="50" t="n"/>
      <c r="AK42" s="49" t="n"/>
      <c r="AL42" s="48" t="n"/>
      <c r="AM42" s="604" t="n"/>
      <c r="AN42" s="30" t="n"/>
      <c r="AP42" s="48" t="n"/>
      <c r="AQ42" s="604" t="n"/>
      <c r="AR42" s="30" t="n"/>
      <c r="AT42" s="48" t="n"/>
      <c r="AU42" s="604" t="n"/>
    </row>
    <row r="43" ht="11.25" customHeight="1" s="26">
      <c r="A43" s="622" t="n"/>
      <c r="B43" s="231" t="inlineStr">
        <is>
          <t>Farm 6</t>
        </is>
      </c>
      <c r="C43" s="550" t="inlineStr">
        <is>
          <t>Braden Montgomery</t>
        </is>
      </c>
      <c r="F43" s="309" t="n">
        <v>2</v>
      </c>
      <c r="G43" s="405" t="n">
        <v>2025</v>
      </c>
      <c r="I43" s="445" t="inlineStr">
        <is>
          <t>No</t>
        </is>
      </c>
      <c r="J43" s="618" t="n"/>
      <c r="K43" s="172" t="n"/>
      <c r="L43" s="29" t="n"/>
      <c r="M43" s="702" t="n"/>
      <c r="N43" s="622" t="n"/>
      <c r="P43" s="622" t="n"/>
      <c r="R43" s="67" t="n"/>
      <c r="T43" s="215" t="n"/>
      <c r="U43" s="823" t="n"/>
      <c r="V43" s="139" t="n"/>
      <c r="W43" s="823" t="n"/>
      <c r="X43" s="622" t="n"/>
      <c r="Z43" s="622" t="n"/>
      <c r="AA43" s="619" t="n"/>
      <c r="AB43" s="622" t="n"/>
      <c r="AD43" s="48" t="n"/>
      <c r="AE43" s="604" t="n"/>
      <c r="AF43" s="30" t="n"/>
      <c r="AJ43" s="30" t="n"/>
      <c r="AL43" s="48" t="n"/>
      <c r="AM43" s="604" t="n"/>
      <c r="AN43" s="30" t="n"/>
      <c r="AP43" s="48" t="n"/>
      <c r="AQ43" s="604" t="n"/>
      <c r="AR43" s="30" t="n"/>
    </row>
    <row r="44" ht="11.25" customHeight="1" s="26">
      <c r="A44" s="622" t="n"/>
      <c r="B44" s="231" t="inlineStr">
        <is>
          <t>Farm 7</t>
        </is>
      </c>
      <c r="C44" s="443" t="n"/>
      <c r="F44" s="309" t="n"/>
      <c r="G44" s="405" t="n"/>
      <c r="I44" s="445" t="n"/>
      <c r="J44" s="618" t="n"/>
      <c r="K44" s="172" t="n"/>
      <c r="L44" s="29" t="n"/>
      <c r="M44" s="172" t="n"/>
      <c r="N44" s="622" t="n"/>
      <c r="O44" s="622" t="n"/>
      <c r="P44" s="622" t="n"/>
      <c r="Q44" s="622" t="n"/>
      <c r="R44" s="622" t="n"/>
      <c r="S44" s="622" t="n"/>
      <c r="T44" s="622" t="n"/>
      <c r="U44" s="230" t="n"/>
      <c r="V44" s="622" t="n"/>
      <c r="W44" s="251" t="n"/>
      <c r="X44" s="622" t="n"/>
      <c r="Y44" s="622" t="n"/>
      <c r="Z44" s="622" t="n"/>
      <c r="AA44" s="164" t="n"/>
      <c r="AB44" s="622" t="n"/>
      <c r="AD44" s="48" t="n"/>
      <c r="AE44" s="604" t="n"/>
      <c r="AF44" s="30" t="n"/>
      <c r="AJ44" s="30" t="n"/>
      <c r="AL44" s="48" t="n"/>
      <c r="AM44" s="604" t="n"/>
      <c r="AN44" s="30" t="n"/>
      <c r="AP44" s="48" t="n"/>
      <c r="AQ44" s="604" t="n"/>
      <c r="AR44" s="30" t="n"/>
    </row>
    <row r="45" ht="11.25" customHeight="1" s="26">
      <c r="A45" s="622" t="n"/>
      <c r="B45" s="231" t="inlineStr">
        <is>
          <t>Farm 8</t>
        </is>
      </c>
      <c r="C45" s="443" t="n"/>
      <c r="F45" s="309" t="n"/>
      <c r="G45" s="405" t="n"/>
      <c r="I45" s="445" t="n"/>
      <c r="J45" s="618" t="n"/>
      <c r="K45" s="172" t="n"/>
      <c r="L45" s="29" t="n"/>
      <c r="M45" s="824" t="inlineStr">
        <is>
          <t>14th player contract --&gt;&gt;</t>
        </is>
      </c>
      <c r="N45" s="71" t="n"/>
      <c r="O45" s="695" t="inlineStr">
        <is>
          <t> </t>
        </is>
      </c>
      <c r="P45" s="622" t="n"/>
      <c r="Q45" s="471" t="n"/>
      <c r="R45" s="67" t="n"/>
      <c r="S45" s="458" t="n"/>
      <c r="T45" s="215" t="n"/>
      <c r="U45" s="820" t="n"/>
      <c r="V45" s="139" t="n"/>
      <c r="W45" s="821">
        <f>Y45-$B$1</f>
        <v/>
      </c>
      <c r="X45" s="622" t="n"/>
      <c r="Y45" s="86">
        <f>S45+U45</f>
        <v/>
      </c>
      <c r="Z45" s="622" t="n"/>
      <c r="AA45" s="96">
        <f>IF(S45&gt;=2014, IF(W45=0,0,IF(U45=1,Q45,IF(U45=2,Q45+5,IF(U45=3,Q45+10,IF(U45=4,Q45+15, IF(U45&gt;4,Q45+U45*4)))))), IF(W45=0,0,IF(U45=1,Q45,IF(U45=2,Q45+4,IF(U45=3,Q45+8,IF(U45&gt;3,Q45+U45*3))))))</f>
        <v/>
      </c>
      <c r="AB45" s="622" t="n"/>
      <c r="AC45" s="49" t="n"/>
      <c r="AD45" s="48" t="n"/>
      <c r="AE45" s="604" t="n"/>
      <c r="AF45" s="50" t="n"/>
      <c r="AG45" s="49" t="n"/>
      <c r="AJ45" s="30" t="n"/>
      <c r="AL45" s="48" t="n"/>
      <c r="AM45" s="604" t="n"/>
      <c r="AN45" s="30" t="n"/>
      <c r="AP45" s="48" t="n"/>
      <c r="AQ45" s="604" t="n"/>
      <c r="AR45" s="30" t="n"/>
    </row>
    <row r="46" ht="11.25" customHeight="1" s="26">
      <c r="A46" s="622" t="n"/>
      <c r="B46" s="231" t="inlineStr">
        <is>
          <t>Farm 9</t>
        </is>
      </c>
      <c r="C46" s="550" t="n"/>
      <c r="F46" s="309" t="n"/>
      <c r="G46" s="405" t="n"/>
      <c r="I46" s="445" t="n"/>
      <c r="J46" s="618" t="n"/>
      <c r="K46" s="622" t="n"/>
      <c r="L46" s="29" t="n"/>
      <c r="M46" s="702" t="n"/>
      <c r="N46" s="71" t="n"/>
      <c r="P46" s="622" t="n"/>
      <c r="R46" s="67" t="n"/>
      <c r="T46" s="215" t="n"/>
      <c r="U46" s="823" t="n"/>
      <c r="V46" s="139" t="n"/>
      <c r="W46" s="823" t="n"/>
      <c r="X46" s="622" t="n"/>
      <c r="Z46" s="622" t="n"/>
      <c r="AA46" s="619" t="n"/>
      <c r="AB46" s="622" t="n"/>
      <c r="AD46" s="48" t="n"/>
      <c r="AE46" s="604" t="n"/>
      <c r="AF46" s="30" t="n"/>
      <c r="AJ46" s="30" t="n"/>
      <c r="AL46" s="48" t="n"/>
      <c r="AM46" s="604" t="n"/>
      <c r="AN46" s="30" t="n"/>
      <c r="AP46" s="48" t="n"/>
      <c r="AQ46" s="604" t="n"/>
      <c r="AR46" s="30" t="n"/>
    </row>
    <row r="47" ht="11.25" customHeight="1" s="26">
      <c r="A47" s="622" t="n"/>
      <c r="B47" s="231" t="inlineStr">
        <is>
          <t>Farm 10</t>
        </is>
      </c>
      <c r="C47" s="550" t="n"/>
      <c r="F47" s="309" t="n"/>
      <c r="G47" s="405" t="n"/>
      <c r="I47" s="445" t="n"/>
      <c r="J47" s="618" t="n"/>
      <c r="K47" s="622" t="n"/>
      <c r="L47" s="29" t="n"/>
      <c r="M47" s="172" t="n"/>
      <c r="N47" s="622" t="n"/>
      <c r="O47" s="685" t="n"/>
      <c r="P47" s="622" t="n"/>
      <c r="Q47" s="247" t="n"/>
      <c r="R47" s="67" t="n"/>
      <c r="S47" s="248" t="n"/>
      <c r="T47" s="215" t="n"/>
      <c r="U47" s="250" t="n"/>
      <c r="V47" s="622" t="n"/>
      <c r="W47" s="251" t="n"/>
      <c r="X47" s="622" t="n"/>
      <c r="Y47" s="141" t="n"/>
      <c r="Z47" s="622" t="n"/>
      <c r="AA47" s="143" t="n"/>
      <c r="AB47" s="622" t="n"/>
      <c r="AC47" s="49" t="n"/>
      <c r="AD47" s="48" t="n"/>
      <c r="AE47" s="604" t="n"/>
      <c r="AF47" s="312" t="n"/>
      <c r="AG47" s="48" t="n"/>
      <c r="AJ47" s="312" t="n"/>
      <c r="AK47" s="48" t="n"/>
      <c r="AL47" s="48" t="n"/>
      <c r="AM47" s="604" t="n"/>
      <c r="AN47" s="312" t="n"/>
      <c r="AO47" s="48" t="n"/>
      <c r="AP47" s="48" t="n"/>
      <c r="AQ47" s="604" t="n"/>
      <c r="AR47" s="312" t="n"/>
      <c r="AS47" s="48" t="n"/>
      <c r="AT47" s="48" t="n"/>
      <c r="AU47" s="48" t="n"/>
    </row>
    <row r="48" ht="11.25" customHeight="1" s="26">
      <c r="A48" s="622" t="n"/>
      <c r="B48" s="231" t="inlineStr">
        <is>
          <t>Farm 11</t>
        </is>
      </c>
      <c r="C48" s="443" t="n"/>
      <c r="F48" s="367" t="n"/>
      <c r="G48" s="405" t="n"/>
      <c r="I48" s="445" t="n"/>
      <c r="J48" s="446" t="n"/>
      <c r="K48" s="622" t="n"/>
      <c r="L48" s="29" t="n"/>
      <c r="M48" s="824" t="inlineStr">
        <is>
          <t>15th player contract --&gt;&gt;</t>
        </is>
      </c>
      <c r="N48" s="622" t="n"/>
      <c r="O48" s="695" t="inlineStr">
        <is>
          <t> </t>
        </is>
      </c>
      <c r="P48" s="622" t="n"/>
      <c r="Q48" s="471" t="n"/>
      <c r="R48" s="67" t="n"/>
      <c r="S48" s="458" t="n"/>
      <c r="T48" s="215" t="n"/>
      <c r="U48" s="820" t="n"/>
      <c r="V48" s="139" t="n"/>
      <c r="W48" s="821">
        <f>Y48-$B$1</f>
        <v/>
      </c>
      <c r="X48" s="622" t="n"/>
      <c r="Y48" s="86">
        <f>S48+U48</f>
        <v/>
      </c>
      <c r="Z48" s="622" t="n"/>
      <c r="AA48" s="96">
        <f>IF(S48&gt;=2014, IF(W48=0,0,IF(U48=1,Q48,IF(U48=2,Q48+5,IF(U48=3,Q48+10,IF(U48=4,Q48+15, IF(U48&gt;4,Q48+U48*4)))))), IF(W48=0,0,IF(U48=1,Q48,IF(U48=2,Q48+4,IF(U48=3,Q48+8,IF(U48&gt;3,Q48+U48*3))))))</f>
        <v/>
      </c>
      <c r="AB48" s="622" t="n"/>
      <c r="AC48" s="49" t="n"/>
      <c r="AD48" s="48" t="n"/>
      <c r="AE48" s="604" t="n"/>
      <c r="AF48" s="312" t="n"/>
      <c r="AG48" s="48" t="n"/>
      <c r="AJ48" s="312" t="n"/>
      <c r="AK48" s="48" t="n"/>
      <c r="AL48" s="48" t="n"/>
      <c r="AM48" s="604" t="n"/>
      <c r="AN48" s="312" t="n"/>
      <c r="AO48" s="48" t="n"/>
      <c r="AP48" s="48" t="n"/>
      <c r="AQ48" s="604" t="n"/>
      <c r="AR48" s="312" t="n"/>
      <c r="AS48" s="48" t="n"/>
      <c r="AT48" s="48" t="n"/>
      <c r="AU48" s="48" t="n"/>
    </row>
    <row r="49" ht="11.25" customHeight="1" s="26">
      <c r="A49" s="622" t="n"/>
      <c r="B49" s="231" t="inlineStr">
        <is>
          <t>Farm 12</t>
        </is>
      </c>
      <c r="C49" s="443" t="n"/>
      <c r="F49" s="367" t="n"/>
      <c r="G49" s="405" t="n"/>
      <c r="I49" s="445" t="n"/>
      <c r="J49" s="446" t="n"/>
      <c r="K49" s="293" t="n"/>
      <c r="L49" s="29" t="n"/>
      <c r="M49" s="702" t="n"/>
      <c r="N49" s="622" t="n"/>
      <c r="P49" s="622" t="n"/>
      <c r="R49" s="67" t="n"/>
      <c r="T49" s="215" t="n"/>
      <c r="U49" s="823" t="n"/>
      <c r="V49" s="139" t="n"/>
      <c r="W49" s="823" t="n"/>
      <c r="X49" s="622" t="n"/>
      <c r="Z49" s="622" t="n"/>
      <c r="AA49" s="619" t="n"/>
      <c r="AB49" s="622" t="n"/>
      <c r="AC49" s="49" t="n"/>
      <c r="AD49" s="48" t="n"/>
      <c r="AE49" s="604" t="n"/>
      <c r="AF49" s="336" t="n"/>
      <c r="AG49" s="48" t="n"/>
      <c r="AJ49" s="336" t="n"/>
      <c r="AK49" s="48" t="n"/>
      <c r="AL49" s="48" t="n"/>
      <c r="AM49" s="604" t="n"/>
      <c r="AN49" s="336" t="n"/>
      <c r="AO49" s="48" t="n"/>
      <c r="AP49" s="48" t="n"/>
      <c r="AQ49" s="604" t="n"/>
      <c r="AR49" s="336" t="n"/>
      <c r="AS49" s="48" t="n"/>
      <c r="AT49" s="48" t="n"/>
      <c r="AU49" s="312" t="n"/>
    </row>
    <row r="50" ht="11.25" customHeight="1" s="26">
      <c r="A50" s="622" t="n"/>
      <c r="B50" s="231" t="inlineStr">
        <is>
          <t>Farm 13</t>
        </is>
      </c>
      <c r="C50" s="443" t="n"/>
      <c r="F50" s="367" t="n"/>
      <c r="G50" s="405" t="n"/>
      <c r="I50" s="445" t="n"/>
      <c r="J50" s="446" t="n"/>
      <c r="K50" s="293" t="n"/>
      <c r="L50" s="29" t="n"/>
      <c r="M50" s="294" t="n"/>
      <c r="N50" s="296" t="n"/>
      <c r="O50" s="296" t="n"/>
      <c r="P50" s="296" t="n"/>
      <c r="Q50" s="296" t="n"/>
      <c r="R50" s="296" t="n"/>
      <c r="S50" s="296" t="n"/>
      <c r="T50" s="296" t="n"/>
      <c r="U50" s="296" t="n"/>
      <c r="V50" s="296" t="n"/>
      <c r="W50" s="296" t="n"/>
      <c r="X50" s="296" t="n"/>
      <c r="Y50" s="296" t="n"/>
      <c r="Z50" s="296" t="n"/>
      <c r="AA50" s="298" t="n"/>
      <c r="AB50" s="622" t="n"/>
      <c r="AC50" s="49" t="n"/>
      <c r="AD50" s="48" t="n"/>
      <c r="AE50" s="604" t="n"/>
      <c r="AF50" s="336" t="n"/>
      <c r="AG50" s="48" t="n"/>
      <c r="AJ50" s="336" t="n"/>
      <c r="AK50" s="48" t="n"/>
      <c r="AL50" s="48" t="n"/>
      <c r="AM50" s="604" t="n"/>
      <c r="AN50" s="336" t="n"/>
      <c r="AO50" s="48" t="n"/>
      <c r="AP50" s="48" t="n"/>
      <c r="AQ50" s="604" t="n"/>
      <c r="AR50" s="336" t="n"/>
      <c r="AS50" s="48" t="n"/>
      <c r="AT50" s="48" t="n"/>
      <c r="AU50" s="312" t="n"/>
    </row>
    <row r="51" ht="11.25" customHeight="1" s="26">
      <c r="A51" s="622" t="n"/>
      <c r="B51" s="231" t="inlineStr">
        <is>
          <t>Farm 14</t>
        </is>
      </c>
      <c r="C51" s="702" t="n"/>
      <c r="J51" s="619" t="n"/>
      <c r="K51" s="293" t="n"/>
      <c r="L51" s="29" t="n"/>
      <c r="M51" s="300" t="n"/>
      <c r="N51" s="71" t="n"/>
      <c r="O51" s="685" t="n"/>
      <c r="P51" s="622" t="n"/>
      <c r="Q51" s="825" t="n"/>
      <c r="R51" s="67" t="n"/>
      <c r="S51" s="826" t="n"/>
      <c r="T51" s="215" t="n"/>
      <c r="U51" s="827" t="n"/>
      <c r="V51" s="139" t="n"/>
      <c r="W51" s="827" t="n"/>
      <c r="X51" s="622" t="n"/>
      <c r="Y51" s="828" t="n"/>
      <c r="Z51" s="622" t="n"/>
      <c r="AA51" s="685" t="n"/>
      <c r="AB51" s="622" t="n"/>
      <c r="AC51" s="49" t="n"/>
      <c r="AD51" s="48" t="n"/>
      <c r="AE51" s="604" t="n"/>
      <c r="AF51" s="50" t="n"/>
      <c r="AG51" s="49" t="n"/>
      <c r="AJ51" s="336" t="n"/>
      <c r="AK51" s="48" t="n"/>
      <c r="AL51" s="48" t="n"/>
      <c r="AM51" s="604" t="n"/>
      <c r="AN51" s="336" t="n"/>
      <c r="AO51" s="48" t="n"/>
      <c r="AP51" s="48" t="n"/>
      <c r="AQ51" s="604" t="n"/>
      <c r="AR51" s="336" t="n"/>
      <c r="AS51" s="48" t="n"/>
      <c r="AT51" s="48" t="n"/>
      <c r="AU51" s="312" t="n"/>
    </row>
    <row r="52" ht="11.25" customHeight="1" s="26">
      <c r="B52" s="231" t="inlineStr">
        <is>
          <t>Farm 15</t>
        </is>
      </c>
      <c r="C52" s="702" t="n"/>
      <c r="J52" s="619" t="n"/>
      <c r="K52" s="622" t="n"/>
      <c r="L52" s="29" t="n"/>
      <c r="M52" s="829" t="inlineStr">
        <is>
          <t>Buyouts</t>
        </is>
      </c>
      <c r="N52" s="71" t="n"/>
      <c r="P52" s="622" t="n"/>
      <c r="R52" s="67" t="n"/>
      <c r="T52" s="215" t="n"/>
      <c r="V52" s="139" t="n"/>
      <c r="X52" s="622" t="n"/>
      <c r="Z52" s="622" t="n"/>
      <c r="AB52" s="622" t="n"/>
      <c r="AC52" s="49" t="n"/>
      <c r="AD52" s="48" t="n"/>
      <c r="AE52" s="604" t="n"/>
      <c r="AF52" s="50" t="n"/>
      <c r="AG52" s="49" t="n"/>
      <c r="AJ52" s="336" t="n"/>
      <c r="AK52" s="48" t="n"/>
      <c r="AL52" s="48" t="n"/>
      <c r="AM52" s="604" t="n"/>
      <c r="AN52" s="336" t="n"/>
      <c r="AO52" s="48" t="n"/>
      <c r="AP52" s="48" t="n"/>
      <c r="AQ52" s="604" t="n"/>
      <c r="AR52" s="336" t="n"/>
      <c r="AS52" s="48" t="n"/>
      <c r="AT52" s="48" t="n"/>
      <c r="AU52" s="312" t="n"/>
    </row>
    <row r="53" ht="11.25" customHeight="1" s="26">
      <c r="A53" s="622" t="n"/>
      <c r="B53" s="231" t="inlineStr">
        <is>
          <t>Farm 16</t>
        </is>
      </c>
      <c r="C53" s="702" t="n"/>
      <c r="J53" s="619" t="n"/>
      <c r="K53" s="622" t="n"/>
      <c r="L53" s="29" t="n"/>
      <c r="M53" s="759" t="n"/>
      <c r="N53" s="71" t="n"/>
      <c r="P53" s="622" t="n"/>
      <c r="R53" s="67" t="n"/>
      <c r="T53" s="215" t="n"/>
      <c r="V53" s="139" t="n"/>
      <c r="X53" s="622" t="n"/>
      <c r="Z53" s="622" t="n"/>
      <c r="AB53" s="622" t="n"/>
      <c r="AC53" s="49" t="n"/>
      <c r="AD53" s="48" t="n"/>
      <c r="AE53" s="604" t="n"/>
      <c r="AF53" s="50" t="n"/>
      <c r="AG53" s="49" t="n"/>
      <c r="AH53" s="48" t="n"/>
      <c r="AI53" s="604" t="n"/>
      <c r="AJ53" s="336" t="n"/>
      <c r="AK53" s="48" t="n"/>
      <c r="AL53" s="48" t="n"/>
      <c r="AM53" s="604" t="n"/>
      <c r="AN53" s="336" t="n"/>
      <c r="AO53" s="48" t="n"/>
      <c r="AP53" s="48" t="n"/>
      <c r="AQ53" s="604" t="n"/>
      <c r="AR53" s="336" t="n"/>
      <c r="AS53" s="48" t="n"/>
      <c r="AT53" s="48" t="n"/>
      <c r="AU53" s="312" t="n"/>
    </row>
    <row r="54" ht="11.25" customHeight="1" s="26">
      <c r="A54" s="622" t="n"/>
      <c r="B54" s="231" t="inlineStr">
        <is>
          <t>Farm 17</t>
        </is>
      </c>
      <c r="C54" s="443" t="n"/>
      <c r="F54" s="367" t="n"/>
      <c r="G54" s="405" t="n"/>
      <c r="I54" s="445" t="n"/>
      <c r="J54" s="446" t="n"/>
      <c r="K54" s="622" t="n"/>
      <c r="L54" s="29" t="n"/>
      <c r="M54" s="314" t="n"/>
      <c r="N54" s="315" t="n"/>
      <c r="O54" s="315" t="n"/>
      <c r="P54" s="315" t="n"/>
      <c r="Q54" s="316" t="inlineStr">
        <is>
          <t>Orig. price</t>
        </is>
      </c>
      <c r="R54" s="315" t="n"/>
      <c r="S54" s="316" t="inlineStr">
        <is>
          <t>Yr signed</t>
        </is>
      </c>
      <c r="T54" s="316" t="n"/>
      <c r="U54" s="317" t="inlineStr">
        <is>
          <t>Yrs</t>
        </is>
      </c>
      <c r="V54" s="316" t="n"/>
      <c r="W54" s="316" t="inlineStr">
        <is>
          <t>Yrs left</t>
        </is>
      </c>
      <c r="X54" s="316" t="n"/>
      <c r="Y54" s="318" t="inlineStr">
        <is>
          <t>Final Yr</t>
        </is>
      </c>
      <c r="Z54" s="316" t="n"/>
      <c r="AA54" s="319" t="inlineStr">
        <is>
          <t>Orig. sign</t>
        </is>
      </c>
      <c r="AB54" s="622" t="n"/>
      <c r="AC54" s="49" t="n"/>
      <c r="AD54" s="48" t="n"/>
      <c r="AE54" s="604" t="n"/>
      <c r="AF54" s="50" t="n"/>
      <c r="AG54" s="49" t="n"/>
      <c r="AH54" s="48" t="n"/>
      <c r="AI54" s="604" t="n"/>
      <c r="AJ54" s="50" t="n"/>
      <c r="AK54" s="49" t="n"/>
      <c r="AL54" s="48" t="n"/>
      <c r="AM54" s="604" t="n"/>
      <c r="AN54" s="50" t="n"/>
      <c r="AO54" s="49" t="n"/>
      <c r="AP54" s="48" t="n"/>
      <c r="AQ54" s="604" t="n"/>
      <c r="AR54" s="50" t="n"/>
      <c r="AS54" s="49" t="n"/>
      <c r="AT54" s="48" t="n"/>
      <c r="AU54" s="604" t="n"/>
    </row>
    <row r="55" ht="11.25" customHeight="1" s="26">
      <c r="A55" s="622" t="n"/>
      <c r="B55" s="231" t="inlineStr">
        <is>
          <t>Farm 18</t>
        </is>
      </c>
      <c r="C55" s="443" t="n"/>
      <c r="F55" s="367" t="n"/>
      <c r="G55" s="453" t="n"/>
      <c r="I55" s="445" t="n"/>
      <c r="J55" s="454" t="n"/>
      <c r="K55" s="293" t="n"/>
      <c r="L55" s="29" t="n"/>
      <c r="M55" s="830" t="inlineStr">
        <is>
          <t>1st dropped contract</t>
        </is>
      </c>
      <c r="N55" s="321" t="n"/>
      <c r="O55" s="527" t="inlineStr">
        <is>
          <t>Ceddanne Rafaela</t>
        </is>
      </c>
      <c r="P55" s="523" t="n"/>
      <c r="Q55" s="186" t="n">
        <v>0</v>
      </c>
      <c r="R55" s="75" t="n"/>
      <c r="S55" s="188" t="n">
        <v>2023</v>
      </c>
      <c r="T55" s="523" t="n"/>
      <c r="U55" s="865" t="n">
        <v>3</v>
      </c>
      <c r="V55" s="127" t="n"/>
      <c r="W55" s="821">
        <f>Y55-$B$1</f>
        <v/>
      </c>
      <c r="X55" s="622" t="n"/>
      <c r="Y55" s="86">
        <f>S55+U55</f>
        <v/>
      </c>
      <c r="Z55" s="622" t="n"/>
      <c r="AA55" s="96">
        <f>IF(S55&gt;=2014, IF(W55=0,0,IF(U55=1,Q55,IF(U55=2,Q55+5,IF(U55=3,Q55+10,IF(U55=4,Q55+15, IF(U55&gt;4,Q55+U55*4)))))), IF(W55=0,0,IF(U55=1,Q55,IF(U55=2,Q55+4,IF(U55=3,Q55+8,IF(U55&gt;3,Q55+U55*3))))))</f>
        <v/>
      </c>
      <c r="AB55" s="622" t="n"/>
      <c r="AC55" s="49" t="n"/>
      <c r="AD55" s="48" t="n"/>
      <c r="AE55" s="604" t="n"/>
      <c r="AF55" s="50" t="n"/>
      <c r="AG55" s="49" t="n"/>
      <c r="AH55" s="48" t="n"/>
      <c r="AI55" s="604" t="n"/>
      <c r="AJ55" s="50" t="n"/>
      <c r="AK55" s="49" t="n"/>
      <c r="AL55" s="48" t="n"/>
      <c r="AM55" s="604" t="n"/>
      <c r="AN55" s="50" t="n"/>
      <c r="AO55" s="49" t="n"/>
      <c r="AP55" s="48" t="n"/>
      <c r="AQ55" s="604" t="n"/>
      <c r="AR55" s="50" t="n"/>
      <c r="AS55" s="49" t="n"/>
      <c r="AT55" s="48" t="n"/>
      <c r="AU55" s="604" t="n"/>
    </row>
    <row r="56" ht="11.25" customHeight="1" s="26">
      <c r="A56" s="622" t="n"/>
      <c r="B56" s="231" t="inlineStr">
        <is>
          <t>Farm 19</t>
        </is>
      </c>
      <c r="C56" s="443" t="n"/>
      <c r="F56" s="367" t="n"/>
      <c r="G56" s="405" t="n"/>
      <c r="I56" s="445" t="n"/>
      <c r="J56" s="446" t="n"/>
      <c r="K56" s="293" t="n"/>
      <c r="L56" s="29" t="n"/>
      <c r="M56" s="702" t="n"/>
      <c r="N56" s="337" t="n"/>
      <c r="P56" s="523" t="n"/>
      <c r="R56" s="75" t="n"/>
      <c r="T56" s="523" t="n"/>
      <c r="U56" s="823" t="n"/>
      <c r="V56" s="127" t="n"/>
      <c r="W56" s="823" t="n"/>
      <c r="X56" s="622" t="n"/>
      <c r="Z56" s="622" t="n"/>
      <c r="AA56" s="619" t="n"/>
      <c r="AB56" s="622" t="n"/>
      <c r="AC56" s="49" t="n"/>
      <c r="AD56" s="48" t="n"/>
      <c r="AE56" s="604" t="n"/>
      <c r="AF56" s="50" t="n"/>
      <c r="AG56" s="49" t="n"/>
      <c r="AH56" s="48" t="n"/>
      <c r="AI56" s="604" t="n"/>
      <c r="AJ56" s="50" t="n"/>
      <c r="AK56" s="49" t="n"/>
      <c r="AL56" s="48" t="n"/>
      <c r="AM56" s="604" t="n"/>
      <c r="AN56" s="50" t="n"/>
      <c r="AO56" s="49" t="n"/>
      <c r="AP56" s="48" t="n"/>
      <c r="AQ56" s="604" t="n"/>
      <c r="AR56" s="50" t="n"/>
      <c r="AS56" s="49" t="n"/>
      <c r="AT56" s="48" t="n"/>
      <c r="AU56" s="604" t="n"/>
    </row>
    <row r="57" ht="11.25" customHeight="1" s="26">
      <c r="A57" s="622" t="n"/>
      <c r="B57" s="343" t="inlineStr">
        <is>
          <t>Farm 20</t>
        </is>
      </c>
      <c r="C57" s="559" t="n"/>
      <c r="D57" s="759" t="n"/>
      <c r="E57" s="759" t="n"/>
      <c r="F57" s="560" t="n"/>
      <c r="G57" s="561" t="n"/>
      <c r="H57" s="759" t="n"/>
      <c r="I57" s="468" t="n"/>
      <c r="J57" s="469" t="n"/>
      <c r="K57" s="293" t="n"/>
      <c r="L57" s="622" t="n"/>
      <c r="M57" s="344" t="inlineStr">
        <is>
          <t>Year Dropped</t>
        </is>
      </c>
      <c r="N57" s="768" t="n"/>
      <c r="O57" s="363" t="n">
        <v>2024</v>
      </c>
      <c r="P57" s="837">
        <f>CONCATENATE($M$3," Penalty % ")</f>
        <v/>
      </c>
      <c r="Q57" s="768" t="n"/>
      <c r="R57" s="768" t="n"/>
      <c r="S57" s="768" t="n"/>
      <c r="T57" s="838" t="n"/>
      <c r="U57" s="839">
        <f>(0.7-0.1*($M$3-(O57+1)))</f>
        <v/>
      </c>
      <c r="V57" s="840">
        <f>CONCATENATE("Penalty in ",$M$3)</f>
        <v/>
      </c>
      <c r="W57" s="768" t="n"/>
      <c r="X57" s="768" t="n"/>
      <c r="Y57" s="768" t="n"/>
      <c r="Z57" s="768" t="n"/>
      <c r="AA57" s="841">
        <f>IF(Y55&gt;$B$1, ROUND(AA55*U57,0), 0)</f>
        <v/>
      </c>
      <c r="AB57" s="622" t="n"/>
      <c r="AC57" s="49" t="n"/>
      <c r="AD57" s="48" t="n"/>
      <c r="AE57" s="604" t="n"/>
      <c r="AF57" s="50" t="n"/>
      <c r="AG57" s="49" t="n"/>
      <c r="AH57" s="48" t="n"/>
      <c r="AI57" s="604" t="n"/>
      <c r="AJ57" s="50" t="n"/>
      <c r="AK57" s="49" t="n"/>
      <c r="AL57" s="48" t="n"/>
      <c r="AM57" s="604" t="n"/>
      <c r="AN57" s="50" t="n"/>
      <c r="AO57" s="49" t="n"/>
      <c r="AP57" s="48" t="n"/>
      <c r="AQ57" s="604" t="n"/>
      <c r="AR57" s="50" t="n"/>
      <c r="AS57" s="49" t="n"/>
      <c r="AT57" s="48" t="n"/>
      <c r="AU57" s="604" t="n"/>
    </row>
    <row r="58" ht="11.25" customHeight="1" s="26">
      <c r="B58" s="371" t="n"/>
      <c r="C58" s="849" t="n"/>
      <c r="F58" s="373">
        <f>$B$1+1</f>
        <v/>
      </c>
      <c r="G58" s="373">
        <f>$B$1+2</f>
        <v/>
      </c>
      <c r="I58" s="373">
        <f>$B$1+3</f>
        <v/>
      </c>
      <c r="J58" s="373">
        <f>$B$1+4</f>
        <v/>
      </c>
      <c r="K58" s="622" t="n"/>
      <c r="L58" s="622" t="n"/>
      <c r="M58" s="361" t="inlineStr">
        <is>
          <t>Contract Ends</t>
        </is>
      </c>
      <c r="O58" s="363">
        <f>Y55</f>
        <v/>
      </c>
      <c r="P58" s="847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  <c r="Z58" s="779" t="n"/>
      <c r="AA58" s="848" t="n"/>
      <c r="AB58" s="622" t="n"/>
      <c r="AC58" s="49" t="n"/>
      <c r="AD58" s="48" t="n"/>
      <c r="AE58" s="604" t="n"/>
      <c r="AF58" s="50" t="n"/>
      <c r="AG58" s="49" t="n"/>
      <c r="AJ58" s="50" t="n"/>
      <c r="AK58" s="49" t="n"/>
      <c r="AL58" s="48" t="n"/>
      <c r="AM58" s="604" t="n"/>
      <c r="AN58" s="50" t="n"/>
      <c r="AO58" s="49" t="n"/>
      <c r="AP58" s="48" t="n"/>
      <c r="AQ58" s="604" t="n"/>
      <c r="AR58" s="50" t="n"/>
      <c r="AS58" s="49" t="n"/>
      <c r="AT58" s="48" t="n"/>
      <c r="AU58" s="604" t="n"/>
    </row>
    <row r="59" ht="11.25" customHeight="1" s="26">
      <c r="A59" s="622" t="n"/>
      <c r="B59" s="474" t="inlineStr">
        <is>
          <t>Buyout 1</t>
        </is>
      </c>
      <c r="C59" s="627">
        <f>IF($AA$57&gt;0,$O$55,"")</f>
        <v/>
      </c>
      <c r="D59" s="753" t="n"/>
      <c r="E59" s="753" t="n"/>
      <c r="F59" s="478">
        <f>IF($AA$57&gt;0,$AA$57,"")</f>
        <v/>
      </c>
      <c r="G59" s="478">
        <f>IF($AA$57&gt;0,$U$59,"")</f>
        <v/>
      </c>
      <c r="H59" s="753" t="n"/>
      <c r="I59" s="478">
        <f>IF($AA$57&gt;0,$U$60,"")</f>
        <v/>
      </c>
      <c r="J59" s="480">
        <f>IF($AA$57&gt;0,$AA$59,"")</f>
        <v/>
      </c>
      <c r="K59" s="622" t="n"/>
      <c r="L59" s="622" t="n"/>
      <c r="M59" s="393" t="inlineStr">
        <is>
          <t>Years Penalized</t>
        </is>
      </c>
      <c r="N59" s="759" t="n"/>
      <c r="O59" s="394">
        <f>O58-O57</f>
        <v/>
      </c>
      <c r="P59" s="395" t="n"/>
      <c r="Q59" s="396">
        <f>CONCATENATE("Penalty in ",$M$3+1)</f>
        <v/>
      </c>
      <c r="R59" s="768" t="n"/>
      <c r="S59" s="768" t="n"/>
      <c r="T59" s="397" t="n"/>
      <c r="U59" s="398">
        <f>IF(Y55&gt;$M$3,ROUND(AA55*(U57-0.1),0),0)</f>
        <v/>
      </c>
      <c r="V59" s="397" t="n"/>
      <c r="W59" s="396">
        <f>CONCATENATE("Penalty in ",$M$3+3)</f>
        <v/>
      </c>
      <c r="X59" s="768" t="n"/>
      <c r="Y59" s="768" t="n"/>
      <c r="Z59" s="397" t="n"/>
      <c r="AA59" s="401">
        <f>IF(Y55&gt;$M$3+2,ROUND(AG55*(AA58-0.1),0),0)</f>
        <v/>
      </c>
      <c r="AB59" s="622" t="n"/>
      <c r="AC59" s="49" t="n"/>
      <c r="AD59" s="48" t="n"/>
      <c r="AE59" s="604" t="n"/>
      <c r="AF59" s="50" t="n"/>
      <c r="AG59" s="49" t="n"/>
      <c r="AH59" s="48" t="n"/>
      <c r="AI59" s="604" t="n"/>
      <c r="AJ59" s="50" t="n"/>
      <c r="AK59" s="49" t="n"/>
      <c r="AL59" s="48" t="n"/>
      <c r="AM59" s="604" t="n"/>
      <c r="AN59" s="50" t="n"/>
      <c r="AO59" s="49" t="n"/>
      <c r="AP59" s="48" t="n"/>
      <c r="AQ59" s="604" t="n"/>
      <c r="AR59" s="50" t="n"/>
      <c r="AS59" s="49" t="n"/>
      <c r="AT59" s="48" t="n"/>
      <c r="AU59" s="604" t="n"/>
    </row>
    <row r="60" ht="11.25" customHeight="1" s="26">
      <c r="A60" s="622" t="n"/>
      <c r="B60" s="482" t="inlineStr">
        <is>
          <t>Buyout 2</t>
        </is>
      </c>
      <c r="C60" s="443">
        <f>IF($AA$64&gt;0,$O$62,"")</f>
        <v/>
      </c>
      <c r="F60" s="483">
        <f>IF($AA$64&gt;0,$AA$64,"")</f>
        <v/>
      </c>
      <c r="G60" s="453">
        <f>IF($AA$64&gt;0,$U$66,"")</f>
        <v/>
      </c>
      <c r="I60" s="483">
        <f>IF($AA$64&gt;0,$U$67,"")</f>
        <v/>
      </c>
      <c r="J60" s="454">
        <f>IF($AA$64&gt;0,$AA$66,"")</f>
        <v/>
      </c>
      <c r="K60" s="622" t="n"/>
      <c r="L60" s="622" t="n"/>
      <c r="M60" s="230" t="n"/>
      <c r="N60" s="230" t="n"/>
      <c r="O60" s="410" t="n"/>
      <c r="P60" s="411" t="n"/>
      <c r="Q60" s="413">
        <f>CONCATENATE("Penalty in ",$M$3+2)</f>
        <v/>
      </c>
      <c r="R60" s="759" t="n"/>
      <c r="S60" s="759" t="n"/>
      <c r="T60" s="414" t="n"/>
      <c r="U60" s="418">
        <f>IF(Y55&gt;$M$3+1,ROUND(AA56*(U59-0.1),0),0)</f>
        <v/>
      </c>
      <c r="V60" s="414" t="n"/>
      <c r="W60" s="420" t="inlineStr">
        <is>
          <t>Total Penalty Left</t>
        </is>
      </c>
      <c r="X60" s="759" t="n"/>
      <c r="Y60" s="759" t="n"/>
      <c r="Z60" s="414" t="n"/>
      <c r="AA60" s="421">
        <f>SUM(AA57+U59+U60+AA59)</f>
        <v/>
      </c>
      <c r="AB60" s="622" t="n"/>
      <c r="AC60" s="49" t="n"/>
      <c r="AD60" s="48" t="n"/>
      <c r="AE60" s="604" t="n"/>
      <c r="AF60" s="50" t="n"/>
      <c r="AG60" s="49" t="n"/>
      <c r="AH60" s="48" t="n"/>
      <c r="AI60" s="604" t="n"/>
      <c r="AJ60" s="50" t="n"/>
      <c r="AK60" s="49" t="n"/>
      <c r="AL60" s="48" t="n"/>
      <c r="AM60" s="604" t="n"/>
      <c r="AN60" s="50" t="n"/>
      <c r="AO60" s="49" t="n"/>
      <c r="AP60" s="48" t="n"/>
      <c r="AQ60" s="604" t="n"/>
      <c r="AR60" s="50" t="n"/>
      <c r="AS60" s="49" t="n"/>
      <c r="AT60" s="48" t="n"/>
      <c r="AU60" s="604" t="n"/>
    </row>
    <row r="61" ht="11.25" customHeight="1" s="26">
      <c r="A61" s="622" t="n"/>
      <c r="B61" s="482" t="inlineStr">
        <is>
          <t>Buyout 3</t>
        </is>
      </c>
      <c r="C61" s="443">
        <f>IF($AA$71&gt;0,$O$69,"")</f>
        <v/>
      </c>
      <c r="F61" s="483">
        <f>IF($AA$71&gt;0,$AA$71,"")</f>
        <v/>
      </c>
      <c r="G61" s="453">
        <f>IF($AA$71&gt;0,$U$73,"")</f>
        <v/>
      </c>
      <c r="I61" s="483">
        <f>IF($AA$71&gt;0,$U$74,"")</f>
        <v/>
      </c>
      <c r="J61" s="454">
        <f>IF($AA$71&gt;0,$AA$73,"")</f>
        <v/>
      </c>
      <c r="K61" s="622" t="n"/>
      <c r="L61" s="622" t="n"/>
      <c r="M61" s="622" t="n"/>
      <c r="N61" s="622" t="n"/>
      <c r="O61" s="622" t="n"/>
      <c r="P61" s="622" t="n"/>
      <c r="Q61" s="622" t="n"/>
      <c r="R61" s="622" t="n"/>
      <c r="S61" s="622" t="n"/>
      <c r="T61" s="622" t="n"/>
      <c r="U61" s="622" t="n"/>
      <c r="V61" s="622" t="n"/>
      <c r="W61" s="622" t="n"/>
      <c r="X61" s="622" t="n"/>
      <c r="Y61" s="622" t="n"/>
      <c r="Z61" s="622" t="n"/>
      <c r="AA61" s="622" t="n"/>
      <c r="AB61" s="622" t="n"/>
      <c r="AC61" s="49" t="n"/>
      <c r="AD61" s="48" t="n"/>
      <c r="AE61" s="604" t="n"/>
      <c r="AF61" s="50" t="n"/>
      <c r="AG61" s="49" t="n"/>
      <c r="AH61" s="48" t="n"/>
      <c r="AI61" s="604" t="n"/>
      <c r="AJ61" s="50" t="n"/>
      <c r="AK61" s="49" t="n"/>
      <c r="AL61" s="48" t="n"/>
      <c r="AM61" s="604" t="n"/>
      <c r="AN61" s="50" t="n"/>
      <c r="AO61" s="49" t="n"/>
      <c r="AP61" s="48" t="n"/>
      <c r="AQ61" s="604" t="n"/>
      <c r="AR61" s="50" t="n"/>
      <c r="AS61" s="49" t="n"/>
      <c r="AT61" s="48" t="n"/>
      <c r="AU61" s="604" t="n"/>
    </row>
    <row r="62" ht="11.25" customHeight="1" s="26">
      <c r="A62" s="622" t="n"/>
      <c r="B62" s="703" t="inlineStr">
        <is>
          <t>Buyout 4</t>
        </is>
      </c>
      <c r="C62" s="704">
        <f>IF($AA$78&gt;0,$O$76,"")</f>
        <v/>
      </c>
      <c r="D62" s="562" t="n"/>
      <c r="E62" s="562" t="n"/>
      <c r="F62" s="487">
        <f>IF($AA$78&gt;0,$AA$78,"")</f>
        <v/>
      </c>
      <c r="G62" s="488">
        <f>IF($AA$78&gt;0,$U$80,"")</f>
        <v/>
      </c>
      <c r="H62" s="759" t="n"/>
      <c r="I62" s="487">
        <f>IF($AA$78&gt;0,$U$81,"")</f>
        <v/>
      </c>
      <c r="J62" s="489">
        <f>IF($AA$78&gt;0,$AA$80,"")</f>
        <v/>
      </c>
      <c r="K62" s="622" t="n"/>
      <c r="L62" s="622" t="n"/>
      <c r="M62" s="830" t="inlineStr">
        <is>
          <t>2nd dropped contract</t>
        </is>
      </c>
      <c r="N62" s="321" t="n"/>
      <c r="O62" s="695" t="inlineStr">
        <is>
          <t>Felix Bautista</t>
        </is>
      </c>
      <c r="P62" s="622" t="n"/>
      <c r="Q62" s="636" t="n">
        <v>4</v>
      </c>
      <c r="R62" s="637" t="n"/>
      <c r="S62" s="638" t="n">
        <v>2024</v>
      </c>
      <c r="T62" s="639" t="n"/>
      <c r="U62" s="880" t="n">
        <v>2</v>
      </c>
      <c r="V62" s="139" t="n"/>
      <c r="W62" s="821">
        <f>Y62-$B$1</f>
        <v/>
      </c>
      <c r="X62" s="622" t="n"/>
      <c r="Y62" s="86">
        <f>S62+U62</f>
        <v/>
      </c>
      <c r="Z62" s="622" t="n"/>
      <c r="AA62" s="96">
        <f>IF(S62&gt;=2014, IF(W62=0,0,IF(U62=1,Q62,IF(U62=2,Q62+5,IF(U62=3,Q62+10,IF(U62=4,Q62+15, IF(U62&gt;4,Q62+U62*4)))))), IF(W62=0,0,IF(U62=1,Q62,IF(U62=2,Q62+4,IF(U62=3,Q62+8,IF(U62&gt;3,Q62+U62*3))))))</f>
        <v/>
      </c>
      <c r="AB62" s="622" t="n"/>
      <c r="AF62" s="30" t="n"/>
      <c r="AJ62" s="30" t="n"/>
      <c r="AL62" s="48" t="n"/>
      <c r="AM62" s="604" t="n"/>
      <c r="AN62" s="50" t="n"/>
      <c r="AO62" s="49" t="n"/>
      <c r="AP62" s="48" t="n"/>
      <c r="AQ62" s="604" t="n"/>
      <c r="AR62" s="50" t="n"/>
      <c r="AS62" s="49" t="n"/>
      <c r="AT62" s="48" t="n"/>
      <c r="AU62" s="604" t="n"/>
    </row>
    <row r="63" ht="11.25" customHeight="1" s="26">
      <c r="A63" s="622" t="n"/>
      <c r="B63" s="371" t="n"/>
      <c r="C63" s="890" t="n"/>
      <c r="F63" s="849" t="n"/>
      <c r="I63" s="849" t="n"/>
      <c r="L63" s="622" t="n"/>
      <c r="M63" s="702" t="n"/>
      <c r="N63" s="337" t="n"/>
      <c r="P63" s="622" t="n"/>
      <c r="R63" s="637" t="n"/>
      <c r="T63" s="639" t="n"/>
      <c r="U63" s="823" t="n"/>
      <c r="V63" s="139" t="n"/>
      <c r="W63" s="823" t="n"/>
      <c r="X63" s="622" t="n"/>
      <c r="Z63" s="622" t="n"/>
      <c r="AA63" s="619" t="n"/>
      <c r="AB63" s="622" t="n"/>
      <c r="AF63" s="30" t="n"/>
      <c r="AJ63" s="30" t="n"/>
      <c r="AL63" s="48" t="n"/>
      <c r="AM63" s="604" t="n"/>
      <c r="AN63" s="50" t="n"/>
      <c r="AO63" s="49" t="n"/>
      <c r="AP63" s="48" t="n"/>
      <c r="AQ63" s="604" t="n"/>
      <c r="AR63" s="50" t="n"/>
      <c r="AS63" s="49" t="n"/>
      <c r="AT63" s="48" t="n"/>
      <c r="AU63" s="604" t="n"/>
    </row>
    <row r="64" ht="11.25" customHeight="1" s="26">
      <c r="A64" s="622" t="n"/>
      <c r="B64" s="850" t="inlineStr">
        <is>
          <t>Missed IP Penalty</t>
        </is>
      </c>
      <c r="C64" s="753" t="n"/>
      <c r="D64" s="753" t="n"/>
      <c r="E64" s="753" t="n"/>
      <c r="F64" s="753" t="n"/>
      <c r="G64" s="753" t="n"/>
      <c r="H64" s="753" t="n"/>
      <c r="I64" s="753" t="n"/>
      <c r="J64" s="816" t="n"/>
      <c r="L64" s="622" t="n"/>
      <c r="M64" s="344" t="inlineStr">
        <is>
          <t>Year Dropped</t>
        </is>
      </c>
      <c r="N64" s="768" t="n"/>
      <c r="O64" s="363" t="n">
        <v>2025</v>
      </c>
      <c r="P64" s="837">
        <f>CONCATENATE($M$3," Penalty % ")</f>
        <v/>
      </c>
      <c r="Q64" s="768" t="n"/>
      <c r="R64" s="768" t="n"/>
      <c r="S64" s="768" t="n"/>
      <c r="T64" s="455" t="n"/>
      <c r="U64" s="839">
        <f>(0.7-0.1*($M$3-(O64+1)))</f>
        <v/>
      </c>
      <c r="V64" s="840">
        <f>CONCATENATE("Penalty in ",$M$3)</f>
        <v/>
      </c>
      <c r="W64" s="768" t="n"/>
      <c r="X64" s="768" t="n"/>
      <c r="Y64" s="768" t="n"/>
      <c r="Z64" s="768" t="n"/>
      <c r="AA64" s="841">
        <f>IF(Y62&gt;$B$1, ROUND(AA62*U64,0), 0)</f>
        <v/>
      </c>
      <c r="AB64" s="622" t="n"/>
      <c r="AF64" s="30" t="n"/>
      <c r="AJ64" s="30" t="n"/>
      <c r="AL64" s="48" t="n"/>
      <c r="AM64" s="604" t="n"/>
      <c r="AN64" s="50" t="n"/>
      <c r="AO64" s="49" t="n"/>
      <c r="AR64" s="50" t="n"/>
      <c r="AS64" s="49" t="n"/>
      <c r="AT64" s="48" t="n"/>
      <c r="AU64" s="604" t="n"/>
    </row>
    <row r="65" ht="11.25" customHeight="1" s="26">
      <c r="A65" s="622" t="n"/>
      <c r="B65" s="702" t="n"/>
      <c r="J65" s="619" t="n"/>
      <c r="L65" s="622" t="n"/>
      <c r="M65" s="361" t="inlineStr">
        <is>
          <t>Contract Ends</t>
        </is>
      </c>
      <c r="O65" s="363">
        <f>Y62</f>
        <v/>
      </c>
      <c r="P65" s="847" t="n"/>
      <c r="Q65" s="779" t="n"/>
      <c r="R65" s="779" t="n"/>
      <c r="S65" s="779" t="n"/>
      <c r="T65" s="463" t="n"/>
      <c r="U65" s="779" t="n"/>
      <c r="V65" s="779" t="n"/>
      <c r="W65" s="779" t="n"/>
      <c r="X65" s="779" t="n"/>
      <c r="Y65" s="779" t="n"/>
      <c r="Z65" s="779" t="n"/>
      <c r="AA65" s="848" t="n"/>
      <c r="AB65" s="622" t="n"/>
      <c r="AF65" s="30" t="n"/>
      <c r="AJ65" s="30" t="n"/>
      <c r="AL65" s="48" t="n"/>
      <c r="AM65" s="604" t="n"/>
      <c r="AN65" s="50" t="n"/>
      <c r="AO65" s="49" t="n"/>
      <c r="AP65" s="48" t="n"/>
      <c r="AQ65" s="604" t="n"/>
      <c r="AR65" s="50" t="n"/>
      <c r="AS65" s="49" t="n"/>
      <c r="AT65" s="48" t="n"/>
      <c r="AU65" s="604" t="n"/>
    </row>
    <row r="66" ht="11.25" customHeight="1" s="26">
      <c r="A66" s="622" t="n"/>
      <c r="B66" s="464" t="n"/>
      <c r="D66" s="465" t="n"/>
      <c r="F66" s="622" t="n"/>
      <c r="G66" s="622" t="n"/>
      <c r="H66" s="622" t="n"/>
      <c r="I66" s="622" t="n"/>
      <c r="J66" s="125" t="n"/>
      <c r="L66" s="622" t="n"/>
      <c r="M66" s="393" t="inlineStr">
        <is>
          <t>Years Penalized</t>
        </is>
      </c>
      <c r="N66" s="759" t="n"/>
      <c r="O66" s="394">
        <f>O65-O64</f>
        <v/>
      </c>
      <c r="P66" s="395" t="n"/>
      <c r="Q66" s="396">
        <f>CONCATENATE("Penalty in ",$M$3+1)</f>
        <v/>
      </c>
      <c r="R66" s="768" t="n"/>
      <c r="S66" s="768" t="n"/>
      <c r="T66" s="397" t="n"/>
      <c r="U66" s="398">
        <f>IF(Y62&gt;$M$3,ROUND(AA62*(U64-0.1),0),0)</f>
        <v/>
      </c>
      <c r="V66" s="397" t="n"/>
      <c r="W66" s="396">
        <f>CONCATENATE("Penalty in ",$M$3+3)</f>
        <v/>
      </c>
      <c r="X66" s="768" t="n"/>
      <c r="Y66" s="768" t="n"/>
      <c r="Z66" s="397" t="n"/>
      <c r="AA66" s="401">
        <f>IF(Y62&gt;$M$3+2,ROUND(AG62*(AA65-0.1),0),0)</f>
        <v/>
      </c>
      <c r="AB66" s="622" t="n"/>
      <c r="AF66" s="30" t="n"/>
      <c r="AJ66" s="30" t="n"/>
      <c r="AL66" s="48" t="n"/>
      <c r="AM66" s="604" t="n"/>
      <c r="AN66" s="30" t="n"/>
      <c r="AR66" s="30" t="n"/>
    </row>
    <row r="67" ht="11.25" customHeight="1" s="26">
      <c r="A67" s="622" t="n"/>
      <c r="B67" s="702" t="n"/>
      <c r="F67" s="622" t="n"/>
      <c r="G67" s="622" t="n"/>
      <c r="H67" s="622" t="n"/>
      <c r="I67" s="622" t="n"/>
      <c r="J67" s="125" t="n"/>
      <c r="L67" s="622" t="n"/>
      <c r="M67" s="230" t="n"/>
      <c r="N67" s="230" t="n"/>
      <c r="O67" s="410" t="n"/>
      <c r="P67" s="411" t="n"/>
      <c r="Q67" s="413">
        <f>CONCATENATE("Penalty in ",$M$3+2)</f>
        <v/>
      </c>
      <c r="R67" s="759" t="n"/>
      <c r="S67" s="759" t="n"/>
      <c r="T67" s="414" t="n"/>
      <c r="U67" s="418">
        <f>IF(Y62&gt;$M$3+1,ROUND(AA63*(U66-0.1),0),0)</f>
        <v/>
      </c>
      <c r="V67" s="414" t="n"/>
      <c r="W67" s="420" t="inlineStr">
        <is>
          <t>Total Penalty Left</t>
        </is>
      </c>
      <c r="X67" s="759" t="n"/>
      <c r="Y67" s="759" t="n"/>
      <c r="Z67" s="414" t="n"/>
      <c r="AA67" s="421">
        <f>SUM(AA64+U66+U67+AA66)</f>
        <v/>
      </c>
      <c r="AB67" s="622" t="n"/>
      <c r="AF67" s="30" t="n"/>
      <c r="AJ67" s="30" t="n"/>
      <c r="AL67" s="48" t="n"/>
      <c r="AM67" s="481" t="n"/>
      <c r="AN67" s="30" t="n"/>
      <c r="AR67" s="30" t="n"/>
    </row>
    <row r="68" ht="11.25" customHeight="1" s="26">
      <c r="A68" s="622" t="n"/>
      <c r="B68" s="464" t="n"/>
      <c r="D68" s="465" t="n"/>
      <c r="F68" s="622" t="n"/>
      <c r="G68" s="622" t="n"/>
      <c r="H68" s="622" t="n"/>
      <c r="I68" s="622" t="n"/>
      <c r="J68" s="125" t="n"/>
      <c r="L68" s="622" t="n"/>
      <c r="M68" s="622" t="n"/>
      <c r="N68" s="622" t="n"/>
      <c r="O68" s="436" t="n"/>
      <c r="P68" s="622" t="n"/>
      <c r="Q68" s="436" t="n"/>
      <c r="R68" s="622" t="n"/>
      <c r="S68" s="436" t="n"/>
      <c r="T68" s="622" t="n"/>
      <c r="U68" s="436" t="n"/>
      <c r="V68" s="622" t="n"/>
      <c r="W68" s="622" t="n"/>
      <c r="X68" s="622" t="n"/>
      <c r="Y68" s="622" t="n"/>
      <c r="Z68" s="622" t="n"/>
      <c r="AA68" s="622" t="n"/>
      <c r="AB68" s="622" t="n"/>
      <c r="AF68" s="30" t="n"/>
      <c r="AJ68" s="30" t="n"/>
      <c r="AL68" s="48" t="n"/>
      <c r="AM68" s="604" t="n"/>
      <c r="AN68" s="50" t="n"/>
      <c r="AO68" s="49" t="n"/>
      <c r="AR68" s="30" t="n"/>
    </row>
    <row r="69" ht="11.25" customHeight="1" s="26">
      <c r="A69" s="622" t="n"/>
      <c r="B69" s="702" t="n"/>
      <c r="F69" s="622" t="n"/>
      <c r="G69" s="622" t="n"/>
      <c r="H69" s="622" t="n"/>
      <c r="I69" s="622" t="n"/>
      <c r="J69" s="125" t="n"/>
      <c r="L69" s="622" t="n"/>
      <c r="M69" s="830" t="inlineStr">
        <is>
          <t>3rd dropped contract</t>
        </is>
      </c>
      <c r="N69" s="321" t="n"/>
      <c r="O69" s="867" t="inlineStr">
        <is>
          <t>Gavin Williams</t>
        </is>
      </c>
      <c r="P69" s="707" t="n"/>
      <c r="Q69" s="868" t="n">
        <v>0</v>
      </c>
      <c r="R69" s="709" t="n"/>
      <c r="S69" s="869" t="n">
        <v>2023</v>
      </c>
      <c r="T69" s="707" t="n"/>
      <c r="U69" s="870" t="n">
        <v>3</v>
      </c>
      <c r="V69" s="323" t="n"/>
      <c r="W69" s="835">
        <f>Y69-$B$1</f>
        <v/>
      </c>
      <c r="X69" s="323" t="n"/>
      <c r="Y69" s="836">
        <f>S69+U69</f>
        <v/>
      </c>
      <c r="Z69" s="335" t="n"/>
      <c r="AA69" s="96">
        <f>IF(S69&gt;=2014, IF(W69=0,0,IF(U69=1,Q69,IF(U69=2,Q69+5,IF(U69=3,Q69+10,IF(U69=4,Q69+15, IF(U69&gt;4,Q69+U69*4)))))), IF(W69=0,0,IF(U69=1,Q69,IF(U69=2,Q69+4,IF(U69=3,Q69+8,IF(U69&gt;3,Q69+U69*3))))))</f>
        <v/>
      </c>
      <c r="AB69" s="622" t="n"/>
      <c r="AF69" s="30" t="n"/>
      <c r="AJ69" s="30" t="n"/>
      <c r="AL69" s="48" t="n"/>
      <c r="AM69" s="604" t="n"/>
      <c r="AN69" s="50" t="n"/>
      <c r="AO69" s="49" t="n"/>
      <c r="AP69" s="48" t="n"/>
      <c r="AQ69" s="604" t="n"/>
      <c r="AR69" s="30" t="n"/>
    </row>
    <row r="70" ht="11.25" customHeight="1" s="26">
      <c r="A70" s="622" t="n"/>
      <c r="B70" s="851" t="n"/>
      <c r="D70" s="852" t="n"/>
      <c r="F70" s="622" t="n"/>
      <c r="G70" s="622" t="n"/>
      <c r="H70" s="622" t="n"/>
      <c r="I70" s="622" t="n"/>
      <c r="J70" s="125" t="n"/>
      <c r="L70" s="622" t="n"/>
      <c r="M70" s="702" t="n"/>
      <c r="N70" s="337" t="n"/>
      <c r="O70" s="779" t="n"/>
      <c r="P70" s="538" t="n"/>
      <c r="Q70" s="779" t="n"/>
      <c r="R70" s="712" t="n"/>
      <c r="S70" s="779" t="n"/>
      <c r="T70" s="538" t="n"/>
      <c r="U70" s="779" t="n"/>
      <c r="V70" s="339" t="n"/>
      <c r="W70" s="779" t="n"/>
      <c r="X70" s="339" t="n"/>
      <c r="Y70" s="779" t="n"/>
      <c r="Z70" s="342" t="n"/>
      <c r="AA70" s="619" t="n"/>
      <c r="AB70" s="622" t="n"/>
      <c r="AF70" s="30" t="n"/>
      <c r="AJ70" s="30" t="n"/>
      <c r="AL70" s="48" t="n"/>
      <c r="AM70" s="604" t="n"/>
      <c r="AN70" s="50" t="n"/>
      <c r="AO70" s="49" t="n"/>
      <c r="AP70" s="48" t="n"/>
      <c r="AQ70" s="604" t="n"/>
      <c r="AR70" s="50" t="n"/>
      <c r="AS70" s="49" t="n"/>
      <c r="AT70" s="48" t="n"/>
      <c r="AU70" s="604" t="n"/>
    </row>
    <row r="71" ht="11.25" customHeight="1" s="26">
      <c r="A71" s="622" t="n"/>
      <c r="B71" s="755" t="n"/>
      <c r="C71" s="759" t="n"/>
      <c r="D71" s="759" t="n"/>
      <c r="E71" s="759" t="n"/>
      <c r="F71" s="296" t="n"/>
      <c r="G71" s="296" t="n"/>
      <c r="H71" s="296" t="n"/>
      <c r="I71" s="296" t="n"/>
      <c r="J71" s="298" t="n"/>
      <c r="L71" s="622" t="n"/>
      <c r="M71" s="344" t="inlineStr">
        <is>
          <t>Year Dropped</t>
        </is>
      </c>
      <c r="N71" s="768" t="n"/>
      <c r="O71" s="363" t="n">
        <v>2025</v>
      </c>
      <c r="P71" s="837">
        <f>CONCATENATE($M$3," Penalty % ")</f>
        <v/>
      </c>
      <c r="Q71" s="768" t="n"/>
      <c r="R71" s="768" t="n"/>
      <c r="S71" s="768" t="n"/>
      <c r="T71" s="455" t="n"/>
      <c r="U71" s="839">
        <f>(0.7-0.1*($M$3-(O71+1)))</f>
        <v/>
      </c>
      <c r="V71" s="840">
        <f>CONCATENATE("Penalty in ",$M$3)</f>
        <v/>
      </c>
      <c r="W71" s="768" t="n"/>
      <c r="X71" s="768" t="n"/>
      <c r="Y71" s="768" t="n"/>
      <c r="Z71" s="768" t="n"/>
      <c r="AA71" s="841">
        <f>IF(Y69&gt;$B$1, ROUND(AA69*U71,0), 0)</f>
        <v/>
      </c>
      <c r="AB71" s="622" t="n"/>
      <c r="AF71" s="30" t="n"/>
      <c r="AJ71" s="30" t="n"/>
      <c r="AL71" s="48" t="n"/>
      <c r="AM71" s="604" t="n"/>
      <c r="AN71" s="50" t="n"/>
      <c r="AO71" s="49" t="n"/>
      <c r="AP71" s="48" t="n"/>
      <c r="AQ71" s="604" t="n"/>
      <c r="AR71" s="50" t="n"/>
      <c r="AS71" s="49" t="n"/>
      <c r="AT71" s="48" t="n"/>
      <c r="AU71" s="604" t="n"/>
    </row>
    <row r="72" ht="11.25" customHeight="1" s="26">
      <c r="A72" s="622" t="n"/>
      <c r="B72" s="622" t="n"/>
      <c r="C72" s="622" t="n"/>
      <c r="D72" s="622" t="n"/>
      <c r="E72" s="622" t="n"/>
      <c r="F72" s="622" t="n"/>
      <c r="G72" s="622" t="n"/>
      <c r="H72" s="622" t="n"/>
      <c r="I72" s="622" t="n"/>
      <c r="J72" s="622" t="n"/>
      <c r="K72" s="622" t="n"/>
      <c r="L72" s="622" t="n"/>
      <c r="M72" s="361" t="inlineStr">
        <is>
          <t>Contract Ends</t>
        </is>
      </c>
      <c r="O72" s="363">
        <f>Y69</f>
        <v/>
      </c>
      <c r="P72" s="847" t="n"/>
      <c r="Q72" s="779" t="n"/>
      <c r="R72" s="779" t="n"/>
      <c r="S72" s="779" t="n"/>
      <c r="T72" s="463" t="n"/>
      <c r="U72" s="779" t="n"/>
      <c r="V72" s="779" t="n"/>
      <c r="W72" s="779" t="n"/>
      <c r="X72" s="779" t="n"/>
      <c r="Y72" s="779" t="n"/>
      <c r="Z72" s="779" t="n"/>
      <c r="AA72" s="848" t="n"/>
      <c r="AB72" s="622" t="n"/>
      <c r="AF72" s="30" t="n"/>
      <c r="AJ72" s="30" t="n"/>
      <c r="AL72" s="48" t="n"/>
      <c r="AM72" s="604" t="n"/>
      <c r="AN72" s="30" t="n"/>
      <c r="AP72" s="48" t="n"/>
      <c r="AQ72" s="604" t="n"/>
      <c r="AR72" s="50" t="n"/>
      <c r="AS72" s="49" t="n"/>
      <c r="AT72" s="48" t="n"/>
      <c r="AU72" s="604" t="n"/>
    </row>
    <row r="73" ht="11.25" customHeight="1" s="26">
      <c r="L73" s="622" t="n"/>
      <c r="M73" s="393" t="inlineStr">
        <is>
          <t>Years Penalized</t>
        </is>
      </c>
      <c r="N73" s="759" t="n"/>
      <c r="O73" s="394">
        <f>O72-O71</f>
        <v/>
      </c>
      <c r="P73" s="395" t="n"/>
      <c r="Q73" s="396">
        <f>CONCATENATE("Penalty in ",$M$3+1)</f>
        <v/>
      </c>
      <c r="R73" s="768" t="n"/>
      <c r="S73" s="768" t="n"/>
      <c r="T73" s="397" t="n"/>
      <c r="U73" s="398">
        <f>IF(Y69&gt;$M$3,ROUND(AA69*(U71-0.1),0),0)</f>
        <v/>
      </c>
      <c r="V73" s="397" t="n"/>
      <c r="W73" s="396">
        <f>CONCATENATE("Penalty in ",$M$3+3)</f>
        <v/>
      </c>
      <c r="X73" s="768" t="n"/>
      <c r="Y73" s="768" t="n"/>
      <c r="Z73" s="397" t="n"/>
      <c r="AA73" s="401">
        <f>IF(Y69&gt;$M$3+2,ROUND(AG69*(AA72-0.1),0),0)</f>
        <v/>
      </c>
      <c r="AB73" s="622" t="n"/>
      <c r="AF73" s="30" t="n"/>
      <c r="AJ73" s="30" t="n"/>
      <c r="AL73" s="48" t="n"/>
      <c r="AM73" s="604" t="n"/>
      <c r="AN73" s="30" t="n"/>
      <c r="AP73" s="48" t="n"/>
      <c r="AQ73" s="604" t="n"/>
      <c r="AR73" s="50" t="n"/>
      <c r="AS73" s="49" t="n"/>
      <c r="AT73" s="48" t="n"/>
      <c r="AU73" s="604" t="n"/>
    </row>
    <row r="74" ht="11.25" customHeight="1" s="26">
      <c r="C74" t="inlineStr">
        <is>
          <t>2016 Farm Picks: 1,2</t>
        </is>
      </c>
      <c r="L74" s="622" t="n"/>
      <c r="M74" s="230" t="n"/>
      <c r="N74" s="230" t="n"/>
      <c r="O74" s="410" t="n"/>
      <c r="P74" s="411" t="n"/>
      <c r="Q74" s="413">
        <f>CONCATENATE("Penalty in ",$M$3+2)</f>
        <v/>
      </c>
      <c r="R74" s="759" t="n"/>
      <c r="S74" s="759" t="n"/>
      <c r="T74" s="414" t="n"/>
      <c r="U74" s="418">
        <f>IF(Y69&gt;$M$3+1,ROUND(AA70*(U73-0.1),0),0)</f>
        <v/>
      </c>
      <c r="V74" s="414" t="n"/>
      <c r="W74" s="420" t="inlineStr">
        <is>
          <t>Total Penalty Left</t>
        </is>
      </c>
      <c r="X74" s="759" t="n"/>
      <c r="Y74" s="759" t="n"/>
      <c r="Z74" s="414" t="n"/>
      <c r="AA74" s="421">
        <f>SUM(AA71+U73+U74+AA73)</f>
        <v/>
      </c>
      <c r="AB74" s="622" t="n"/>
      <c r="AF74" s="30" t="n"/>
      <c r="AJ74" s="30" t="n"/>
      <c r="AL74" s="48" t="n"/>
      <c r="AM74" s="604" t="n"/>
      <c r="AN74" s="30" t="n"/>
      <c r="AP74" s="48" t="n"/>
      <c r="AQ74" s="604" t="n"/>
      <c r="AR74" s="50" t="n"/>
      <c r="AS74" s="49" t="n"/>
      <c r="AT74" s="48" t="n"/>
      <c r="AU74" s="604" t="n"/>
    </row>
    <row r="75" ht="11.25" customHeight="1" s="26">
      <c r="L75" s="622" t="n"/>
      <c r="M75" s="622" t="n"/>
      <c r="N75" s="622" t="n"/>
      <c r="O75" s="436" t="n"/>
      <c r="P75" s="622" t="n"/>
      <c r="Q75" s="436" t="n"/>
      <c r="R75" s="622" t="n"/>
      <c r="S75" s="436" t="n"/>
      <c r="T75" s="622" t="n"/>
      <c r="U75" s="436" t="n"/>
      <c r="V75" s="622" t="n"/>
      <c r="W75" s="436" t="n"/>
      <c r="X75" s="622" t="n"/>
      <c r="Y75" s="436" t="n"/>
      <c r="Z75" s="622" t="n"/>
      <c r="AA75" s="622" t="n"/>
      <c r="AB75" s="622" t="n"/>
      <c r="AF75" s="30" t="n"/>
      <c r="AJ75" s="30" t="n"/>
      <c r="AL75" s="48" t="n"/>
      <c r="AM75" s="604" t="n"/>
      <c r="AN75" s="30" t="n"/>
      <c r="AP75" s="48" t="n"/>
      <c r="AQ75" s="604" t="n"/>
      <c r="AR75" s="50" t="n"/>
      <c r="AS75" s="49" t="n"/>
      <c r="AT75" s="48" t="n"/>
      <c r="AU75" s="604" t="n"/>
    </row>
    <row r="76" ht="11.25" customHeight="1" s="26">
      <c r="L76" s="622" t="n"/>
      <c r="M76" s="853" t="inlineStr">
        <is>
          <t>4th dropped contract</t>
        </is>
      </c>
      <c r="N76" s="321" t="n"/>
      <c r="O76" s="891" t="n"/>
      <c r="P76" s="714" t="n"/>
      <c r="Q76" s="892" t="n"/>
      <c r="R76" s="716" t="n"/>
      <c r="S76" s="893" t="n"/>
      <c r="T76" s="714" t="n"/>
      <c r="U76" s="894" t="n"/>
      <c r="V76" s="707" t="n"/>
      <c r="W76" s="895">
        <f>Y76-$B$1</f>
        <v/>
      </c>
      <c r="X76" s="707" t="n"/>
      <c r="Y76" s="896">
        <f>S76+U76</f>
        <v/>
      </c>
      <c r="Z76" s="707" t="n"/>
      <c r="AA76" s="721">
        <f>IF(S76&gt;=2014, IF(W76=0,0,IF(U76=1,Q76,IF(U76=2,Q76+5,IF(U76=3,Q76+10,IF(U76=4,Q76+15, IF(U76&gt;4,Q76+U76*4)))))), IF(W76=0,0,IF(U76=1,Q76,IF(U76=2,Q76+4,IF(U76=3,Q76+8,IF(U76&gt;3,Q76+U76*3))))))</f>
        <v/>
      </c>
      <c r="AB76" s="82" t="n"/>
      <c r="AF76" s="30" t="n"/>
      <c r="AJ76" s="30" t="n"/>
      <c r="AL76" s="48" t="n"/>
      <c r="AM76" s="604" t="n"/>
      <c r="AN76" s="30" t="n"/>
      <c r="AP76" s="48" t="n"/>
      <c r="AQ76" s="604" t="n"/>
      <c r="AR76" s="50" t="n"/>
      <c r="AS76" s="49" t="n"/>
      <c r="AT76" s="48" t="n"/>
      <c r="AU76" s="604" t="n"/>
    </row>
    <row r="77" ht="11.25" customHeight="1" s="26">
      <c r="L77" s="622" t="n"/>
      <c r="M77" s="702" t="n"/>
      <c r="N77" s="337" t="n"/>
      <c r="O77" s="759" t="n"/>
      <c r="P77" s="124" t="n"/>
      <c r="Q77" s="779" t="n"/>
      <c r="R77" s="722" t="n"/>
      <c r="S77" s="779" t="n"/>
      <c r="T77" s="124" t="n"/>
      <c r="U77" s="779" t="n"/>
      <c r="V77" s="538" t="n"/>
      <c r="W77" s="779" t="n"/>
      <c r="X77" s="538" t="n"/>
      <c r="Y77" s="779" t="n"/>
      <c r="Z77" s="538" t="n"/>
      <c r="AA77" s="619" t="n"/>
      <c r="AB77" s="82" t="n"/>
      <c r="AF77" s="30" t="n"/>
      <c r="AJ77" s="30" t="n"/>
      <c r="AL77" s="48" t="n"/>
      <c r="AM77" s="604" t="n"/>
      <c r="AN77" s="30" t="n"/>
      <c r="AP77" s="48" t="n"/>
      <c r="AQ77" s="604" t="n"/>
      <c r="AR77" s="50" t="n"/>
      <c r="AS77" s="49" t="n"/>
      <c r="AT77" s="48" t="n"/>
      <c r="AU77" s="604" t="n"/>
    </row>
    <row r="78" ht="11.25" customHeight="1" s="26">
      <c r="L78" s="622" t="n"/>
      <c r="M78" s="344" t="inlineStr">
        <is>
          <t>Year Dropped</t>
        </is>
      </c>
      <c r="N78" s="768" t="n"/>
      <c r="O78" s="728" t="n"/>
      <c r="P78" s="897">
        <f>CONCATENATE($M$3," Penalty % ")</f>
        <v/>
      </c>
      <c r="S78" s="766" t="n"/>
      <c r="T78" s="605" t="n"/>
      <c r="U78" s="898">
        <f>(0.7-0.1*($M$3-(O78+1)))</f>
        <v/>
      </c>
      <c r="V78" s="899">
        <f>CONCATENATE("Penalty in ",$M$3)</f>
        <v/>
      </c>
      <c r="AA78" s="900">
        <f>IF(Y76&gt;$B$1, ROUND(AA76*U78,0), 0)</f>
        <v/>
      </c>
      <c r="AB78" s="82" t="n"/>
      <c r="AF78" s="30" t="n"/>
      <c r="AJ78" s="30" t="n"/>
      <c r="AL78" s="48" t="n"/>
      <c r="AM78" s="604" t="n"/>
      <c r="AN78" s="30" t="n"/>
      <c r="AP78" s="48" t="n"/>
      <c r="AQ78" s="604" t="n"/>
      <c r="AR78" s="50" t="n"/>
      <c r="AS78" s="49" t="n"/>
      <c r="AT78" s="48" t="n"/>
      <c r="AU78" s="604" t="n"/>
    </row>
    <row r="79" ht="11.25" customHeight="1" s="26">
      <c r="L79" s="622" t="n"/>
      <c r="M79" s="361" t="inlineStr">
        <is>
          <t>Contract Ends</t>
        </is>
      </c>
      <c r="O79" s="728">
        <f>Y76</f>
        <v/>
      </c>
      <c r="P79" s="779" t="n"/>
      <c r="Q79" s="779" t="n"/>
      <c r="R79" s="779" t="n"/>
      <c r="S79" s="771" t="n"/>
      <c r="T79" s="670" t="n"/>
      <c r="U79" s="779" t="n"/>
      <c r="V79" s="779" t="n"/>
      <c r="W79" s="779" t="n"/>
      <c r="X79" s="779" t="n"/>
      <c r="Y79" s="779" t="n"/>
      <c r="Z79" s="779" t="n"/>
      <c r="AA79" s="848" t="n"/>
      <c r="AB79" s="82" t="n"/>
      <c r="AF79" s="30" t="n"/>
      <c r="AJ79" s="30" t="n"/>
      <c r="AL79" s="48" t="n"/>
      <c r="AM79" s="604" t="n"/>
      <c r="AN79" s="30" t="n"/>
      <c r="AP79" s="48" t="n"/>
      <c r="AQ79" s="604" t="n"/>
      <c r="AR79" s="50" t="n"/>
      <c r="AS79" s="49" t="n"/>
      <c r="AT79" s="48" t="n"/>
      <c r="AU79" s="604" t="n"/>
    </row>
    <row r="80" ht="11.25" customHeight="1" s="26">
      <c r="L80" s="622" t="n"/>
      <c r="M80" s="393" t="inlineStr">
        <is>
          <t>Years Penalized</t>
        </is>
      </c>
      <c r="N80" s="759" t="n"/>
      <c r="O80" s="729">
        <f>O79-O78</f>
        <v/>
      </c>
      <c r="P80" s="730" t="n"/>
      <c r="Q80" s="731">
        <f>CONCATENATE("Penalty in ",$M$3+1)</f>
        <v/>
      </c>
      <c r="T80" s="605" t="n"/>
      <c r="U80" s="732">
        <f>IF(Y76&gt;$M$3,ROUND(AA76*(U78-0.1),0),0)</f>
        <v/>
      </c>
      <c r="V80" s="605" t="n"/>
      <c r="W80" s="731">
        <f>CONCATENATE("Penalty in ",$M$3+3)</f>
        <v/>
      </c>
      <c r="Z80" s="605" t="n"/>
      <c r="AA80" s="733">
        <f>IF(Y76&gt;$M$3+2,ROUND(AG76*(AA79-0.1),0),0)</f>
        <v/>
      </c>
      <c r="AB80" s="622" t="n"/>
      <c r="AF80" s="30" t="n"/>
      <c r="AJ80" s="30" t="n"/>
      <c r="AL80" s="48" t="n"/>
      <c r="AM80" s="604" t="n"/>
      <c r="AN80" s="30" t="n"/>
      <c r="AP80" s="48" t="n"/>
      <c r="AQ80" s="604" t="n"/>
      <c r="AR80" s="50" t="n"/>
      <c r="AS80" s="49" t="n"/>
      <c r="AT80" s="48" t="n"/>
      <c r="AU80" s="604" t="n"/>
    </row>
    <row r="81" ht="11.25" customHeight="1" s="26">
      <c r="L81" s="622" t="n"/>
      <c r="M81" s="230" t="n"/>
      <c r="N81" s="230" t="n"/>
      <c r="O81" s="734" t="n"/>
      <c r="P81" s="735" t="n"/>
      <c r="Q81" s="736">
        <f>CONCATENATE("Penalty in ",$M$3+2)</f>
        <v/>
      </c>
      <c r="R81" s="759" t="n"/>
      <c r="S81" s="759" t="n"/>
      <c r="T81" s="737" t="n"/>
      <c r="U81" s="738">
        <f>IF(Y76&gt;$M$3+1,ROUND(AA77*(U80-0.1),0),0)</f>
        <v/>
      </c>
      <c r="V81" s="737" t="n"/>
      <c r="W81" s="739" t="inlineStr">
        <is>
          <t>Total Penalty Left</t>
        </is>
      </c>
      <c r="X81" s="759" t="n"/>
      <c r="Y81" s="759" t="n"/>
      <c r="Z81" s="737" t="n"/>
      <c r="AA81" s="740">
        <f>SUM(AA78+U80+U81+AA80)</f>
        <v/>
      </c>
      <c r="AB81" s="622" t="n"/>
      <c r="AF81" s="30" t="n"/>
      <c r="AJ81" s="30" t="n"/>
      <c r="AL81" s="48" t="n"/>
      <c r="AM81" s="604" t="n"/>
      <c r="AN81" s="30" t="n"/>
      <c r="AP81" s="48" t="n"/>
      <c r="AQ81" s="604" t="n"/>
      <c r="AR81" s="50" t="n"/>
      <c r="AS81" s="49" t="n"/>
      <c r="AT81" s="48" t="n"/>
      <c r="AU81" s="604" t="n"/>
    </row>
    <row r="82" ht="11.25" customHeight="1" s="26">
      <c r="L82" s="622" t="n"/>
      <c r="M82" s="622" t="n"/>
      <c r="N82" s="622" t="n"/>
      <c r="O82" s="622" t="n"/>
      <c r="P82" s="622" t="n"/>
      <c r="Q82" s="208" t="n"/>
      <c r="R82" s="208" t="n"/>
      <c r="S82" s="208" t="n"/>
      <c r="T82" s="622" t="n"/>
      <c r="U82" s="622" t="n"/>
      <c r="V82" s="622" t="n"/>
      <c r="W82" s="208" t="n"/>
      <c r="X82" s="208" t="n"/>
      <c r="Y82" s="208" t="n"/>
      <c r="Z82" s="622" t="n"/>
      <c r="AA82" s="622" t="n"/>
      <c r="AB82" s="622" t="n"/>
      <c r="AF82" s="30" t="n"/>
      <c r="AJ82" s="30" t="n"/>
      <c r="AL82" s="48" t="n"/>
      <c r="AM82" s="604" t="n"/>
      <c r="AN82" s="30" t="n"/>
      <c r="AP82" s="48" t="n"/>
      <c r="AQ82" s="604" t="n"/>
      <c r="AR82" s="50" t="n"/>
      <c r="AS82" s="49" t="n"/>
      <c r="AT82" s="48" t="n"/>
      <c r="AU82" s="604" t="n"/>
    </row>
    <row r="83" ht="11.25" customHeight="1" s="26">
      <c r="P83" s="30" t="n"/>
      <c r="U83" s="30" t="n"/>
      <c r="V83" s="30" t="n"/>
      <c r="W83" s="30" t="n"/>
      <c r="X83" s="30" t="n"/>
      <c r="AF83" s="30" t="n"/>
      <c r="AJ83" s="30" t="n"/>
      <c r="AL83" s="48" t="n"/>
      <c r="AM83" s="604" t="n"/>
      <c r="AN83" s="30" t="n"/>
      <c r="AP83" s="48" t="n"/>
      <c r="AQ83" s="604" t="n"/>
      <c r="AR83" s="50" t="n"/>
      <c r="AS83" s="49" t="n"/>
      <c r="AT83" s="48" t="n"/>
      <c r="AU83" s="604" t="n"/>
    </row>
    <row r="84" ht="11.25" customHeight="1" s="26">
      <c r="P84" s="30" t="n"/>
      <c r="U84" s="30" t="n"/>
      <c r="V84" s="30" t="n"/>
      <c r="W84" s="30" t="n"/>
      <c r="X84" s="30" t="n"/>
      <c r="AF84" s="30" t="n"/>
      <c r="AJ84" s="30" t="n"/>
      <c r="AL84" s="48" t="n"/>
      <c r="AM84" s="604" t="n"/>
      <c r="AN84" s="30" t="n"/>
      <c r="AP84" s="48" t="n"/>
      <c r="AQ84" s="604" t="n"/>
      <c r="AR84" s="50" t="n"/>
      <c r="AS84" s="49" t="n"/>
      <c r="AT84" s="48" t="n"/>
      <c r="AU84" s="604" t="n"/>
    </row>
    <row r="85" ht="11.25" customHeight="1" s="26">
      <c r="P85" s="30" t="n"/>
      <c r="U85" s="30" t="n"/>
      <c r="V85" s="30" t="n"/>
      <c r="W85" s="30" t="n"/>
      <c r="X85" s="30" t="n"/>
      <c r="AF85" s="30" t="n"/>
      <c r="AJ85" s="30" t="n"/>
      <c r="AL85" s="48" t="n"/>
      <c r="AM85" s="604" t="n"/>
      <c r="AN85" s="30" t="n"/>
      <c r="AP85" s="48" t="n"/>
      <c r="AQ85" s="604" t="n"/>
      <c r="AR85" s="50" t="n"/>
      <c r="AS85" s="49" t="n"/>
      <c r="AT85" s="48" t="n"/>
      <c r="AU85" s="604" t="n"/>
    </row>
    <row r="86" ht="11.25" customHeight="1" s="26">
      <c r="P86" s="30" t="n"/>
      <c r="U86" s="30" t="n"/>
      <c r="V86" s="30" t="n"/>
      <c r="W86" s="30" t="n"/>
      <c r="X86" s="30" t="n"/>
      <c r="AF86" s="30" t="n"/>
      <c r="AJ86" s="30" t="n"/>
      <c r="AL86" s="48" t="n"/>
      <c r="AM86" s="604" t="n"/>
      <c r="AN86" s="30" t="n"/>
      <c r="AR86" s="30" t="n"/>
    </row>
    <row r="87" ht="11.25" customHeight="1" s="26">
      <c r="P87" s="30" t="n"/>
      <c r="U87" s="30" t="n"/>
      <c r="V87" s="30" t="n"/>
      <c r="W87" s="30" t="n"/>
      <c r="X87" s="30" t="n"/>
      <c r="AF87" s="30" t="n"/>
      <c r="AJ87" s="30" t="n"/>
      <c r="AL87" s="48" t="n"/>
      <c r="AM87" s="604" t="n"/>
      <c r="AN87" s="30" t="n"/>
      <c r="AR87" s="30" t="n"/>
    </row>
    <row r="88" ht="11.25" customHeight="1" s="26">
      <c r="P88" s="30" t="n"/>
      <c r="U88" s="30" t="n"/>
      <c r="V88" s="30" t="n"/>
      <c r="W88" s="30" t="n"/>
      <c r="X88" s="30" t="n"/>
      <c r="AF88" s="30" t="n"/>
      <c r="AJ88" s="30" t="n"/>
      <c r="AL88" s="48" t="n"/>
      <c r="AM88" s="481" t="n"/>
      <c r="AN88" s="30" t="n"/>
      <c r="AR88" s="30" t="n"/>
    </row>
    <row r="89" ht="11.25" customHeight="1" s="26">
      <c r="P89" s="30" t="n"/>
      <c r="U89" s="30" t="n"/>
      <c r="V89" s="30" t="n"/>
      <c r="W89" s="30" t="n"/>
      <c r="X89" s="30" t="n"/>
      <c r="AF89" s="30" t="n"/>
      <c r="AJ89" s="30" t="n"/>
      <c r="AL89" s="48" t="n"/>
      <c r="AM89" s="604" t="n"/>
      <c r="AN89" s="30" t="n"/>
      <c r="AR89" s="30" t="n"/>
    </row>
    <row r="90" ht="11.25" customHeight="1" s="26">
      <c r="P90" s="30" t="n"/>
      <c r="U90" s="30" t="n"/>
      <c r="V90" s="30" t="n"/>
      <c r="W90" s="30" t="n"/>
      <c r="X90" s="30" t="n"/>
      <c r="AF90" s="30" t="n"/>
      <c r="AJ90" s="30" t="n"/>
      <c r="AL90" s="48" t="n"/>
      <c r="AM90" s="604" t="n"/>
      <c r="AN90" s="30" t="n"/>
      <c r="AR90" s="30" t="n"/>
    </row>
    <row r="91" ht="11.25" customHeight="1" s="26">
      <c r="P91" s="30" t="n"/>
      <c r="U91" s="30" t="n"/>
      <c r="V91" s="30" t="n"/>
      <c r="W91" s="30" t="n"/>
      <c r="X91" s="30" t="n"/>
      <c r="AF91" s="30" t="n"/>
      <c r="AJ91" s="30" t="n"/>
      <c r="AL91" s="48" t="n"/>
      <c r="AM91" s="604" t="n"/>
      <c r="AN91" s="30" t="n"/>
      <c r="AR91" s="30" t="n"/>
    </row>
    <row r="92" ht="11.25" customHeight="1" s="26"/>
    <row r="93" ht="11.25" customHeight="1" s="26"/>
    <row r="94" ht="11.25" customHeight="1" s="26"/>
    <row r="95" ht="11.25" customHeight="1" s="26"/>
    <row r="96" ht="11.25" customHeight="1" s="26"/>
    <row r="97" ht="11.25" customHeight="1" s="26"/>
    <row r="98" ht="11.25" customHeight="1" s="26"/>
    <row r="99" ht="11.25" customHeight="1" s="26"/>
    <row r="100" ht="11.25" customHeight="1" s="26"/>
    <row r="101" ht="11.25" customHeight="1" s="26"/>
    <row r="102" ht="11.25" customHeight="1" s="26"/>
    <row r="103" ht="11.25" customHeight="1" s="26"/>
    <row r="104" ht="11.25" customHeight="1" s="26"/>
    <row r="105" ht="11.25" customHeight="1" s="26"/>
    <row r="106" ht="11.25" customHeight="1" s="26"/>
    <row r="107" ht="11.25" customHeight="1" s="26"/>
    <row r="108" ht="11.25" customHeight="1" s="26"/>
    <row r="109" ht="11.25" customHeight="1" s="26"/>
    <row r="110" ht="11.25" customHeight="1" s="26"/>
    <row r="111" ht="11.25" customHeight="1" s="26"/>
    <row r="112" ht="11.25" customHeight="1" s="26"/>
    <row r="113" ht="11.25" customHeight="1" s="26"/>
    <row r="114" ht="11.25" customHeight="1" s="26"/>
    <row r="115" ht="11.25" customHeight="1" s="26"/>
    <row r="116" ht="11.25" customHeight="1" s="26"/>
    <row r="117" ht="11.25" customHeight="1" s="26"/>
    <row r="118" ht="11.25" customHeight="1" s="26"/>
    <row r="119" ht="11.25" customHeight="1" s="26"/>
    <row r="120" ht="11.25" customHeight="1" s="26"/>
    <row r="121" ht="11.25" customHeight="1" s="26"/>
    <row r="122" ht="11.25" customHeight="1" s="26"/>
    <row r="123" ht="11.25" customHeight="1" s="26"/>
    <row r="124" ht="11.25" customHeight="1" s="26"/>
    <row r="125" ht="11.25" customHeight="1" s="26"/>
    <row r="126" ht="11.25" customHeight="1" s="26"/>
    <row r="127" ht="11.25" customHeight="1" s="26"/>
    <row r="128" ht="11.25" customHeight="1" s="26"/>
    <row r="129" ht="11.25" customHeight="1" s="26"/>
    <row r="130" ht="11.25" customHeight="1" s="26"/>
    <row r="131" ht="11.25" customHeight="1" s="26"/>
    <row r="132" ht="11.25" customHeight="1" s="26"/>
    <row r="133" ht="11.25" customHeight="1" s="26"/>
    <row r="134" ht="11.25" customHeight="1" s="26"/>
    <row r="135" ht="11.25" customHeight="1" s="26"/>
    <row r="136" ht="11.25" customHeight="1" s="26"/>
    <row r="137" ht="11.25" customHeight="1" s="26"/>
    <row r="138" ht="11.25" customHeight="1" s="26"/>
    <row r="139" ht="11.25" customHeight="1" s="26"/>
    <row r="140" ht="11.25" customHeight="1" s="26"/>
    <row r="141" ht="11.25" customHeight="1" s="26"/>
    <row r="142" ht="11.25" customHeight="1" s="26"/>
    <row r="143" ht="11.25" customHeight="1" s="26"/>
    <row r="144" ht="11.25" customHeight="1" s="26"/>
    <row r="145" ht="11.25" customHeight="1" s="26"/>
    <row r="146" ht="11.25" customHeight="1" s="26"/>
    <row r="147" ht="11.25" customHeight="1" s="26"/>
    <row r="148" ht="11.25" customHeight="1" s="26"/>
    <row r="149" ht="11.25" customHeight="1" s="26"/>
    <row r="150" ht="11.25" customHeight="1" s="26"/>
    <row r="151" ht="11.25" customHeight="1" s="26"/>
    <row r="152" ht="11.25" customHeight="1" s="26"/>
    <row r="153" ht="11.25" customHeight="1" s="26"/>
    <row r="154" ht="11.25" customHeight="1" s="26"/>
    <row r="155" ht="11.25" customHeight="1" s="26"/>
    <row r="156" ht="11.25" customHeight="1" s="26"/>
    <row r="157" ht="11.25" customHeight="1" s="26"/>
    <row r="158" ht="11.25" customHeight="1" s="26"/>
    <row r="159" ht="11.25" customHeight="1" s="26"/>
    <row r="160" ht="11.25" customHeight="1" s="26"/>
    <row r="161" ht="11.25" customHeight="1" s="26"/>
    <row r="162" ht="11.25" customHeight="1" s="26"/>
    <row r="163" ht="11.25" customHeight="1" s="26"/>
    <row r="164" ht="11.25" customHeight="1" s="26"/>
    <row r="165" ht="11.25" customHeight="1" s="26"/>
    <row r="166" ht="11.25" customHeight="1" s="26"/>
    <row r="167" ht="11.25" customHeight="1" s="26"/>
    <row r="168" ht="11.25" customHeight="1" s="26"/>
    <row r="169" ht="11.25" customHeight="1" s="26"/>
    <row r="170" ht="11.25" customHeight="1" s="26"/>
    <row r="171" ht="11.25" customHeight="1" s="26"/>
    <row r="172" ht="11.25" customHeight="1" s="26"/>
    <row r="173" ht="11.25" customHeight="1" s="26"/>
    <row r="174" ht="11.25" customHeight="1" s="26"/>
    <row r="175" ht="11.25" customHeight="1" s="26"/>
    <row r="176" ht="11.25" customHeight="1" s="26"/>
    <row r="177" ht="11.25" customHeight="1" s="26"/>
    <row r="178" ht="11.25" customHeight="1" s="26"/>
    <row r="179" ht="11.25" customHeight="1" s="26"/>
    <row r="180" ht="11.25" customHeight="1" s="26"/>
    <row r="181" ht="11.25" customHeight="1" s="26"/>
    <row r="182" ht="11.25" customHeight="1" s="26"/>
    <row r="183" ht="11.25" customHeight="1" s="26"/>
    <row r="184" ht="11.25" customHeight="1" s="26"/>
    <row r="185" ht="11.25" customHeight="1" s="26"/>
    <row r="186" ht="11.25" customHeight="1" s="26"/>
    <row r="187" ht="11.25" customHeight="1" s="26"/>
    <row r="188" ht="11.25" customHeight="1" s="26"/>
    <row r="189" ht="11.25" customHeight="1" s="26"/>
    <row r="190" ht="11.25" customHeight="1" s="26"/>
    <row r="191" ht="11.25" customHeight="1" s="26"/>
    <row r="192" ht="11.25" customHeight="1" s="26"/>
    <row r="193" ht="11.25" customHeight="1" s="26"/>
    <row r="194" ht="11.25" customHeight="1" s="26"/>
    <row r="195" ht="11.25" customHeight="1" s="26"/>
    <row r="196" ht="11.25" customHeight="1" s="26"/>
    <row r="197" ht="11.25" customHeight="1" s="26"/>
    <row r="198" ht="11.25" customHeight="1" s="26"/>
    <row r="199" ht="11.25" customHeight="1" s="26"/>
    <row r="200" ht="11.25" customHeight="1" s="26"/>
    <row r="201" ht="11.25" customHeight="1" s="26"/>
    <row r="202" ht="11.25" customHeight="1" s="26"/>
    <row r="203" ht="11.25" customHeight="1" s="26"/>
    <row r="204" ht="11.25" customHeight="1" s="26"/>
    <row r="205" ht="11.25" customHeight="1" s="26"/>
    <row r="206" ht="11.25" customHeight="1" s="26"/>
    <row r="207" ht="11.25" customHeight="1" s="26"/>
    <row r="208" ht="11.25" customHeight="1" s="26"/>
    <row r="209" ht="11.25" customHeight="1" s="26"/>
    <row r="210" ht="11.25" customHeight="1" s="26"/>
    <row r="211" ht="11.25" customHeight="1" s="26"/>
    <row r="212" ht="11.25" customHeight="1" s="26"/>
    <row r="213" ht="11.25" customHeight="1" s="26"/>
    <row r="214" ht="11.25" customHeight="1" s="26"/>
    <row r="215" ht="11.25" customHeight="1" s="26"/>
    <row r="216" ht="11.25" customHeight="1" s="26"/>
    <row r="217" ht="11.25" customHeight="1" s="26"/>
    <row r="218" ht="11.25" customHeight="1" s="26"/>
    <row r="219" ht="11.25" customHeight="1" s="26"/>
    <row r="220" ht="11.25" customHeight="1" s="26"/>
    <row r="221" ht="11.25" customHeight="1" s="26"/>
    <row r="222" ht="11.25" customHeight="1" s="26"/>
    <row r="223" ht="11.25" customHeight="1" s="26"/>
    <row r="224" ht="11.25" customHeight="1" s="26"/>
    <row r="225" ht="11.25" customHeight="1" s="26"/>
    <row r="226" ht="11.25" customHeight="1" s="26"/>
    <row r="227" ht="11.25" customHeight="1" s="26"/>
    <row r="228" ht="11.25" customHeight="1" s="26"/>
    <row r="229" ht="11.25" customHeight="1" s="26"/>
    <row r="230" ht="11.25" customHeight="1" s="26"/>
    <row r="231" ht="11.25" customHeight="1" s="26"/>
    <row r="232" ht="11.25" customHeight="1" s="26"/>
    <row r="233" ht="11.25" customHeight="1" s="26"/>
    <row r="234" ht="11.25" customHeight="1" s="26"/>
    <row r="235" ht="11.25" customHeight="1" s="26"/>
    <row r="236" ht="11.25" customHeight="1" s="26"/>
    <row r="237" ht="11.25" customHeight="1" s="26"/>
    <row r="238" ht="11.25" customHeight="1" s="26"/>
    <row r="239" ht="11.25" customHeight="1" s="26"/>
    <row r="240" ht="11.25" customHeight="1" s="26"/>
    <row r="241" ht="11.25" customHeight="1" s="26"/>
    <row r="242" ht="11.25" customHeight="1" s="26"/>
    <row r="243" ht="11.25" customHeight="1" s="26"/>
    <row r="244" ht="11.25" customHeight="1" s="26"/>
    <row r="245" ht="11.25" customHeight="1" s="26"/>
    <row r="246" ht="11.25" customHeight="1" s="26"/>
    <row r="247" ht="11.25" customHeight="1" s="26"/>
    <row r="248" ht="11.25" customHeight="1" s="26"/>
    <row r="249" ht="11.25" customHeight="1" s="26"/>
    <row r="250" ht="11.25" customHeight="1" s="26"/>
    <row r="251" ht="11.25" customHeight="1" s="26"/>
    <row r="252" ht="11.25" customHeight="1" s="26"/>
    <row r="253" ht="11.25" customHeight="1" s="26"/>
    <row r="254" ht="11.25" customHeight="1" s="26"/>
    <row r="255" ht="11.25" customHeight="1" s="26"/>
    <row r="256" ht="11.25" customHeight="1" s="26"/>
    <row r="257" ht="11.25" customHeight="1" s="26"/>
    <row r="258" ht="11.25" customHeight="1" s="26"/>
    <row r="259" ht="11.25" customHeight="1" s="26"/>
    <row r="260" ht="11.25" customHeight="1" s="26"/>
    <row r="261" ht="11.25" customHeight="1" s="26"/>
    <row r="262" ht="11.25" customHeight="1" s="26"/>
    <row r="263" ht="11.25" customHeight="1" s="26"/>
    <row r="264" ht="11.25" customHeight="1" s="26"/>
    <row r="265" ht="11.25" customHeight="1" s="26"/>
    <row r="266" ht="11.25" customHeight="1" s="26"/>
    <row r="267" ht="11.25" customHeight="1" s="26"/>
    <row r="268" ht="11.25" customHeight="1" s="26"/>
    <row r="269" ht="11.25" customHeight="1" s="26"/>
    <row r="270" ht="11.25" customHeight="1" s="26"/>
    <row r="271" ht="11.25" customHeight="1" s="26"/>
    <row r="272" ht="11.25" customHeight="1" s="26"/>
    <row r="273" ht="11.25" customHeight="1" s="26"/>
    <row r="274" ht="11.25" customHeight="1" s="26"/>
    <row r="275" ht="11.25" customHeight="1" s="26"/>
    <row r="276" ht="11.25" customHeight="1" s="26"/>
    <row r="277" ht="11.25" customHeight="1" s="26"/>
    <row r="278" ht="11.25" customHeight="1" s="26"/>
    <row r="279" ht="11.25" customHeight="1" s="26"/>
    <row r="280" ht="11.25" customHeight="1" s="26"/>
    <row r="281" ht="11.2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306">
    <mergeCell ref="Y24:Y25"/>
    <mergeCell ref="C44:E44"/>
    <mergeCell ref="M48:M49"/>
    <mergeCell ref="AA27:AA28"/>
    <mergeCell ref="M59:N59"/>
    <mergeCell ref="Q21:Q22"/>
    <mergeCell ref="H27:J30"/>
    <mergeCell ref="C47:E47"/>
    <mergeCell ref="B68:C69"/>
    <mergeCell ref="C40:E40"/>
    <mergeCell ref="D68:E69"/>
    <mergeCell ref="O51:O53"/>
    <mergeCell ref="X3:X4"/>
    <mergeCell ref="Z3:Z4"/>
    <mergeCell ref="H33:K33"/>
    <mergeCell ref="M79:N79"/>
    <mergeCell ref="AA51:AA53"/>
    <mergeCell ref="U76:U77"/>
    <mergeCell ref="S48:S49"/>
    <mergeCell ref="W81:Y81"/>
    <mergeCell ref="W76:W77"/>
    <mergeCell ref="U48:U49"/>
    <mergeCell ref="C60:E60"/>
    <mergeCell ref="U57:U58"/>
    <mergeCell ref="Q80:S80"/>
    <mergeCell ref="S51:S53"/>
    <mergeCell ref="S62:S63"/>
    <mergeCell ref="U51:U53"/>
    <mergeCell ref="G3:G4"/>
    <mergeCell ref="AA24:AA25"/>
    <mergeCell ref="H35:K35"/>
    <mergeCell ref="G57:H57"/>
    <mergeCell ref="J36:J37"/>
    <mergeCell ref="O76:O77"/>
    <mergeCell ref="W73:Y73"/>
    <mergeCell ref="I63:K63"/>
    <mergeCell ref="K27:K30"/>
    <mergeCell ref="Q27:Q28"/>
    <mergeCell ref="W60:Y60"/>
    <mergeCell ref="C57:E57"/>
    <mergeCell ref="M1:AA2"/>
    <mergeCell ref="S33:S34"/>
    <mergeCell ref="G58:H58"/>
    <mergeCell ref="P78:S79"/>
    <mergeCell ref="U33:U34"/>
    <mergeCell ref="C49:E49"/>
    <mergeCell ref="M18:M19"/>
    <mergeCell ref="W27:W28"/>
    <mergeCell ref="U42:U43"/>
    <mergeCell ref="O27:O28"/>
    <mergeCell ref="W42:W43"/>
    <mergeCell ref="Y36:Y37"/>
    <mergeCell ref="Y18:Y19"/>
    <mergeCell ref="C42:E42"/>
    <mergeCell ref="AA18:AA19"/>
    <mergeCell ref="Y33:Y34"/>
    <mergeCell ref="U69:U70"/>
    <mergeCell ref="M9:M10"/>
    <mergeCell ref="Q76:Q77"/>
    <mergeCell ref="W69:W70"/>
    <mergeCell ref="U78:U79"/>
    <mergeCell ref="O9:O10"/>
    <mergeCell ref="Q3:Q4"/>
    <mergeCell ref="P64:S65"/>
    <mergeCell ref="O3:O4"/>
    <mergeCell ref="S3:S4"/>
    <mergeCell ref="Q12:Q13"/>
    <mergeCell ref="O39:O40"/>
    <mergeCell ref="S12:S13"/>
    <mergeCell ref="G44:H44"/>
    <mergeCell ref="AA42:AA43"/>
    <mergeCell ref="U6:U7"/>
    <mergeCell ref="W6:W7"/>
    <mergeCell ref="U15:U16"/>
    <mergeCell ref="Y62:Y63"/>
    <mergeCell ref="G59:H59"/>
    <mergeCell ref="W15:W16"/>
    <mergeCell ref="Q67:S67"/>
    <mergeCell ref="Y15:Y16"/>
    <mergeCell ref="M3:N4"/>
    <mergeCell ref="M39:M40"/>
    <mergeCell ref="U30:U31"/>
    <mergeCell ref="W30:W31"/>
    <mergeCell ref="Y55:Y56"/>
    <mergeCell ref="Y30:Y31"/>
    <mergeCell ref="Q60:S60"/>
    <mergeCell ref="Q55:Q56"/>
    <mergeCell ref="G61:H61"/>
    <mergeCell ref="AA6:AA7"/>
    <mergeCell ref="AA15:AA16"/>
    <mergeCell ref="C59:E59"/>
    <mergeCell ref="Y21:Y22"/>
    <mergeCell ref="O36:O37"/>
    <mergeCell ref="G48:H48"/>
    <mergeCell ref="K23:K25"/>
    <mergeCell ref="O45:O46"/>
    <mergeCell ref="O30:O31"/>
    <mergeCell ref="W59:Y59"/>
    <mergeCell ref="H31:K32"/>
    <mergeCell ref="Q39:Q40"/>
    <mergeCell ref="M64:N64"/>
    <mergeCell ref="S39:S40"/>
    <mergeCell ref="C46:E46"/>
    <mergeCell ref="Q59:S59"/>
    <mergeCell ref="M73:N73"/>
    <mergeCell ref="AA30:AA31"/>
    <mergeCell ref="AA57:AA58"/>
    <mergeCell ref="G38:H38"/>
    <mergeCell ref="AA48:AA49"/>
    <mergeCell ref="C61:E61"/>
    <mergeCell ref="C39:E39"/>
    <mergeCell ref="C48:E48"/>
    <mergeCell ref="G62:H62"/>
    <mergeCell ref="V71:Z72"/>
    <mergeCell ref="O15:O16"/>
    <mergeCell ref="O62:O63"/>
    <mergeCell ref="B66:C67"/>
    <mergeCell ref="C38:E38"/>
    <mergeCell ref="S24:S25"/>
    <mergeCell ref="G49:H49"/>
    <mergeCell ref="K18:K20"/>
    <mergeCell ref="M65:N65"/>
    <mergeCell ref="M24:M25"/>
    <mergeCell ref="M76:M77"/>
    <mergeCell ref="W18:W19"/>
    <mergeCell ref="AA62:AA63"/>
    <mergeCell ref="M21:M22"/>
    <mergeCell ref="Y27:Y28"/>
    <mergeCell ref="AA71:AA72"/>
    <mergeCell ref="H18:J20"/>
    <mergeCell ref="H34:K34"/>
    <mergeCell ref="T3:T4"/>
    <mergeCell ref="Y76:Y77"/>
    <mergeCell ref="W51:W53"/>
    <mergeCell ref="AA76:AA77"/>
    <mergeCell ref="S76:S77"/>
    <mergeCell ref="B70:C71"/>
    <mergeCell ref="D70:E71"/>
    <mergeCell ref="K3:K4"/>
    <mergeCell ref="Q51:Q53"/>
    <mergeCell ref="U9:U10"/>
    <mergeCell ref="M52:M53"/>
    <mergeCell ref="M66:N66"/>
    <mergeCell ref="W74:Y74"/>
    <mergeCell ref="Y3:Y4"/>
    <mergeCell ref="G60:H60"/>
    <mergeCell ref="H12:J13"/>
    <mergeCell ref="C35:E35"/>
    <mergeCell ref="Q73:S73"/>
    <mergeCell ref="C63:E63"/>
    <mergeCell ref="K5:K6"/>
    <mergeCell ref="M27:M28"/>
    <mergeCell ref="O18:O19"/>
    <mergeCell ref="C50:E50"/>
    <mergeCell ref="T57:T58"/>
    <mergeCell ref="Y9:Y10"/>
    <mergeCell ref="AA9:AA10"/>
    <mergeCell ref="C55:E55"/>
    <mergeCell ref="H14:J15"/>
    <mergeCell ref="G42:H42"/>
    <mergeCell ref="M55:M56"/>
    <mergeCell ref="O33:O34"/>
    <mergeCell ref="M69:M70"/>
    <mergeCell ref="Q33:Q34"/>
    <mergeCell ref="S27:S28"/>
    <mergeCell ref="W55:W56"/>
    <mergeCell ref="W66:Y66"/>
    <mergeCell ref="O69:O70"/>
    <mergeCell ref="AA33:AA34"/>
    <mergeCell ref="Q42:Q43"/>
    <mergeCell ref="S42:S43"/>
    <mergeCell ref="U36:U37"/>
    <mergeCell ref="G39:H39"/>
    <mergeCell ref="U45:U46"/>
    <mergeCell ref="Y39:Y40"/>
    <mergeCell ref="M15:M16"/>
    <mergeCell ref="C36:E36"/>
    <mergeCell ref="AA39:AA40"/>
    <mergeCell ref="M78:N78"/>
    <mergeCell ref="G37:H37"/>
    <mergeCell ref="M12:M13"/>
    <mergeCell ref="O55:O56"/>
    <mergeCell ref="O12:O13"/>
    <mergeCell ref="W21:W22"/>
    <mergeCell ref="Q6:Q7"/>
    <mergeCell ref="AA36:AA37"/>
    <mergeCell ref="O21:O22"/>
    <mergeCell ref="S6:S7"/>
    <mergeCell ref="Q15:Q16"/>
    <mergeCell ref="U24:U25"/>
    <mergeCell ref="AA45:AA46"/>
    <mergeCell ref="U62:U63"/>
    <mergeCell ref="S15:S16"/>
    <mergeCell ref="M45:M46"/>
    <mergeCell ref="W62:W63"/>
    <mergeCell ref="U71:U72"/>
    <mergeCell ref="P57:S58"/>
    <mergeCell ref="P71:S72"/>
    <mergeCell ref="Q30:Q31"/>
    <mergeCell ref="C37:E37"/>
    <mergeCell ref="U21:U22"/>
    <mergeCell ref="S30:S31"/>
    <mergeCell ref="P3:P4"/>
    <mergeCell ref="O6:O7"/>
    <mergeCell ref="R3:R4"/>
    <mergeCell ref="U64:U65"/>
    <mergeCell ref="V64:Z65"/>
    <mergeCell ref="Q62:Q63"/>
    <mergeCell ref="F63:H63"/>
    <mergeCell ref="W48:W49"/>
    <mergeCell ref="O48:O49"/>
    <mergeCell ref="AA21:AA22"/>
    <mergeCell ref="Y48:Y49"/>
    <mergeCell ref="Q48:Q49"/>
    <mergeCell ref="H8:J10"/>
    <mergeCell ref="G54:H54"/>
    <mergeCell ref="W80:Y80"/>
    <mergeCell ref="Y51:Y53"/>
    <mergeCell ref="G41:H41"/>
    <mergeCell ref="K16:K17"/>
    <mergeCell ref="G50:H50"/>
    <mergeCell ref="K8:K10"/>
    <mergeCell ref="H16:J17"/>
    <mergeCell ref="M71:N71"/>
    <mergeCell ref="H3:J4"/>
    <mergeCell ref="Q24:Q25"/>
    <mergeCell ref="G56:H56"/>
    <mergeCell ref="M58:N58"/>
    <mergeCell ref="C54:E54"/>
    <mergeCell ref="B64:J65"/>
    <mergeCell ref="S18:S19"/>
    <mergeCell ref="G43:H43"/>
    <mergeCell ref="U27:U28"/>
    <mergeCell ref="C41:E41"/>
    <mergeCell ref="K21:K22"/>
    <mergeCell ref="W36:W37"/>
    <mergeCell ref="H5:J6"/>
    <mergeCell ref="O24:O25"/>
    <mergeCell ref="W33:W34"/>
    <mergeCell ref="C56:E56"/>
    <mergeCell ref="C1:F2"/>
    <mergeCell ref="Q18:Q19"/>
    <mergeCell ref="C43:E43"/>
    <mergeCell ref="V57:Z58"/>
    <mergeCell ref="Q81:S81"/>
    <mergeCell ref="Y69:Y70"/>
    <mergeCell ref="H1:K2"/>
    <mergeCell ref="Q9:Q10"/>
    <mergeCell ref="Q74:S74"/>
    <mergeCell ref="Q69:Q70"/>
    <mergeCell ref="AA69:AA70"/>
    <mergeCell ref="S69:S70"/>
    <mergeCell ref="AA78:AA79"/>
    <mergeCell ref="U3:U4"/>
    <mergeCell ref="W3:W4"/>
    <mergeCell ref="B1:B2"/>
    <mergeCell ref="M6:M7"/>
    <mergeCell ref="S9:S10"/>
    <mergeCell ref="K12:K13"/>
    <mergeCell ref="U12:U13"/>
    <mergeCell ref="Y6:Y7"/>
    <mergeCell ref="W12:W13"/>
    <mergeCell ref="U18:U19"/>
    <mergeCell ref="H21:J22"/>
    <mergeCell ref="M36:M37"/>
    <mergeCell ref="K14:K15"/>
    <mergeCell ref="M30:M31"/>
    <mergeCell ref="W9:W10"/>
    <mergeCell ref="W67:Y67"/>
    <mergeCell ref="Y42:Y43"/>
    <mergeCell ref="AA3:AA4"/>
    <mergeCell ref="Y12:Y13"/>
    <mergeCell ref="AA55:AA56"/>
    <mergeCell ref="Q66:S66"/>
    <mergeCell ref="M80:N80"/>
    <mergeCell ref="S55:S56"/>
    <mergeCell ref="AA64:AA65"/>
    <mergeCell ref="AA12:AA13"/>
    <mergeCell ref="U55:U56"/>
    <mergeCell ref="M33:M34"/>
    <mergeCell ref="M42:M43"/>
    <mergeCell ref="Q36:Q37"/>
    <mergeCell ref="O42:O43"/>
    <mergeCell ref="Y45:Y46"/>
    <mergeCell ref="S36:S37"/>
    <mergeCell ref="Q45:Q46"/>
    <mergeCell ref="G45:H45"/>
    <mergeCell ref="G55:H55"/>
    <mergeCell ref="S45:S46"/>
    <mergeCell ref="U39:U40"/>
    <mergeCell ref="C58:E58"/>
    <mergeCell ref="M57:N57"/>
    <mergeCell ref="M62:M63"/>
    <mergeCell ref="H23:J25"/>
    <mergeCell ref="W39:W40"/>
    <mergeCell ref="G47:H47"/>
    <mergeCell ref="C45:E45"/>
    <mergeCell ref="M72:N72"/>
    <mergeCell ref="V3:V4"/>
    <mergeCell ref="S21:S22"/>
    <mergeCell ref="G46:H46"/>
    <mergeCell ref="W45:W46"/>
    <mergeCell ref="G40:H40"/>
    <mergeCell ref="D66:E67"/>
    <mergeCell ref="W24:W25"/>
    <mergeCell ref="V78:Z79"/>
  </mergeCells>
  <conditionalFormatting sqref="J41:J47">
    <cfRule type="expression" priority="1" dxfId="1">
      <formula>ISNUMBER(#REF!)</formula>
    </cfRule>
    <cfRule type="expression" priority="2" dxfId="1">
      <formula>ISNUMBER(#REF!)</formula>
    </cfRule>
  </conditionalFormatting>
  <conditionalFormatting sqref="W39:W40 W42:W43 W45:W46 W48:W49">
    <cfRule type="cellIs" priority="3" operator="equal" dxfId="0">
      <formula>0</formula>
    </cfRule>
  </conditionalFormatting>
  <conditionalFormatting sqref="W42:W43">
    <cfRule type="cellIs" priority="4" operator="equal" dxfId="0">
      <formula>"'0'"</formula>
    </cfRule>
  </conditionalFormatting>
  <conditionalFormatting sqref="J49:J50">
    <cfRule type="expression" priority="5" dxfId="1">
      <formula>ISNUMBER($F49)</formula>
    </cfRule>
  </conditionalFormatting>
  <conditionalFormatting sqref="J57">
    <cfRule type="expression" priority="6" dxfId="1">
      <formula>ISNUMBER($F57)</formula>
    </cfRule>
  </conditionalFormatting>
  <conditionalFormatting sqref="J56">
    <cfRule type="expression" priority="7" dxfId="1">
      <formula>ISNUMBER($F56)</formula>
    </cfRule>
  </conditionalFormatting>
  <conditionalFormatting sqref="J54">
    <cfRule type="expression" priority="8" dxfId="1">
      <formula>ISNUMBER($F54)</formula>
    </cfRule>
  </conditionalFormatting>
  <conditionalFormatting sqref="W6:W7">
    <cfRule type="cellIs" priority="9" operator="equal" dxfId="0">
      <formula>0</formula>
    </cfRule>
    <cfRule type="cellIs" priority="19" operator="equal" dxfId="0">
      <formula>0</formula>
    </cfRule>
    <cfRule type="cellIs" priority="20" operator="equal" dxfId="0">
      <formula>"'0'"</formula>
    </cfRule>
  </conditionalFormatting>
  <conditionalFormatting sqref="W12:W13 W15">
    <cfRule type="cellIs" priority="10" operator="equal" dxfId="0">
      <formula>0</formula>
    </cfRule>
    <cfRule type="cellIs" priority="21" operator="equal" dxfId="0">
      <formula>"'0'"</formula>
    </cfRule>
    <cfRule type="cellIs" priority="22" operator="equal" dxfId="0">
      <formula>0</formula>
    </cfRule>
  </conditionalFormatting>
  <conditionalFormatting sqref="W27:W28">
    <cfRule type="cellIs" priority="11" operator="equal" dxfId="0">
      <formula>0</formula>
    </cfRule>
  </conditionalFormatting>
  <conditionalFormatting sqref="W24:W25">
    <cfRule type="cellIs" priority="12" operator="equal" dxfId="0">
      <formula>0</formula>
    </cfRule>
  </conditionalFormatting>
  <conditionalFormatting sqref="W15 W18:W19 W21 W33">
    <cfRule type="cellIs" priority="13" operator="equal" dxfId="0">
      <formula>0</formula>
    </cfRule>
    <cfRule type="cellIs" priority="14" operator="equal" dxfId="0">
      <formula>0</formula>
    </cfRule>
    <cfRule type="cellIs" priority="25" operator="equal" dxfId="0">
      <formula>"'0'"</formula>
    </cfRule>
  </conditionalFormatting>
  <conditionalFormatting sqref="W8">
    <cfRule type="cellIs" priority="15" operator="equal" dxfId="0">
      <formula>"'0'"</formula>
    </cfRule>
  </conditionalFormatting>
  <conditionalFormatting sqref="W9:W10">
    <cfRule type="cellIs" priority="16" operator="equal" dxfId="0">
      <formula>0</formula>
    </cfRule>
    <cfRule type="cellIs" priority="17" operator="equal" dxfId="0">
      <formula>"'0'"</formula>
    </cfRule>
    <cfRule type="cellIs" priority="18" operator="equal" dxfId="0">
      <formula>0</formula>
    </cfRule>
  </conditionalFormatting>
  <conditionalFormatting sqref="W9:W10 W33:W34">
    <cfRule type="cellIs" priority="23" operator="equal" dxfId="0">
      <formula>0</formula>
    </cfRule>
  </conditionalFormatting>
  <conditionalFormatting sqref="W15:W16">
    <cfRule type="cellIs" priority="24" operator="equal" dxfId="0">
      <formula>0</formula>
    </cfRule>
  </conditionalFormatting>
  <conditionalFormatting sqref="W21:W22">
    <cfRule type="cellIs" priority="26" operator="equal" dxfId="0">
      <formula>0</formula>
    </cfRule>
  </conditionalFormatting>
  <conditionalFormatting sqref="W30:W31">
    <cfRule type="cellIs" priority="27" operator="equal" dxfId="0">
      <formula>0</formula>
    </cfRule>
  </conditionalFormatting>
  <conditionalFormatting sqref="W33 W36:W37">
    <cfRule type="cellIs" priority="28" operator="equal" dxfId="0">
      <formula>"'0'"</formula>
    </cfRule>
    <cfRule type="cellIs" priority="29" operator="equal" dxfId="0">
      <formula>0</formula>
    </cfRule>
  </conditionalFormatting>
  <conditionalFormatting sqref="J38:J47">
    <cfRule type="expression" priority="30" dxfId="1">
      <formula>ISNUMBER($F31)</formula>
    </cfRule>
    <cfRule type="expression" priority="38" dxfId="1">
      <formula>ISNUMBER($F38)</formula>
    </cfRule>
  </conditionalFormatting>
  <conditionalFormatting sqref="J47">
    <cfRule type="expression" priority="31" dxfId="1">
      <formula>ISNUMBER($F47)</formula>
    </cfRule>
  </conditionalFormatting>
  <conditionalFormatting sqref="J48">
    <cfRule type="expression" priority="32" dxfId="1">
      <formula>ISNUMBER($F48)</formula>
    </cfRule>
  </conditionalFormatting>
  <conditionalFormatting sqref="J46">
    <cfRule type="expression" priority="33" dxfId="1">
      <formula>ISNUMBER($F46)</formula>
    </cfRule>
  </conditionalFormatting>
  <conditionalFormatting sqref="J39">
    <cfRule type="expression" priority="34" dxfId="1">
      <formula>ISNUMBER($F39)</formula>
    </cfRule>
  </conditionalFormatting>
  <conditionalFormatting sqref="J40 J43">
    <cfRule type="expression" priority="35" dxfId="1">
      <formula>ISNUMBER($F40)</formula>
    </cfRule>
  </conditionalFormatting>
  <conditionalFormatting sqref="J40">
    <cfRule type="expression" priority="36" dxfId="1">
      <formula>ISNUMBER($F40)</formula>
    </cfRule>
  </conditionalFormatting>
  <conditionalFormatting sqref="W55:W56 W62">
    <cfRule type="cellIs" priority="37" operator="equal" dxfId="0">
      <formula>0</formula>
    </cfRule>
  </conditionalFormatting>
  <conditionalFormatting sqref="J39 J41:J47">
    <cfRule type="expression" priority="39" dxfId="1">
      <formula>ISNUMBER($F39)</formula>
    </cfRule>
  </conditionalFormatting>
  <conditionalFormatting sqref="W62:W63">
    <cfRule type="cellIs" priority="40" operator="equal" dxfId="0">
      <formula>0</formula>
    </cfRule>
  </conditionalFormatting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26" min="1" max="1"/>
    <col width="19.43" customWidth="1" style="26" min="2" max="2"/>
    <col width="18.29" customWidth="1" style="26" min="3" max="3"/>
    <col width="15.71" customWidth="1" style="26" min="4" max="4"/>
    <col width="20.71" customWidth="1" style="26" min="5" max="5"/>
    <col width="11.43" customWidth="1" style="26" min="6" max="6"/>
    <col width="14.86" customWidth="1" style="26" min="7" max="7"/>
    <col width="16.57" customWidth="1" style="26" min="8" max="8"/>
    <col width="17.86" customWidth="1" style="26" min="9" max="9"/>
    <col width="11.43" customWidth="1" style="26" min="10" max="26"/>
  </cols>
  <sheetData>
    <row r="1">
      <c r="A1" s="745" t="inlineStr">
        <is>
          <t>Initials</t>
        </is>
      </c>
      <c r="B1" s="745" t="inlineStr">
        <is>
          <t>Team Name</t>
        </is>
      </c>
      <c r="C1" s="745" t="inlineStr">
        <is>
          <t>Trades as of 1/3</t>
        </is>
      </c>
      <c r="E1" s="745" t="inlineStr">
        <is>
          <t>Trades Total</t>
        </is>
      </c>
      <c r="F1" s="745" t="inlineStr">
        <is>
          <t>Total Budget Change</t>
        </is>
      </c>
    </row>
    <row r="2">
      <c r="A2" s="744" t="inlineStr">
        <is>
          <t>AC</t>
        </is>
      </c>
      <c r="B2" s="745" t="inlineStr">
        <is>
          <t>Dumpster Fire</t>
        </is>
      </c>
      <c r="C2" s="745">
        <f>-7-5</f>
        <v/>
      </c>
      <c r="E2">
        <f>C2+D2</f>
        <v/>
      </c>
      <c r="F2" s="745">
        <f>C2+D2</f>
        <v/>
      </c>
    </row>
    <row r="3">
      <c r="A3" s="744" t="inlineStr">
        <is>
          <t>AW</t>
        </is>
      </c>
      <c r="B3" s="745" t="inlineStr">
        <is>
          <t>Minor Legalities</t>
        </is>
      </c>
      <c r="C3" s="745">
        <f>-10-75-3+10+10+5+3+3+6</f>
        <v/>
      </c>
      <c r="E3">
        <f>C3+D3</f>
        <v/>
      </c>
      <c r="F3" s="745">
        <f>C3+D3</f>
        <v/>
      </c>
    </row>
    <row r="4">
      <c r="A4" s="744" t="inlineStr">
        <is>
          <t>BL</t>
        </is>
      </c>
      <c r="B4" s="745" t="inlineStr">
        <is>
          <t>Brockasaurus</t>
        </is>
      </c>
      <c r="C4" s="745">
        <f>-7+2+8</f>
        <v/>
      </c>
      <c r="E4" s="745">
        <f>C4+D4</f>
        <v/>
      </c>
      <c r="F4" s="745">
        <f>C4+D4</f>
        <v/>
      </c>
    </row>
    <row r="5">
      <c r="A5" s="744" t="inlineStr">
        <is>
          <t>CN</t>
        </is>
      </c>
      <c r="B5" s="745" t="inlineStr">
        <is>
          <t>Nygaardians</t>
        </is>
      </c>
      <c r="C5" s="745">
        <f>3-6</f>
        <v/>
      </c>
      <c r="E5">
        <f>C5+D5</f>
        <v/>
      </c>
      <c r="F5" s="745">
        <f>C5+D5</f>
        <v/>
      </c>
    </row>
    <row r="6">
      <c r="A6" s="744" t="inlineStr">
        <is>
          <t>CS</t>
        </is>
      </c>
      <c r="B6" s="745" t="inlineStr">
        <is>
          <t>Shag Dawgs</t>
        </is>
      </c>
      <c r="C6" s="745">
        <f>-5-10</f>
        <v/>
      </c>
      <c r="E6">
        <f>C6+D6</f>
        <v/>
      </c>
      <c r="F6" s="745">
        <f>C6+D6</f>
        <v/>
      </c>
    </row>
    <row r="7">
      <c r="A7" s="744" t="inlineStr">
        <is>
          <t>DC</t>
        </is>
      </c>
      <c r="B7" s="745" t="inlineStr">
        <is>
          <t>Cliff Lee Was Here</t>
        </is>
      </c>
      <c r="C7" s="745">
        <f>-5+5+11+5</f>
        <v/>
      </c>
      <c r="E7">
        <f>C7+D7</f>
        <v/>
      </c>
      <c r="F7" s="745">
        <f>C7+D7</f>
        <v/>
      </c>
    </row>
    <row r="8">
      <c r="A8" s="744" t="inlineStr">
        <is>
          <t>DM</t>
        </is>
      </c>
      <c r="B8" s="745" t="inlineStr">
        <is>
          <t>Stat Sandwich</t>
        </is>
      </c>
      <c r="C8" s="745">
        <f>-4-3-11-5</f>
        <v/>
      </c>
      <c r="E8">
        <f>C8+D8</f>
        <v/>
      </c>
      <c r="F8" s="745">
        <f>C8+D8</f>
        <v/>
      </c>
    </row>
    <row r="9">
      <c r="A9" s="744" t="inlineStr">
        <is>
          <t>EP</t>
        </is>
      </c>
      <c r="B9" s="745" t="inlineStr">
        <is>
          <t>Winning DeLautery</t>
        </is>
      </c>
      <c r="C9" s="745">
        <f>6+10</f>
        <v/>
      </c>
      <c r="E9">
        <f>C9+D9</f>
        <v/>
      </c>
      <c r="F9" s="745">
        <f>C9+D9</f>
        <v/>
      </c>
    </row>
    <row r="10">
      <c r="A10" s="744" t="inlineStr">
        <is>
          <t>JJ</t>
        </is>
      </c>
      <c r="B10" s="745" t="inlineStr">
        <is>
          <t>Metropolitans</t>
        </is>
      </c>
      <c r="C10" s="745">
        <f>-5-9-2</f>
        <v/>
      </c>
      <c r="E10">
        <f>C10+D10</f>
        <v/>
      </c>
      <c r="F10" s="745">
        <f>C10+D10</f>
        <v/>
      </c>
    </row>
    <row r="11">
      <c r="A11" s="744" t="inlineStr">
        <is>
          <t>JM</t>
        </is>
      </c>
      <c r="B11" s="745" t="inlineStr">
        <is>
          <t>JMoney</t>
        </is>
      </c>
      <c r="C11" s="745">
        <f>-11+10+10+11</f>
        <v/>
      </c>
      <c r="E11">
        <f>C11+D11</f>
        <v/>
      </c>
      <c r="F11" s="745">
        <f>C11+D11</f>
        <v/>
      </c>
    </row>
    <row r="12">
      <c r="A12" s="744" t="inlineStr">
        <is>
          <t>MB</t>
        </is>
      </c>
      <c r="B12" s="745" t="inlineStr">
        <is>
          <t>Becker's Wreckers</t>
        </is>
      </c>
      <c r="C12" s="745">
        <f>5</f>
        <v/>
      </c>
      <c r="E12">
        <f>C12+D12</f>
        <v/>
      </c>
      <c r="F12" s="745">
        <f>C12+D12</f>
        <v/>
      </c>
    </row>
    <row r="13">
      <c r="A13" s="744" t="inlineStr">
        <is>
          <t>MH</t>
        </is>
      </c>
      <c r="B13" s="745" t="inlineStr">
        <is>
          <t>Sabermutrics</t>
        </is>
      </c>
      <c r="C13" s="745">
        <f>-6-14+5</f>
        <v/>
      </c>
      <c r="E13">
        <f>C13+D13</f>
        <v/>
      </c>
      <c r="F13" s="745">
        <f>C13+D13</f>
        <v/>
      </c>
    </row>
    <row r="14">
      <c r="A14" s="744" t="inlineStr">
        <is>
          <t>MT</t>
        </is>
      </c>
      <c r="B14" s="745" t="inlineStr">
        <is>
          <t>Tradezilla</t>
        </is>
      </c>
      <c r="C14" s="745">
        <f>-3-5-3-8-6-5+88</f>
        <v/>
      </c>
      <c r="E14">
        <f>C14+D14</f>
        <v/>
      </c>
      <c r="F14" s="745">
        <f>C14+D14</f>
        <v/>
      </c>
    </row>
    <row r="15">
      <c r="A15" s="744" t="inlineStr">
        <is>
          <t>SM</t>
        </is>
      </c>
      <c r="B15" s="745" t="inlineStr">
        <is>
          <t>DAWSYN</t>
        </is>
      </c>
      <c r="C15" s="745">
        <f>-58+75</f>
        <v/>
      </c>
      <c r="E15">
        <f>C15+D15</f>
        <v/>
      </c>
      <c r="F15" s="745">
        <f>C15+D15</f>
        <v/>
      </c>
    </row>
    <row r="16">
      <c r="C16" s="745">
        <f>sum(C2:C15)</f>
        <v/>
      </c>
    </row>
    <row r="17">
      <c r="C17" s="745" t="n"/>
    </row>
    <row r="19">
      <c r="A19" s="745" t="inlineStr">
        <is>
          <t>Money Traded</t>
        </is>
      </c>
      <c r="E19" s="745">
        <f>SUM(E2:E17)</f>
        <v/>
      </c>
    </row>
    <row r="20">
      <c r="A20" s="744" t="inlineStr">
        <is>
          <t>Team losing money</t>
        </is>
      </c>
      <c r="B20" s="744" t="inlineStr">
        <is>
          <t>Team gaining money</t>
        </is>
      </c>
      <c r="C20" s="744" t="inlineStr">
        <is>
          <t>Amt</t>
        </is>
      </c>
      <c r="D20" s="744" t="inlineStr">
        <is>
          <t>Headliner</t>
        </is>
      </c>
    </row>
    <row r="21" ht="15.75" customHeight="1" s="26">
      <c r="A21" s="744" t="inlineStr">
        <is>
          <t>DAWSYN</t>
        </is>
      </c>
      <c r="B21" s="744" t="inlineStr">
        <is>
          <t>Becker's Wreckers</t>
        </is>
      </c>
      <c r="C21" s="745" t="n">
        <v>5</v>
      </c>
      <c r="D21" s="745" t="inlineStr">
        <is>
          <t>Olson</t>
        </is>
      </c>
    </row>
    <row r="22" ht="15.75" customHeight="1" s="26">
      <c r="A22" s="745" t="inlineStr">
        <is>
          <t>Metro</t>
        </is>
      </c>
      <c r="B22" s="745" t="inlineStr">
        <is>
          <t>Brockasaurus</t>
        </is>
      </c>
      <c r="C22" s="743" t="n">
        <v>2</v>
      </c>
      <c r="D22" s="745" t="inlineStr">
        <is>
          <t>Gaddis</t>
        </is>
      </c>
    </row>
    <row r="23" ht="15.75" customHeight="1" s="26">
      <c r="A23" s="744" t="inlineStr">
        <is>
          <t>Tradezilla</t>
        </is>
      </c>
      <c r="B23" s="744" t="inlineStr">
        <is>
          <t>Brockasaurus</t>
        </is>
      </c>
      <c r="C23" s="745" t="n">
        <v>8</v>
      </c>
      <c r="D23" s="745" t="inlineStr">
        <is>
          <t>Vladdy</t>
        </is>
      </c>
    </row>
    <row r="24" ht="15.75" customHeight="1" s="26">
      <c r="A24" s="745" t="inlineStr">
        <is>
          <t>DAWSYN</t>
        </is>
      </c>
      <c r="B24" s="745" t="inlineStr">
        <is>
          <t>Cliff Lee</t>
        </is>
      </c>
      <c r="C24" s="745" t="n">
        <v>5</v>
      </c>
      <c r="D24" s="745" t="inlineStr">
        <is>
          <t>Iglesias</t>
        </is>
      </c>
    </row>
    <row r="25" ht="15.75" customHeight="1" s="26">
      <c r="A25" s="745" t="inlineStr">
        <is>
          <t>JMoney</t>
        </is>
      </c>
      <c r="B25" s="745" t="inlineStr">
        <is>
          <t>Cliff Lee</t>
        </is>
      </c>
      <c r="C25" s="745" t="n">
        <v>11</v>
      </c>
      <c r="D25" s="745" t="inlineStr">
        <is>
          <t>Bellinger</t>
        </is>
      </c>
    </row>
    <row r="26" ht="15.75" customHeight="1" s="26">
      <c r="A26" s="745" t="inlineStr">
        <is>
          <t>Tradezilla</t>
        </is>
      </c>
      <c r="B26" s="745" t="inlineStr">
        <is>
          <t>Cliff Lee</t>
        </is>
      </c>
      <c r="C26" s="745" t="n">
        <v>5</v>
      </c>
      <c r="D26" s="745" t="inlineStr">
        <is>
          <t>Bogaerts</t>
        </is>
      </c>
    </row>
    <row r="27" ht="15.75" customHeight="1" s="26">
      <c r="A27" s="745" t="inlineStr">
        <is>
          <t>Minor Legalities</t>
        </is>
      </c>
      <c r="B27" s="745" t="inlineStr">
        <is>
          <t>DAWSYN</t>
        </is>
      </c>
      <c r="C27" s="745" t="n">
        <v>75</v>
      </c>
      <c r="D27" s="745" t="inlineStr">
        <is>
          <t>Pick</t>
        </is>
      </c>
    </row>
    <row r="28" ht="15.75" customHeight="1" s="26">
      <c r="A28" s="745" t="inlineStr">
        <is>
          <t>DAWSYN</t>
        </is>
      </c>
      <c r="B28" s="745" t="inlineStr">
        <is>
          <t>JMoney</t>
        </is>
      </c>
      <c r="C28" s="745" t="n">
        <v>10</v>
      </c>
      <c r="D28" s="745" t="inlineStr">
        <is>
          <t>Altuve</t>
        </is>
      </c>
    </row>
    <row r="29" ht="15.75" customHeight="1" s="26">
      <c r="A29" s="745" t="inlineStr">
        <is>
          <t>Shag Dawgs</t>
        </is>
      </c>
      <c r="B29" s="745" t="inlineStr">
        <is>
          <t>JMoney</t>
        </is>
      </c>
      <c r="C29" s="745" t="n">
        <v>10</v>
      </c>
      <c r="D29" s="745" t="inlineStr">
        <is>
          <t>Rodon</t>
        </is>
      </c>
    </row>
    <row r="30" ht="15.75" customHeight="1" s="26">
      <c r="A30" s="745" t="inlineStr">
        <is>
          <t>Stat Sandwich</t>
        </is>
      </c>
      <c r="B30" s="745" t="inlineStr">
        <is>
          <t>JMoney</t>
        </is>
      </c>
      <c r="C30" s="745" t="n">
        <v>11</v>
      </c>
      <c r="D30" s="745" t="inlineStr">
        <is>
          <t>Bellinger</t>
        </is>
      </c>
    </row>
    <row r="31" ht="15.75" customHeight="1" s="26">
      <c r="A31" s="745" t="inlineStr">
        <is>
          <t>DAWSYN</t>
        </is>
      </c>
      <c r="B31" s="745" t="inlineStr">
        <is>
          <t>Minor Legalities</t>
        </is>
      </c>
      <c r="C31" s="745" t="n">
        <v>10</v>
      </c>
      <c r="D31" s="745" t="inlineStr">
        <is>
          <t>Yordan</t>
        </is>
      </c>
    </row>
    <row r="32" ht="15.75" customHeight="1" s="26">
      <c r="A32" s="744" t="inlineStr">
        <is>
          <t>DAWSYN</t>
        </is>
      </c>
      <c r="B32" s="744" t="inlineStr">
        <is>
          <t>Minor Legalities</t>
        </is>
      </c>
      <c r="C32" s="745" t="n">
        <v>10</v>
      </c>
      <c r="D32" s="745" t="inlineStr">
        <is>
          <t>Pages</t>
        </is>
      </c>
    </row>
    <row r="33" ht="15.75" customHeight="1" s="26">
      <c r="A33" s="745" t="inlineStr">
        <is>
          <t>Stat Sandwich</t>
        </is>
      </c>
      <c r="B33" s="745" t="inlineStr">
        <is>
          <t>Minor Legalities</t>
        </is>
      </c>
      <c r="C33" s="745" t="n">
        <v>5</v>
      </c>
      <c r="D33" s="745" t="inlineStr">
        <is>
          <t>Kopech</t>
        </is>
      </c>
    </row>
    <row r="34" ht="15.75" customHeight="1" s="26">
      <c r="A34" s="744" t="inlineStr">
        <is>
          <t>Stat Sandwich</t>
        </is>
      </c>
      <c r="B34" s="744" t="inlineStr">
        <is>
          <t>Minor Legalities</t>
        </is>
      </c>
      <c r="C34" s="745" t="n">
        <v>3</v>
      </c>
      <c r="D34" s="745" t="inlineStr">
        <is>
          <t>Gausman</t>
        </is>
      </c>
    </row>
    <row r="35" ht="15.75" customHeight="1" s="26">
      <c r="A35" s="744" t="inlineStr">
        <is>
          <t>Tradezilla</t>
        </is>
      </c>
      <c r="B35" s="744" t="inlineStr">
        <is>
          <t>Minor Legalities</t>
        </is>
      </c>
      <c r="C35" s="745" t="n">
        <v>3</v>
      </c>
      <c r="D35" s="745" t="inlineStr">
        <is>
          <t>Manoah</t>
        </is>
      </c>
    </row>
    <row r="36" ht="15.75" customHeight="1" s="26">
      <c r="A36" s="744" t="inlineStr">
        <is>
          <t>Tradezilla</t>
        </is>
      </c>
      <c r="B36" s="744" t="inlineStr">
        <is>
          <t>Nygaardians</t>
        </is>
      </c>
      <c r="C36" s="745" t="n">
        <v>3</v>
      </c>
      <c r="D36" s="745" t="inlineStr">
        <is>
          <t>Doval</t>
        </is>
      </c>
    </row>
    <row r="37" ht="15.75" customHeight="1" s="26">
      <c r="A37" s="744" t="inlineStr">
        <is>
          <t>Tradezilla</t>
        </is>
      </c>
      <c r="B37" s="744" t="inlineStr">
        <is>
          <t>Sabermutrics</t>
        </is>
      </c>
      <c r="C37" s="745" t="n">
        <v>5</v>
      </c>
      <c r="D37" s="745" t="inlineStr">
        <is>
          <t>Cease</t>
        </is>
      </c>
    </row>
    <row r="38" ht="15.75" customHeight="1" s="26">
      <c r="A38" s="745" t="inlineStr">
        <is>
          <t>Brockasaurus</t>
        </is>
      </c>
      <c r="B38" s="745" t="inlineStr">
        <is>
          <t>Tradezilla</t>
        </is>
      </c>
      <c r="C38" s="745" t="n">
        <v>7</v>
      </c>
      <c r="D38" s="745" t="inlineStr">
        <is>
          <t>Pepiot</t>
        </is>
      </c>
    </row>
    <row r="39" ht="15.75" customHeight="1" s="26">
      <c r="A39" s="744" t="inlineStr">
        <is>
          <t>Cliff Lee</t>
        </is>
      </c>
      <c r="B39" s="744" t="inlineStr">
        <is>
          <t>Tradezilla</t>
        </is>
      </c>
      <c r="C39" s="745" t="n">
        <v>5</v>
      </c>
      <c r="D39" s="745" t="inlineStr">
        <is>
          <t>Kurtz</t>
        </is>
      </c>
    </row>
    <row r="40" ht="15.75" customHeight="1" s="26">
      <c r="A40" s="745" t="inlineStr">
        <is>
          <t>DAWSYN</t>
        </is>
      </c>
      <c r="B40" s="745" t="inlineStr">
        <is>
          <t>Tradezilla</t>
        </is>
      </c>
      <c r="C40" s="745" t="n">
        <v>8</v>
      </c>
      <c r="D40" s="745" t="inlineStr">
        <is>
          <t>Duran</t>
        </is>
      </c>
    </row>
    <row r="41" ht="15.75" customHeight="1" s="26">
      <c r="A41" s="745" t="inlineStr">
        <is>
          <t>Dumpster Fire</t>
        </is>
      </c>
      <c r="B41" s="745" t="inlineStr">
        <is>
          <t>Tradezilla</t>
        </is>
      </c>
      <c r="C41" s="745" t="n">
        <v>7</v>
      </c>
      <c r="D41" s="745" t="inlineStr">
        <is>
          <t>Jung</t>
        </is>
      </c>
    </row>
    <row r="42" ht="15.75" customHeight="1" s="26">
      <c r="A42" s="744" t="inlineStr">
        <is>
          <t>Dumpster Fire</t>
        </is>
      </c>
      <c r="B42" s="744" t="inlineStr">
        <is>
          <t>Tradezilla</t>
        </is>
      </c>
      <c r="C42" s="745" t="n">
        <v>5</v>
      </c>
      <c r="D42" s="745" t="inlineStr">
        <is>
          <t>Fedde</t>
        </is>
      </c>
    </row>
    <row r="43" ht="15.75" customHeight="1" s="26">
      <c r="A43" s="745" t="inlineStr">
        <is>
          <t>Metro</t>
        </is>
      </c>
      <c r="B43" s="745" t="inlineStr">
        <is>
          <t>Tradezilla</t>
        </is>
      </c>
      <c r="C43" s="745" t="n">
        <v>5</v>
      </c>
      <c r="D43" s="745" t="inlineStr">
        <is>
          <t>JD Martinez</t>
        </is>
      </c>
    </row>
    <row r="44" ht="15.75" customHeight="1" s="26">
      <c r="A44" s="745" t="inlineStr">
        <is>
          <t>Metro</t>
        </is>
      </c>
      <c r="B44" s="745" t="inlineStr">
        <is>
          <t>Tradezilla</t>
        </is>
      </c>
      <c r="C44" s="745" t="n">
        <v>9</v>
      </c>
      <c r="D44" s="745" t="inlineStr">
        <is>
          <t>Toglia</t>
        </is>
      </c>
    </row>
    <row r="45" ht="15.75" customHeight="1" s="26">
      <c r="A45" s="745" t="inlineStr">
        <is>
          <t>Minor Legalities</t>
        </is>
      </c>
      <c r="B45" s="745" t="inlineStr">
        <is>
          <t>Tradezilla</t>
        </is>
      </c>
      <c r="C45" s="745" t="n">
        <v>10</v>
      </c>
      <c r="D45" s="745" t="inlineStr">
        <is>
          <t>?</t>
        </is>
      </c>
    </row>
    <row r="46" ht="15.75" customHeight="1" s="26">
      <c r="A46" s="745" t="inlineStr">
        <is>
          <t>Minor Legalities</t>
        </is>
      </c>
      <c r="B46" s="745" t="inlineStr">
        <is>
          <t>Tradezilla</t>
        </is>
      </c>
      <c r="C46" s="745" t="n">
        <v>3</v>
      </c>
      <c r="D46" s="745" t="inlineStr">
        <is>
          <t>Williams</t>
        </is>
      </c>
    </row>
    <row r="47" ht="15.75" customHeight="1" s="26">
      <c r="A47" s="745" t="inlineStr">
        <is>
          <t>Sabermutrics</t>
        </is>
      </c>
      <c r="B47" s="745" t="inlineStr">
        <is>
          <t>Tradezilla</t>
        </is>
      </c>
      <c r="C47" s="745" t="n">
        <v>6</v>
      </c>
      <c r="D47" s="745" t="inlineStr">
        <is>
          <t>Morel/Degrom</t>
        </is>
      </c>
    </row>
    <row r="48" ht="15.75" customHeight="1" s="26">
      <c r="A48" s="745" t="inlineStr">
        <is>
          <t>Sabermutrics</t>
        </is>
      </c>
      <c r="B48" s="745" t="inlineStr">
        <is>
          <t>Tradezilla</t>
        </is>
      </c>
      <c r="C48" s="745" t="n">
        <v>14</v>
      </c>
      <c r="D48" s="745" t="inlineStr">
        <is>
          <t>Witt</t>
        </is>
      </c>
    </row>
    <row r="49" ht="15.75" customHeight="1" s="26">
      <c r="A49" s="745" t="inlineStr">
        <is>
          <t>Shag Dawgs</t>
        </is>
      </c>
      <c r="B49" s="745" t="inlineStr">
        <is>
          <t>Tradezilla</t>
        </is>
      </c>
      <c r="C49" s="745" t="n">
        <v>5</v>
      </c>
      <c r="D49" s="745" t="inlineStr">
        <is>
          <t>Happ</t>
        </is>
      </c>
    </row>
    <row r="50" ht="15.75" customHeight="1" s="26">
      <c r="A50" s="744" t="inlineStr">
        <is>
          <t>Stat Sandwich</t>
        </is>
      </c>
      <c r="B50" s="744" t="inlineStr">
        <is>
          <t>Tradezilla</t>
        </is>
      </c>
      <c r="C50" s="745" t="n">
        <v>4</v>
      </c>
      <c r="D50" s="745" t="inlineStr">
        <is>
          <t>Ben Joyce</t>
        </is>
      </c>
    </row>
    <row r="51" ht="15.75" customHeight="1" s="26">
      <c r="A51" s="744" t="inlineStr">
        <is>
          <t>DAWSYN</t>
        </is>
      </c>
      <c r="B51" s="744" t="inlineStr">
        <is>
          <t>Winning DeLautery</t>
        </is>
      </c>
      <c r="C51" s="745" t="n">
        <v>10</v>
      </c>
      <c r="D51" s="745" t="inlineStr">
        <is>
          <t>Pena</t>
        </is>
      </c>
    </row>
    <row r="52" ht="15.75" customHeight="1" s="26">
      <c r="A52" s="745" t="inlineStr">
        <is>
          <t>Tradezilla</t>
        </is>
      </c>
      <c r="B52" s="745" t="inlineStr">
        <is>
          <t>Winning DeLautery</t>
        </is>
      </c>
      <c r="C52" s="745" t="n">
        <v>6</v>
      </c>
      <c r="D52" s="745" t="inlineStr">
        <is>
          <t>Helsley</t>
        </is>
      </c>
    </row>
    <row r="53" ht="15.75" customHeight="1" s="26">
      <c r="A53" s="745" t="inlineStr">
        <is>
          <t>Nygaardians</t>
        </is>
      </c>
      <c r="B53" s="745" t="inlineStr">
        <is>
          <t>Minor Legalities</t>
        </is>
      </c>
      <c r="C53" s="745" t="n">
        <v>6</v>
      </c>
      <c r="D53" s="745" t="inlineStr">
        <is>
          <t>Jordan Lawler</t>
        </is>
      </c>
    </row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</sheetData>
  <autoFilter ref="$A$20:$D$55">
    <sortState ref="A20:D55">
      <sortCondition ref="B20:B55"/>
      <sortCondition ref="A20:A55"/>
    </sortState>
  </autoFilter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Z19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6" min="1" max="1"/>
    <col width="21.29" customWidth="1" style="26" min="2" max="2"/>
    <col width="11.86" customWidth="1" style="26" min="3" max="3"/>
    <col width="10.71" customWidth="1" style="26" min="4" max="26"/>
  </cols>
  <sheetData>
    <row r="2">
      <c r="B2" s="745" t="inlineStr">
        <is>
          <t>Reference sheet for contracted players that were dropped before 2024 season end. Players picked up on Waiver Wire are signable.</t>
        </is>
      </c>
    </row>
    <row r="3">
      <c r="B3" t="inlineStr">
        <is>
          <t>Player</t>
        </is>
      </c>
      <c r="C3" t="inlineStr">
        <is>
          <t>Expiration</t>
        </is>
      </c>
      <c r="D3" t="inlineStr">
        <is>
          <t>Team</t>
        </is>
      </c>
    </row>
    <row r="4">
      <c r="B4" s="745" t="inlineStr">
        <is>
          <t>Jurickson Profar</t>
        </is>
      </c>
      <c r="C4" s="745" t="n">
        <v>2026</v>
      </c>
      <c r="D4" s="745" t="inlineStr">
        <is>
          <t>Becker</t>
        </is>
      </c>
    </row>
    <row r="5">
      <c r="B5" s="745" t="inlineStr">
        <is>
          <t>Tyler O'Neil</t>
        </is>
      </c>
      <c r="C5" s="745" t="n">
        <v>2025</v>
      </c>
      <c r="D5" s="745" t="inlineStr">
        <is>
          <t>Becker</t>
        </is>
      </c>
    </row>
    <row r="6">
      <c r="B6" s="745" t="inlineStr">
        <is>
          <t>Gavin Williams</t>
        </is>
      </c>
      <c r="C6" s="746" t="n">
        <v>2026</v>
      </c>
      <c r="D6" s="745" t="inlineStr">
        <is>
          <t>DAWSYN</t>
        </is>
      </c>
    </row>
    <row r="7">
      <c r="B7" s="745" t="inlineStr">
        <is>
          <t>Luis Castillo</t>
        </is>
      </c>
      <c r="C7" s="746" t="n">
        <v>2025</v>
      </c>
      <c r="D7" s="745" t="inlineStr">
        <is>
          <t>DAWSYN</t>
        </is>
      </c>
    </row>
    <row r="8">
      <c r="B8" s="747" t="inlineStr">
        <is>
          <t>Alec Bohm</t>
        </is>
      </c>
      <c r="C8" s="746" t="n">
        <v>2025</v>
      </c>
      <c r="D8" s="747" t="inlineStr">
        <is>
          <t>DAWSYN</t>
        </is>
      </c>
    </row>
    <row r="9">
      <c r="B9" s="747" t="inlineStr">
        <is>
          <t>Nolan Jones</t>
        </is>
      </c>
      <c r="C9" s="746" t="n">
        <v>2026</v>
      </c>
      <c r="D9" s="748" t="inlineStr">
        <is>
          <t>Dumpster Fire</t>
        </is>
      </c>
    </row>
    <row r="10">
      <c r="B10" s="745" t="inlineStr">
        <is>
          <t>Dustin May</t>
        </is>
      </c>
      <c r="C10" s="746" t="n">
        <v>2025</v>
      </c>
      <c r="D10" s="745" t="inlineStr">
        <is>
          <t>Dumpster Fire</t>
        </is>
      </c>
    </row>
    <row r="11">
      <c r="B11" s="747" t="inlineStr">
        <is>
          <t>Evan Carter</t>
        </is>
      </c>
      <c r="C11" s="746" t="n">
        <v>2027</v>
      </c>
      <c r="D11" s="748" t="inlineStr">
        <is>
          <t>Sabermutrics</t>
        </is>
      </c>
    </row>
    <row r="12" ht="15.75" customHeight="1" s="26">
      <c r="B12" s="745" t="inlineStr">
        <is>
          <t>Christian Encarnacion Strand</t>
        </is>
      </c>
      <c r="C12" s="746" t="n">
        <v>2028</v>
      </c>
      <c r="D12" s="745" t="inlineStr">
        <is>
          <t>Sabermutrics</t>
        </is>
      </c>
    </row>
    <row r="13" ht="15.75" customHeight="1" s="26">
      <c r="B13" s="745" t="inlineStr">
        <is>
          <t>Ryan Walker</t>
        </is>
      </c>
      <c r="C13" s="746" t="n">
        <v>2026</v>
      </c>
      <c r="D13" s="745" t="inlineStr">
        <is>
          <t>Shag Dawgs</t>
        </is>
      </c>
    </row>
    <row r="14" ht="15.75" customHeight="1" s="26">
      <c r="B14" s="745" t="inlineStr">
        <is>
          <t>Tanner Bibee</t>
        </is>
      </c>
      <c r="C14" s="745" t="n">
        <v>2025</v>
      </c>
      <c r="D14" s="745" t="inlineStr">
        <is>
          <t>Shag Dawgs</t>
        </is>
      </c>
    </row>
    <row r="15" ht="15.75" customHeight="1" s="26">
      <c r="B15" s="747" t="inlineStr">
        <is>
          <t>Luiz Arraez</t>
        </is>
      </c>
      <c r="C15" s="746" t="n">
        <v>2025</v>
      </c>
      <c r="D15" s="747" t="inlineStr">
        <is>
          <t>Stat Sandwich</t>
        </is>
      </c>
    </row>
    <row r="16" ht="15.75" customHeight="1" s="26">
      <c r="B16" s="745" t="inlineStr">
        <is>
          <t>Bo Naylor</t>
        </is>
      </c>
      <c r="C16" s="745" t="n">
        <v>2026</v>
      </c>
      <c r="D16" s="745" t="inlineStr">
        <is>
          <t>Tradezilla</t>
        </is>
      </c>
    </row>
    <row r="17" ht="15.75" customHeight="1" s="26">
      <c r="B17" s="747" t="inlineStr">
        <is>
          <t>Bobby Miller</t>
        </is>
      </c>
      <c r="C17" s="746" t="n">
        <v>2027</v>
      </c>
      <c r="D17" s="748" t="inlineStr">
        <is>
          <t>Tradezilla</t>
        </is>
      </c>
    </row>
    <row r="18" ht="15.75" customHeight="1" s="26">
      <c r="B18" s="747" t="inlineStr">
        <is>
          <t>Michael Toglia</t>
        </is>
      </c>
      <c r="C18" s="746" t="n">
        <v>2027</v>
      </c>
      <c r="D18" s="748" t="inlineStr">
        <is>
          <t>Tradezilla</t>
        </is>
      </c>
    </row>
    <row r="19" ht="15.75" customHeight="1" s="26">
      <c r="C19" s="746" t="n"/>
    </row>
    <row r="20" ht="15.75" customHeight="1" s="26"/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</sheetData>
  <autoFilter ref="$A$3:$Z$20">
    <sortState ref="A3:Z20">
      <sortCondition ref="D3:D20"/>
      <sortCondition descending="1" ref="C3:C20"/>
      <sortCondition ref="A3:A20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2026-09-26T11:22:25Z</dcterms:created>
  <dcterms:modified xsi:type="dcterms:W3CDTF">2026-09-26T11:22:28Z</dcterms:modified>
</cp:coreProperties>
</file>